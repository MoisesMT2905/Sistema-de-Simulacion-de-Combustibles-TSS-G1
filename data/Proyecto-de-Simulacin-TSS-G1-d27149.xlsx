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hp\OneDrive - Universidad Mayor de San Simón\TSS\Proyecto de Simualcion\Ejecucion del programa\"/>
    </mc:Choice>
  </mc:AlternateContent>
  <xr:revisionPtr revIDLastSave="12" documentId="13_ncr:1_{EC3D71CD-E8CA-4F59-9C4D-299BE508791D}" xr6:coauthVersionLast="36" xr6:coauthVersionMax="36" xr10:uidLastSave="{113D5D28-E69B-4682-A4BD-27641466E289}"/>
  <bookViews>
    <workbookView xWindow="0" yWindow="0" windowWidth="23040" windowHeight="8940" activeTab="3" xr2:uid="{00000000-000D-0000-FFFF-FFFF00000000}"/>
  </bookViews>
  <sheets>
    <sheet name="Parámetros" sheetId="1" r:id="rId1"/>
    <sheet name="Generador" sheetId="2" r:id="rId2"/>
    <sheet name="Simulación" sheetId="3" r:id="rId3"/>
    <sheet name="Estadísticas" sheetId="4" r:id="rId4"/>
  </sheets>
  <calcPr calcId="181029"/>
</workbook>
</file>

<file path=xl/calcChain.xml><?xml version="1.0" encoding="utf-8"?>
<calcChain xmlns="http://schemas.openxmlformats.org/spreadsheetml/2006/main">
  <c r="F34" i="4" l="1"/>
  <c r="E34" i="4"/>
  <c r="D34" i="4"/>
  <c r="C34" i="4"/>
  <c r="B34" i="4"/>
  <c r="F33" i="4"/>
  <c r="E33" i="4"/>
  <c r="D33" i="4"/>
  <c r="C33" i="4"/>
  <c r="B33" i="4"/>
  <c r="F32" i="4"/>
  <c r="E32" i="4"/>
  <c r="D32" i="4"/>
  <c r="C32" i="4"/>
  <c r="B32" i="4"/>
  <c r="F31" i="4"/>
  <c r="E31" i="4"/>
  <c r="D31" i="4"/>
  <c r="C31" i="4"/>
  <c r="B31" i="4"/>
  <c r="F30" i="4"/>
  <c r="E30" i="4"/>
  <c r="D30" i="4"/>
  <c r="C30" i="4"/>
  <c r="B30" i="4"/>
  <c r="F29" i="4"/>
  <c r="E29" i="4"/>
  <c r="D29" i="4"/>
  <c r="C29" i="4"/>
  <c r="B29" i="4"/>
  <c r="F28" i="4"/>
  <c r="E28" i="4"/>
  <c r="D28" i="4"/>
  <c r="C28" i="4"/>
  <c r="B28" i="4"/>
  <c r="F27" i="4"/>
  <c r="E27" i="4"/>
  <c r="D27" i="4"/>
  <c r="C27" i="4"/>
  <c r="B27" i="4"/>
  <c r="B22" i="4"/>
  <c r="B21" i="4"/>
  <c r="B20" i="4"/>
  <c r="B19" i="4"/>
  <c r="B18" i="4"/>
  <c r="B17" i="4"/>
  <c r="B16" i="4"/>
  <c r="B15" i="4"/>
  <c r="B14" i="4"/>
  <c r="B13" i="4"/>
  <c r="B12" i="4"/>
  <c r="B11" i="4"/>
  <c r="D7" i="4"/>
  <c r="B7" i="4"/>
  <c r="B5" i="4"/>
  <c r="B11" i="1"/>
  <c r="D6" i="4" s="1"/>
  <c r="B10" i="1"/>
  <c r="B6" i="4" s="1"/>
  <c r="B9" i="1"/>
  <c r="D5" i="4" s="1"/>
</calcChain>
</file>

<file path=xl/sharedStrings.xml><?xml version="1.0" encoding="utf-8"?>
<sst xmlns="http://schemas.openxmlformats.org/spreadsheetml/2006/main" count="12144" uniqueCount="5132">
  <si>
    <t>SIMULACIÓN DE ESTACIÓN DE COMBUSTIBLES</t>
  </si>
  <si>
    <t>Modelo: 4 Surtidores Subvencionados + 1 Internacional</t>
  </si>
  <si>
    <t>PANEL DE CONTROL</t>
  </si>
  <si>
    <t>TABLA DE ESCENARIOS</t>
  </si>
  <si>
    <t>Escenario</t>
  </si>
  <si>
    <t>Precio_Subv (Bs)</t>
  </si>
  <si>
    <t>Lambda</t>
  </si>
  <si>
    <t>Factor_Costo</t>
  </si>
  <si>
    <t xml:space="preserve"> ← Cambia este número para seleccionar el escenario</t>
  </si>
  <si>
    <t>Parámetro</t>
  </si>
  <si>
    <t>Valor</t>
  </si>
  <si>
    <t>Unidad</t>
  </si>
  <si>
    <t>Precio Subvencionado</t>
  </si>
  <si>
    <t>Bs/L</t>
  </si>
  <si>
    <t>Lambda (llegadas/min)</t>
  </si>
  <si>
    <t>veh/min</t>
  </si>
  <si>
    <t>Factor Costo Oportunidad</t>
  </si>
  <si>
    <t>multiplicador</t>
  </si>
  <si>
    <t>Precio Internacional (Bs/L)</t>
  </si>
  <si>
    <t>PARAMETROS FIJOS</t>
  </si>
  <si>
    <t>Surtidores Subvencionados</t>
  </si>
  <si>
    <t>unidades</t>
  </si>
  <si>
    <t>Capacidad del Tanque (L)</t>
  </si>
  <si>
    <t>Litros</t>
  </si>
  <si>
    <t>Intervalo de Abastecimiento (min)</t>
  </si>
  <si>
    <t>minutos</t>
  </si>
  <si>
    <t>Semilla del Generador</t>
  </si>
  <si>
    <t>valor fijo</t>
  </si>
  <si>
    <t>1. Cambia el valor en B6 (1-16) para seleccionar el escenario.
2. La hoja 'Simulación' se recalcula automáticamente con los parámetros del escenario activo.
3. Revisa 'Estadísticas' para ver las métricas del escenario actual.
4. Completa la hoja 'Comparativa' copiando los resultados de cada escenario.</t>
  </si>
  <si>
    <t>GENERADOR CONGRUENCIAL MIXTO | a=1,664,525 | c=1,013,904,223 | m=2,147,483,647 | Semilla=12345</t>
  </si>
  <si>
    <t>n</t>
  </si>
  <si>
    <t>X_n (estado)</t>
  </si>
  <si>
    <t>R = X_n / m</t>
  </si>
  <si>
    <t>Variable</t>
  </si>
  <si>
    <t>Descripción</t>
  </si>
  <si>
    <t>a =</t>
  </si>
  <si>
    <t>R_Tipo (veh. 1)</t>
  </si>
  <si>
    <t>Tipo de vehículo (empírica)</t>
  </si>
  <si>
    <t>c =</t>
  </si>
  <si>
    <t>R_Volumen (veh. 1)</t>
  </si>
  <si>
    <t>Volumen de combustible (uniforme)</t>
  </si>
  <si>
    <t>m =</t>
  </si>
  <si>
    <t>R_Servicio (veh. 1)</t>
  </si>
  <si>
    <t>Tiempo de servicio (uniforme)</t>
  </si>
  <si>
    <t>X0 (semilla) =</t>
  </si>
  <si>
    <t>R_CostoOp (veh. 1)</t>
  </si>
  <si>
    <t>Costo de oportunidad (triangular)</t>
  </si>
  <si>
    <t>R_TiempoLleg (veh. 1)</t>
  </si>
  <si>
    <t>Tiempo entre llegadas (exponencial)</t>
  </si>
  <si>
    <t>R_Tipo (veh. 2)</t>
  </si>
  <si>
    <t>R_Volumen (veh. 2)</t>
  </si>
  <si>
    <t>R_Servicio (veh. 2)</t>
  </si>
  <si>
    <t>R_CostoOp (veh. 2)</t>
  </si>
  <si>
    <t>R_TiempoLleg (veh. 2)</t>
  </si>
  <si>
    <t>R_Tipo (veh. 3)</t>
  </si>
  <si>
    <t>R_Volumen (veh. 3)</t>
  </si>
  <si>
    <t>R_Servicio (veh. 3)</t>
  </si>
  <si>
    <t>R_CostoOp (veh. 3)</t>
  </si>
  <si>
    <t>R_TiempoLleg (veh. 3)</t>
  </si>
  <si>
    <t>R_Tipo (veh. 4)</t>
  </si>
  <si>
    <t>R_Volumen (veh. 4)</t>
  </si>
  <si>
    <t>R_Servicio (veh. 4)</t>
  </si>
  <si>
    <t>R_CostoOp (veh. 4)</t>
  </si>
  <si>
    <t>R_TiempoLleg (veh. 4)</t>
  </si>
  <si>
    <t>R_Tipo (veh. 5)</t>
  </si>
  <si>
    <t>R_Volumen (veh. 5)</t>
  </si>
  <si>
    <t>R_Servicio (veh. 5)</t>
  </si>
  <si>
    <t>R_CostoOp (veh. 5)</t>
  </si>
  <si>
    <t>R_TiempoLleg (veh. 5)</t>
  </si>
  <si>
    <t>R_Tipo (veh. 6)</t>
  </si>
  <si>
    <t>R_Volumen (veh. 6)</t>
  </si>
  <si>
    <t>R_Servicio (veh. 6)</t>
  </si>
  <si>
    <t>R_CostoOp (veh. 6)</t>
  </si>
  <si>
    <t>R_TiempoLleg (veh. 6)</t>
  </si>
  <si>
    <t>R_Tipo (veh. 7)</t>
  </si>
  <si>
    <t>R_Volumen (veh. 7)</t>
  </si>
  <si>
    <t>R_Servicio (veh. 7)</t>
  </si>
  <si>
    <t>R_CostoOp (veh. 7)</t>
  </si>
  <si>
    <t>R_TiempoLleg (veh. 7)</t>
  </si>
  <si>
    <t>R_Tipo (veh. 8)</t>
  </si>
  <si>
    <t>R_Volumen (veh. 8)</t>
  </si>
  <si>
    <t>R_Servicio (veh. 8)</t>
  </si>
  <si>
    <t>R_CostoOp (veh. 8)</t>
  </si>
  <si>
    <t>R_TiempoLleg (veh. 8)</t>
  </si>
  <si>
    <t>R_Tipo (veh. 9)</t>
  </si>
  <si>
    <t>R_Volumen (veh. 9)</t>
  </si>
  <si>
    <t>R_Servicio (veh. 9)</t>
  </si>
  <si>
    <t>R_CostoOp (veh. 9)</t>
  </si>
  <si>
    <t>R_TiempoLleg (veh. 9)</t>
  </si>
  <si>
    <t>R_Tipo (veh. 10)</t>
  </si>
  <si>
    <t>R_Volumen (veh. 10)</t>
  </si>
  <si>
    <t>R_Servicio (veh. 10)</t>
  </si>
  <si>
    <t>R_CostoOp (veh. 10)</t>
  </si>
  <si>
    <t>R_TiempoLleg (veh. 10)</t>
  </si>
  <si>
    <t>R_Tipo (veh. 11)</t>
  </si>
  <si>
    <t>R_Volumen (veh. 11)</t>
  </si>
  <si>
    <t>R_Servicio (veh. 11)</t>
  </si>
  <si>
    <t>R_CostoOp (veh. 11)</t>
  </si>
  <si>
    <t>R_TiempoLleg (veh. 11)</t>
  </si>
  <si>
    <t>R_Tipo (veh. 12)</t>
  </si>
  <si>
    <t>R_Volumen (veh. 12)</t>
  </si>
  <si>
    <t>R_Servicio (veh. 12)</t>
  </si>
  <si>
    <t>R_CostoOp (veh. 12)</t>
  </si>
  <si>
    <t>R_TiempoLleg (veh. 12)</t>
  </si>
  <si>
    <t>R_Tipo (veh. 13)</t>
  </si>
  <si>
    <t>R_Volumen (veh. 13)</t>
  </si>
  <si>
    <t>R_Servicio (veh. 13)</t>
  </si>
  <si>
    <t>R_CostoOp (veh. 13)</t>
  </si>
  <si>
    <t>R_TiempoLleg (veh. 13)</t>
  </si>
  <si>
    <t>R_Tipo (veh. 14)</t>
  </si>
  <si>
    <t>R_Volumen (veh. 14)</t>
  </si>
  <si>
    <t>R_Servicio (veh. 14)</t>
  </si>
  <si>
    <t>R_CostoOp (veh. 14)</t>
  </si>
  <si>
    <t>R_TiempoLleg (veh. 14)</t>
  </si>
  <si>
    <t>R_Tipo (veh. 15)</t>
  </si>
  <si>
    <t>R_Volumen (veh. 15)</t>
  </si>
  <si>
    <t>R_Servicio (veh. 15)</t>
  </si>
  <si>
    <t>R_CostoOp (veh. 15)</t>
  </si>
  <si>
    <t>R_TiempoLleg (veh. 15)</t>
  </si>
  <si>
    <t>R_Tipo (veh. 16)</t>
  </si>
  <si>
    <t>R_Volumen (veh. 16)</t>
  </si>
  <si>
    <t>R_Servicio (veh. 16)</t>
  </si>
  <si>
    <t>R_CostoOp (veh. 16)</t>
  </si>
  <si>
    <t>R_TiempoLleg (veh. 16)</t>
  </si>
  <si>
    <t>R_Tipo (veh. 17)</t>
  </si>
  <si>
    <t>R_Volumen (veh. 17)</t>
  </si>
  <si>
    <t>R_Servicio (veh. 17)</t>
  </si>
  <si>
    <t>R_CostoOp (veh. 17)</t>
  </si>
  <si>
    <t>R_TiempoLleg (veh. 17)</t>
  </si>
  <si>
    <t>R_Tipo (veh. 18)</t>
  </si>
  <si>
    <t>R_Volumen (veh. 18)</t>
  </si>
  <si>
    <t>R_Servicio (veh. 18)</t>
  </si>
  <si>
    <t>R_CostoOp (veh. 18)</t>
  </si>
  <si>
    <t>R_TiempoLleg (veh. 18)</t>
  </si>
  <si>
    <t>R_Tipo (veh. 19)</t>
  </si>
  <si>
    <t>R_Volumen (veh. 19)</t>
  </si>
  <si>
    <t>R_Servicio (veh. 19)</t>
  </si>
  <si>
    <t>R_CostoOp (veh. 19)</t>
  </si>
  <si>
    <t>R_TiempoLleg (veh. 19)</t>
  </si>
  <si>
    <t>R_Tipo (veh. 20)</t>
  </si>
  <si>
    <t>R_Volumen (veh. 20)</t>
  </si>
  <si>
    <t>R_Servicio (veh. 20)</t>
  </si>
  <si>
    <t>R_CostoOp (veh. 20)</t>
  </si>
  <si>
    <t>R_TiempoLleg (veh. 20)</t>
  </si>
  <si>
    <t>R_Tipo (veh. 21)</t>
  </si>
  <si>
    <t>R_Volumen (veh. 21)</t>
  </si>
  <si>
    <t>R_Servicio (veh. 21)</t>
  </si>
  <si>
    <t>R_CostoOp (veh. 21)</t>
  </si>
  <si>
    <t>R_TiempoLleg (veh. 21)</t>
  </si>
  <si>
    <t>R_Tipo (veh. 22)</t>
  </si>
  <si>
    <t>R_Volumen (veh. 22)</t>
  </si>
  <si>
    <t>R_Servicio (veh. 22)</t>
  </si>
  <si>
    <t>R_CostoOp (veh. 22)</t>
  </si>
  <si>
    <t>R_TiempoLleg (veh. 22)</t>
  </si>
  <si>
    <t>R_Tipo (veh. 23)</t>
  </si>
  <si>
    <t>R_Volumen (veh. 23)</t>
  </si>
  <si>
    <t>R_Servicio (veh. 23)</t>
  </si>
  <si>
    <t>R_CostoOp (veh. 23)</t>
  </si>
  <si>
    <t>R_TiempoLleg (veh. 23)</t>
  </si>
  <si>
    <t>R_Tipo (veh. 24)</t>
  </si>
  <si>
    <t>R_Volumen (veh. 24)</t>
  </si>
  <si>
    <t>R_Servicio (veh. 24)</t>
  </si>
  <si>
    <t>R_CostoOp (veh. 24)</t>
  </si>
  <si>
    <t>R_TiempoLleg (veh. 24)</t>
  </si>
  <si>
    <t>R_Tipo (veh. 25)</t>
  </si>
  <si>
    <t>R_Volumen (veh. 25)</t>
  </si>
  <si>
    <t>R_Servicio (veh. 25)</t>
  </si>
  <si>
    <t>R_CostoOp (veh. 25)</t>
  </si>
  <si>
    <t>R_TiempoLleg (veh. 25)</t>
  </si>
  <si>
    <t>R_Tipo (veh. 26)</t>
  </si>
  <si>
    <t>R_Volumen (veh. 26)</t>
  </si>
  <si>
    <t>R_Servicio (veh. 26)</t>
  </si>
  <si>
    <t>R_CostoOp (veh. 26)</t>
  </si>
  <si>
    <t>R_TiempoLleg (veh. 26)</t>
  </si>
  <si>
    <t>R_Tipo (veh. 27)</t>
  </si>
  <si>
    <t>R_Volumen (veh. 27)</t>
  </si>
  <si>
    <t>R_Servicio (veh. 27)</t>
  </si>
  <si>
    <t>R_CostoOp (veh. 27)</t>
  </si>
  <si>
    <t>R_TiempoLleg (veh. 27)</t>
  </si>
  <si>
    <t>R_Tipo (veh. 28)</t>
  </si>
  <si>
    <t>R_Volumen (veh. 28)</t>
  </si>
  <si>
    <t>R_Servicio (veh. 28)</t>
  </si>
  <si>
    <t>R_CostoOp (veh. 28)</t>
  </si>
  <si>
    <t>R_TiempoLleg (veh. 28)</t>
  </si>
  <si>
    <t>R_Tipo (veh. 29)</t>
  </si>
  <si>
    <t>R_Volumen (veh. 29)</t>
  </si>
  <si>
    <t>R_Servicio (veh. 29)</t>
  </si>
  <si>
    <t>R_CostoOp (veh. 29)</t>
  </si>
  <si>
    <t>R_TiempoLleg (veh. 29)</t>
  </si>
  <si>
    <t>R_Tipo (veh. 30)</t>
  </si>
  <si>
    <t>R_Volumen (veh. 30)</t>
  </si>
  <si>
    <t>R_Servicio (veh. 30)</t>
  </si>
  <si>
    <t>R_CostoOp (veh. 30)</t>
  </si>
  <si>
    <t>R_TiempoLleg (veh. 30)</t>
  </si>
  <si>
    <t>R_Tipo (veh. 31)</t>
  </si>
  <si>
    <t>R_Volumen (veh. 31)</t>
  </si>
  <si>
    <t>R_Servicio (veh. 31)</t>
  </si>
  <si>
    <t>R_CostoOp (veh. 31)</t>
  </si>
  <si>
    <t>R_TiempoLleg (veh. 31)</t>
  </si>
  <si>
    <t>R_Tipo (veh. 32)</t>
  </si>
  <si>
    <t>R_Volumen (veh. 32)</t>
  </si>
  <si>
    <t>R_Servicio (veh. 32)</t>
  </si>
  <si>
    <t>R_CostoOp (veh. 32)</t>
  </si>
  <si>
    <t>R_TiempoLleg (veh. 32)</t>
  </si>
  <si>
    <t>R_Tipo (veh. 33)</t>
  </si>
  <si>
    <t>R_Volumen (veh. 33)</t>
  </si>
  <si>
    <t>R_Servicio (veh. 33)</t>
  </si>
  <si>
    <t>R_CostoOp (veh. 33)</t>
  </si>
  <si>
    <t>R_TiempoLleg (veh. 33)</t>
  </si>
  <si>
    <t>R_Tipo (veh. 34)</t>
  </si>
  <si>
    <t>R_Volumen (veh. 34)</t>
  </si>
  <si>
    <t>R_Servicio (veh. 34)</t>
  </si>
  <si>
    <t>R_CostoOp (veh. 34)</t>
  </si>
  <si>
    <t>R_TiempoLleg (veh. 34)</t>
  </si>
  <si>
    <t>R_Tipo (veh. 35)</t>
  </si>
  <si>
    <t>R_Volumen (veh. 35)</t>
  </si>
  <si>
    <t>R_Servicio (veh. 35)</t>
  </si>
  <si>
    <t>R_CostoOp (veh. 35)</t>
  </si>
  <si>
    <t>R_TiempoLleg (veh. 35)</t>
  </si>
  <si>
    <t>R_Tipo (veh. 36)</t>
  </si>
  <si>
    <t>R_Volumen (veh. 36)</t>
  </si>
  <si>
    <t>R_Servicio (veh. 36)</t>
  </si>
  <si>
    <t>R_CostoOp (veh. 36)</t>
  </si>
  <si>
    <t>R_TiempoLleg (veh. 36)</t>
  </si>
  <si>
    <t>R_Tipo (veh. 37)</t>
  </si>
  <si>
    <t>R_Volumen (veh. 37)</t>
  </si>
  <si>
    <t>R_Servicio (veh. 37)</t>
  </si>
  <si>
    <t>R_CostoOp (veh. 37)</t>
  </si>
  <si>
    <t>R_TiempoLleg (veh. 37)</t>
  </si>
  <si>
    <t>R_Tipo (veh. 38)</t>
  </si>
  <si>
    <t>R_Volumen (veh. 38)</t>
  </si>
  <si>
    <t>R_Servicio (veh. 38)</t>
  </si>
  <si>
    <t>R_CostoOp (veh. 38)</t>
  </si>
  <si>
    <t>R_TiempoLleg (veh. 38)</t>
  </si>
  <si>
    <t>R_Tipo (veh. 39)</t>
  </si>
  <si>
    <t>R_Volumen (veh. 39)</t>
  </si>
  <si>
    <t>R_Servicio (veh. 39)</t>
  </si>
  <si>
    <t>R_CostoOp (veh. 39)</t>
  </si>
  <si>
    <t>R_TiempoLleg (veh. 39)</t>
  </si>
  <si>
    <t>R_Tipo (veh. 40)</t>
  </si>
  <si>
    <t>R_Volumen (veh. 40)</t>
  </si>
  <si>
    <t>R_Servicio (veh. 40)</t>
  </si>
  <si>
    <t>R_CostoOp (veh. 40)</t>
  </si>
  <si>
    <t>R_TiempoLleg (veh. 40)</t>
  </si>
  <si>
    <t>R_Tipo (veh. 41)</t>
  </si>
  <si>
    <t>R_Volumen (veh. 41)</t>
  </si>
  <si>
    <t>R_Servicio (veh. 41)</t>
  </si>
  <si>
    <t>R_CostoOp (veh. 41)</t>
  </si>
  <si>
    <t>R_TiempoLleg (veh. 41)</t>
  </si>
  <si>
    <t>R_Tipo (veh. 42)</t>
  </si>
  <si>
    <t>R_Volumen (veh. 42)</t>
  </si>
  <si>
    <t>R_Servicio (veh. 42)</t>
  </si>
  <si>
    <t>R_CostoOp (veh. 42)</t>
  </si>
  <si>
    <t>R_TiempoLleg (veh. 42)</t>
  </si>
  <si>
    <t>R_Tipo (veh. 43)</t>
  </si>
  <si>
    <t>R_Volumen (veh. 43)</t>
  </si>
  <si>
    <t>R_Servicio (veh. 43)</t>
  </si>
  <si>
    <t>R_CostoOp (veh. 43)</t>
  </si>
  <si>
    <t>R_TiempoLleg (veh. 43)</t>
  </si>
  <si>
    <t>R_Tipo (veh. 44)</t>
  </si>
  <si>
    <t>R_Volumen (veh. 44)</t>
  </si>
  <si>
    <t>R_Servicio (veh. 44)</t>
  </si>
  <si>
    <t>R_CostoOp (veh. 44)</t>
  </si>
  <si>
    <t>R_TiempoLleg (veh. 44)</t>
  </si>
  <si>
    <t>R_Tipo (veh. 45)</t>
  </si>
  <si>
    <t>R_Volumen (veh. 45)</t>
  </si>
  <si>
    <t>R_Servicio (veh. 45)</t>
  </si>
  <si>
    <t>R_CostoOp (veh. 45)</t>
  </si>
  <si>
    <t>R_TiempoLleg (veh. 45)</t>
  </si>
  <si>
    <t>R_Tipo (veh. 46)</t>
  </si>
  <si>
    <t>R_Volumen (veh. 46)</t>
  </si>
  <si>
    <t>R_Servicio (veh. 46)</t>
  </si>
  <si>
    <t>R_CostoOp (veh. 46)</t>
  </si>
  <si>
    <t>R_TiempoLleg (veh. 46)</t>
  </si>
  <si>
    <t>R_Tipo (veh. 47)</t>
  </si>
  <si>
    <t>R_Volumen (veh. 47)</t>
  </si>
  <si>
    <t>R_Servicio (veh. 47)</t>
  </si>
  <si>
    <t>R_CostoOp (veh. 47)</t>
  </si>
  <si>
    <t>R_TiempoLleg (veh. 47)</t>
  </si>
  <si>
    <t>R_Tipo (veh. 48)</t>
  </si>
  <si>
    <t>R_Volumen (veh. 48)</t>
  </si>
  <si>
    <t>R_Servicio (veh. 48)</t>
  </si>
  <si>
    <t>R_CostoOp (veh. 48)</t>
  </si>
  <si>
    <t>R_TiempoLleg (veh. 48)</t>
  </si>
  <si>
    <t>R_Tipo (veh. 49)</t>
  </si>
  <si>
    <t>R_Volumen (veh. 49)</t>
  </si>
  <si>
    <t>R_Servicio (veh. 49)</t>
  </si>
  <si>
    <t>R_CostoOp (veh. 49)</t>
  </si>
  <si>
    <t>R_TiempoLleg (veh. 49)</t>
  </si>
  <si>
    <t>R_Tipo (veh. 50)</t>
  </si>
  <si>
    <t>R_Volumen (veh. 50)</t>
  </si>
  <si>
    <t>R_Servicio (veh. 50)</t>
  </si>
  <si>
    <t>R_CostoOp (veh. 50)</t>
  </si>
  <si>
    <t>R_TiempoLleg (veh. 50)</t>
  </si>
  <si>
    <t>R_Tipo (veh. 51)</t>
  </si>
  <si>
    <t>R_Volumen (veh. 51)</t>
  </si>
  <si>
    <t>R_Servicio (veh. 51)</t>
  </si>
  <si>
    <t>R_CostoOp (veh. 51)</t>
  </si>
  <si>
    <t>R_TiempoLleg (veh. 51)</t>
  </si>
  <si>
    <t>R_Tipo (veh. 52)</t>
  </si>
  <si>
    <t>R_Volumen (veh. 52)</t>
  </si>
  <si>
    <t>R_Servicio (veh. 52)</t>
  </si>
  <si>
    <t>R_CostoOp (veh. 52)</t>
  </si>
  <si>
    <t>R_TiempoLleg (veh. 52)</t>
  </si>
  <si>
    <t>R_Tipo (veh. 53)</t>
  </si>
  <si>
    <t>R_Volumen (veh. 53)</t>
  </si>
  <si>
    <t>R_Servicio (veh. 53)</t>
  </si>
  <si>
    <t>R_CostoOp (veh. 53)</t>
  </si>
  <si>
    <t>R_TiempoLleg (veh. 53)</t>
  </si>
  <si>
    <t>R_Tipo (veh. 54)</t>
  </si>
  <si>
    <t>R_Volumen (veh. 54)</t>
  </si>
  <si>
    <t>R_Servicio (veh. 54)</t>
  </si>
  <si>
    <t>R_CostoOp (veh. 54)</t>
  </si>
  <si>
    <t>R_TiempoLleg (veh. 54)</t>
  </si>
  <si>
    <t>R_Tipo (veh. 55)</t>
  </si>
  <si>
    <t>R_Volumen (veh. 55)</t>
  </si>
  <si>
    <t>R_Servicio (veh. 55)</t>
  </si>
  <si>
    <t>R_CostoOp (veh. 55)</t>
  </si>
  <si>
    <t>R_TiempoLleg (veh. 55)</t>
  </si>
  <si>
    <t>R_Tipo (veh. 56)</t>
  </si>
  <si>
    <t>R_Volumen (veh. 56)</t>
  </si>
  <si>
    <t>R_Servicio (veh. 56)</t>
  </si>
  <si>
    <t>R_CostoOp (veh. 56)</t>
  </si>
  <si>
    <t>R_TiempoLleg (veh. 56)</t>
  </si>
  <si>
    <t>R_Tipo (veh. 57)</t>
  </si>
  <si>
    <t>R_Volumen (veh. 57)</t>
  </si>
  <si>
    <t>R_Servicio (veh. 57)</t>
  </si>
  <si>
    <t>R_CostoOp (veh. 57)</t>
  </si>
  <si>
    <t>R_TiempoLleg (veh. 57)</t>
  </si>
  <si>
    <t>R_Tipo (veh. 58)</t>
  </si>
  <si>
    <t>R_Volumen (veh. 58)</t>
  </si>
  <si>
    <t>R_Servicio (veh. 58)</t>
  </si>
  <si>
    <t>R_CostoOp (veh. 58)</t>
  </si>
  <si>
    <t>R_TiempoLleg (veh. 58)</t>
  </si>
  <si>
    <t>R_Tipo (veh. 59)</t>
  </si>
  <si>
    <t>R_Volumen (veh. 59)</t>
  </si>
  <si>
    <t>R_Servicio (veh. 59)</t>
  </si>
  <si>
    <t>R_CostoOp (veh. 59)</t>
  </si>
  <si>
    <t>R_TiempoLleg (veh. 59)</t>
  </si>
  <si>
    <t>R_Tipo (veh. 60)</t>
  </si>
  <si>
    <t>R_Volumen (veh. 60)</t>
  </si>
  <si>
    <t>R_Servicio (veh. 60)</t>
  </si>
  <si>
    <t>R_CostoOp (veh. 60)</t>
  </si>
  <si>
    <t>R_TiempoLleg (veh. 60)</t>
  </si>
  <si>
    <t>R_Tipo (veh. 61)</t>
  </si>
  <si>
    <t>R_Volumen (veh. 61)</t>
  </si>
  <si>
    <t>R_Servicio (veh. 61)</t>
  </si>
  <si>
    <t>R_CostoOp (veh. 61)</t>
  </si>
  <si>
    <t>R_TiempoLleg (veh. 61)</t>
  </si>
  <si>
    <t>R_Tipo (veh. 62)</t>
  </si>
  <si>
    <t>R_Volumen (veh. 62)</t>
  </si>
  <si>
    <t>R_Servicio (veh. 62)</t>
  </si>
  <si>
    <t>R_CostoOp (veh. 62)</t>
  </si>
  <si>
    <t>R_TiempoLleg (veh. 62)</t>
  </si>
  <si>
    <t>R_Tipo (veh. 63)</t>
  </si>
  <si>
    <t>R_Volumen (veh. 63)</t>
  </si>
  <si>
    <t>R_Servicio (veh. 63)</t>
  </si>
  <si>
    <t>R_CostoOp (veh. 63)</t>
  </si>
  <si>
    <t>R_TiempoLleg (veh. 63)</t>
  </si>
  <si>
    <t>R_Tipo (veh. 64)</t>
  </si>
  <si>
    <t>R_Volumen (veh. 64)</t>
  </si>
  <si>
    <t>R_Servicio (veh. 64)</t>
  </si>
  <si>
    <t>R_CostoOp (veh. 64)</t>
  </si>
  <si>
    <t>R_TiempoLleg (veh. 64)</t>
  </si>
  <si>
    <t>R_Tipo (veh. 65)</t>
  </si>
  <si>
    <t>R_Volumen (veh. 65)</t>
  </si>
  <si>
    <t>R_Servicio (veh. 65)</t>
  </si>
  <si>
    <t>R_CostoOp (veh. 65)</t>
  </si>
  <si>
    <t>R_TiempoLleg (veh. 65)</t>
  </si>
  <si>
    <t>R_Tipo (veh. 66)</t>
  </si>
  <si>
    <t>R_Volumen (veh. 66)</t>
  </si>
  <si>
    <t>R_Servicio (veh. 66)</t>
  </si>
  <si>
    <t>R_CostoOp (veh. 66)</t>
  </si>
  <si>
    <t>R_TiempoLleg (veh. 66)</t>
  </si>
  <si>
    <t>R_Tipo (veh. 67)</t>
  </si>
  <si>
    <t>R_Volumen (veh. 67)</t>
  </si>
  <si>
    <t>R_Servicio (veh. 67)</t>
  </si>
  <si>
    <t>R_CostoOp (veh. 67)</t>
  </si>
  <si>
    <t>R_TiempoLleg (veh. 67)</t>
  </si>
  <si>
    <t>R_Tipo (veh. 68)</t>
  </si>
  <si>
    <t>R_Volumen (veh. 68)</t>
  </si>
  <si>
    <t>R_Servicio (veh. 68)</t>
  </si>
  <si>
    <t>R_CostoOp (veh. 68)</t>
  </si>
  <si>
    <t>R_TiempoLleg (veh. 68)</t>
  </si>
  <si>
    <t>R_Tipo (veh. 69)</t>
  </si>
  <si>
    <t>R_Volumen (veh. 69)</t>
  </si>
  <si>
    <t>R_Servicio (veh. 69)</t>
  </si>
  <si>
    <t>R_CostoOp (veh. 69)</t>
  </si>
  <si>
    <t>R_TiempoLleg (veh. 69)</t>
  </si>
  <si>
    <t>R_Tipo (veh. 70)</t>
  </si>
  <si>
    <t>R_Volumen (veh. 70)</t>
  </si>
  <si>
    <t>R_Servicio (veh. 70)</t>
  </si>
  <si>
    <t>R_CostoOp (veh. 70)</t>
  </si>
  <si>
    <t>R_TiempoLleg (veh. 70)</t>
  </si>
  <si>
    <t>R_Tipo (veh. 71)</t>
  </si>
  <si>
    <t>R_Volumen (veh. 71)</t>
  </si>
  <si>
    <t>R_Servicio (veh. 71)</t>
  </si>
  <si>
    <t>R_CostoOp (veh. 71)</t>
  </si>
  <si>
    <t>R_TiempoLleg (veh. 71)</t>
  </si>
  <si>
    <t>R_Tipo (veh. 72)</t>
  </si>
  <si>
    <t>R_Volumen (veh. 72)</t>
  </si>
  <si>
    <t>R_Servicio (veh. 72)</t>
  </si>
  <si>
    <t>R_CostoOp (veh. 72)</t>
  </si>
  <si>
    <t>R_TiempoLleg (veh. 72)</t>
  </si>
  <si>
    <t>R_Tipo (veh. 73)</t>
  </si>
  <si>
    <t>R_Volumen (veh. 73)</t>
  </si>
  <si>
    <t>R_Servicio (veh. 73)</t>
  </si>
  <si>
    <t>R_CostoOp (veh. 73)</t>
  </si>
  <si>
    <t>R_TiempoLleg (veh. 73)</t>
  </si>
  <si>
    <t>R_Tipo (veh. 74)</t>
  </si>
  <si>
    <t>R_Volumen (veh. 74)</t>
  </si>
  <si>
    <t>R_Servicio (veh. 74)</t>
  </si>
  <si>
    <t>R_CostoOp (veh. 74)</t>
  </si>
  <si>
    <t>R_TiempoLleg (veh. 74)</t>
  </si>
  <si>
    <t>R_Tipo (veh. 75)</t>
  </si>
  <si>
    <t>R_Volumen (veh. 75)</t>
  </si>
  <si>
    <t>R_Servicio (veh. 75)</t>
  </si>
  <si>
    <t>R_CostoOp (veh. 75)</t>
  </si>
  <si>
    <t>R_TiempoLleg (veh. 75)</t>
  </si>
  <si>
    <t>R_Tipo (veh. 76)</t>
  </si>
  <si>
    <t>R_Volumen (veh. 76)</t>
  </si>
  <si>
    <t>R_Servicio (veh. 76)</t>
  </si>
  <si>
    <t>R_CostoOp (veh. 76)</t>
  </si>
  <si>
    <t>R_TiempoLleg (veh. 76)</t>
  </si>
  <si>
    <t>R_Tipo (veh. 77)</t>
  </si>
  <si>
    <t>R_Volumen (veh. 77)</t>
  </si>
  <si>
    <t>R_Servicio (veh. 77)</t>
  </si>
  <si>
    <t>R_CostoOp (veh. 77)</t>
  </si>
  <si>
    <t>R_TiempoLleg (veh. 77)</t>
  </si>
  <si>
    <t>R_Tipo (veh. 78)</t>
  </si>
  <si>
    <t>R_Volumen (veh. 78)</t>
  </si>
  <si>
    <t>R_Servicio (veh. 78)</t>
  </si>
  <si>
    <t>R_CostoOp (veh. 78)</t>
  </si>
  <si>
    <t>R_TiempoLleg (veh. 78)</t>
  </si>
  <si>
    <t>R_Tipo (veh. 79)</t>
  </si>
  <si>
    <t>R_Volumen (veh. 79)</t>
  </si>
  <si>
    <t>R_Servicio (veh. 79)</t>
  </si>
  <si>
    <t>R_CostoOp (veh. 79)</t>
  </si>
  <si>
    <t>R_TiempoLleg (veh. 79)</t>
  </si>
  <si>
    <t>R_Tipo (veh. 80)</t>
  </si>
  <si>
    <t>R_Volumen (veh. 80)</t>
  </si>
  <si>
    <t>R_Servicio (veh. 80)</t>
  </si>
  <si>
    <t>R_CostoOp (veh. 80)</t>
  </si>
  <si>
    <t>R_TiempoLleg (veh. 80)</t>
  </si>
  <si>
    <t>R_Tipo (veh. 81)</t>
  </si>
  <si>
    <t>R_Volumen (veh. 81)</t>
  </si>
  <si>
    <t>R_Servicio (veh. 81)</t>
  </si>
  <si>
    <t>R_CostoOp (veh. 81)</t>
  </si>
  <si>
    <t>R_TiempoLleg (veh. 81)</t>
  </si>
  <si>
    <t>R_Tipo (veh. 82)</t>
  </si>
  <si>
    <t>R_Volumen (veh. 82)</t>
  </si>
  <si>
    <t>R_Servicio (veh. 82)</t>
  </si>
  <si>
    <t>R_CostoOp (veh. 82)</t>
  </si>
  <si>
    <t>R_TiempoLleg (veh. 82)</t>
  </si>
  <si>
    <t>R_Tipo (veh. 83)</t>
  </si>
  <si>
    <t>R_Volumen (veh. 83)</t>
  </si>
  <si>
    <t>R_Servicio (veh. 83)</t>
  </si>
  <si>
    <t>R_CostoOp (veh. 83)</t>
  </si>
  <si>
    <t>R_TiempoLleg (veh. 83)</t>
  </si>
  <si>
    <t>R_Tipo (veh. 84)</t>
  </si>
  <si>
    <t>R_Volumen (veh. 84)</t>
  </si>
  <si>
    <t>R_Servicio (veh. 84)</t>
  </si>
  <si>
    <t>R_CostoOp (veh. 84)</t>
  </si>
  <si>
    <t>R_TiempoLleg (veh. 84)</t>
  </si>
  <si>
    <t>R_Tipo (veh. 85)</t>
  </si>
  <si>
    <t>R_Volumen (veh. 85)</t>
  </si>
  <si>
    <t>R_Servicio (veh. 85)</t>
  </si>
  <si>
    <t>R_CostoOp (veh. 85)</t>
  </si>
  <si>
    <t>R_TiempoLleg (veh. 85)</t>
  </si>
  <si>
    <t>R_Tipo (veh. 86)</t>
  </si>
  <si>
    <t>R_Volumen (veh. 86)</t>
  </si>
  <si>
    <t>R_Servicio (veh. 86)</t>
  </si>
  <si>
    <t>R_CostoOp (veh. 86)</t>
  </si>
  <si>
    <t>R_TiempoLleg (veh. 86)</t>
  </si>
  <si>
    <t>R_Tipo (veh. 87)</t>
  </si>
  <si>
    <t>R_Volumen (veh. 87)</t>
  </si>
  <si>
    <t>R_Servicio (veh. 87)</t>
  </si>
  <si>
    <t>R_CostoOp (veh. 87)</t>
  </si>
  <si>
    <t>R_TiempoLleg (veh. 87)</t>
  </si>
  <si>
    <t>R_Tipo (veh. 88)</t>
  </si>
  <si>
    <t>R_Volumen (veh. 88)</t>
  </si>
  <si>
    <t>R_Servicio (veh. 88)</t>
  </si>
  <si>
    <t>R_CostoOp (veh. 88)</t>
  </si>
  <si>
    <t>R_TiempoLleg (veh. 88)</t>
  </si>
  <si>
    <t>R_Tipo (veh. 89)</t>
  </si>
  <si>
    <t>R_Volumen (veh. 89)</t>
  </si>
  <si>
    <t>R_Servicio (veh. 89)</t>
  </si>
  <si>
    <t>R_CostoOp (veh. 89)</t>
  </si>
  <si>
    <t>R_TiempoLleg (veh. 89)</t>
  </si>
  <si>
    <t>R_Tipo (veh. 90)</t>
  </si>
  <si>
    <t>R_Volumen (veh. 90)</t>
  </si>
  <si>
    <t>R_Servicio (veh. 90)</t>
  </si>
  <si>
    <t>R_CostoOp (veh. 90)</t>
  </si>
  <si>
    <t>R_TiempoLleg (veh. 90)</t>
  </si>
  <si>
    <t>R_Tipo (veh. 91)</t>
  </si>
  <si>
    <t>R_Volumen (veh. 91)</t>
  </si>
  <si>
    <t>R_Servicio (veh. 91)</t>
  </si>
  <si>
    <t>R_CostoOp (veh. 91)</t>
  </si>
  <si>
    <t>R_TiempoLleg (veh. 91)</t>
  </si>
  <si>
    <t>R_Tipo (veh. 92)</t>
  </si>
  <si>
    <t>R_Volumen (veh. 92)</t>
  </si>
  <si>
    <t>R_Servicio (veh. 92)</t>
  </si>
  <si>
    <t>R_CostoOp (veh. 92)</t>
  </si>
  <si>
    <t>R_TiempoLleg (veh. 92)</t>
  </si>
  <si>
    <t>R_Tipo (veh. 93)</t>
  </si>
  <si>
    <t>R_Volumen (veh. 93)</t>
  </si>
  <si>
    <t>R_Servicio (veh. 93)</t>
  </si>
  <si>
    <t>R_CostoOp (veh. 93)</t>
  </si>
  <si>
    <t>R_TiempoLleg (veh. 93)</t>
  </si>
  <si>
    <t>R_Tipo (veh. 94)</t>
  </si>
  <si>
    <t>R_Volumen (veh. 94)</t>
  </si>
  <si>
    <t>R_Servicio (veh. 94)</t>
  </si>
  <si>
    <t>R_CostoOp (veh. 94)</t>
  </si>
  <si>
    <t>R_TiempoLleg (veh. 94)</t>
  </si>
  <si>
    <t>R_Tipo (veh. 95)</t>
  </si>
  <si>
    <t>R_Volumen (veh. 95)</t>
  </si>
  <si>
    <t>R_Servicio (veh. 95)</t>
  </si>
  <si>
    <t>R_CostoOp (veh. 95)</t>
  </si>
  <si>
    <t>R_TiempoLleg (veh. 95)</t>
  </si>
  <si>
    <t>R_Tipo (veh. 96)</t>
  </si>
  <si>
    <t>R_Volumen (veh. 96)</t>
  </si>
  <si>
    <t>R_Servicio (veh. 96)</t>
  </si>
  <si>
    <t>R_CostoOp (veh. 96)</t>
  </si>
  <si>
    <t>R_TiempoLleg (veh. 96)</t>
  </si>
  <si>
    <t>R_Tipo (veh. 97)</t>
  </si>
  <si>
    <t>R_Volumen (veh. 97)</t>
  </si>
  <si>
    <t>R_Servicio (veh. 97)</t>
  </si>
  <si>
    <t>R_CostoOp (veh. 97)</t>
  </si>
  <si>
    <t>R_TiempoLleg (veh. 97)</t>
  </si>
  <si>
    <t>R_Tipo (veh. 98)</t>
  </si>
  <si>
    <t>R_Volumen (veh. 98)</t>
  </si>
  <si>
    <t>R_Servicio (veh. 98)</t>
  </si>
  <si>
    <t>R_CostoOp (veh. 98)</t>
  </si>
  <si>
    <t>R_TiempoLleg (veh. 98)</t>
  </si>
  <si>
    <t>R_Tipo (veh. 99)</t>
  </si>
  <si>
    <t>R_Volumen (veh. 99)</t>
  </si>
  <si>
    <t>R_Servicio (veh. 99)</t>
  </si>
  <si>
    <t>R_CostoOp (veh. 99)</t>
  </si>
  <si>
    <t>R_TiempoLleg (veh. 99)</t>
  </si>
  <si>
    <t>R_Tipo (veh. 100)</t>
  </si>
  <si>
    <t>R_Volumen (veh. 100)</t>
  </si>
  <si>
    <t>R_Servicio (veh. 100)</t>
  </si>
  <si>
    <t>R_CostoOp (veh. 100)</t>
  </si>
  <si>
    <t>R_TiempoLleg (veh. 100)</t>
  </si>
  <si>
    <t>R_Tipo (veh. 101)</t>
  </si>
  <si>
    <t>R_Volumen (veh. 101)</t>
  </si>
  <si>
    <t>R_Servicio (veh. 101)</t>
  </si>
  <si>
    <t>R_CostoOp (veh. 101)</t>
  </si>
  <si>
    <t>R_TiempoLleg (veh. 101)</t>
  </si>
  <si>
    <t>R_Tipo (veh. 102)</t>
  </si>
  <si>
    <t>R_Volumen (veh. 102)</t>
  </si>
  <si>
    <t>R_Servicio (veh. 102)</t>
  </si>
  <si>
    <t>R_CostoOp (veh. 102)</t>
  </si>
  <si>
    <t>R_TiempoLleg (veh. 102)</t>
  </si>
  <si>
    <t>R_Tipo (veh. 103)</t>
  </si>
  <si>
    <t>R_Volumen (veh. 103)</t>
  </si>
  <si>
    <t>R_Servicio (veh. 103)</t>
  </si>
  <si>
    <t>R_CostoOp (veh. 103)</t>
  </si>
  <si>
    <t>R_TiempoLleg (veh. 103)</t>
  </si>
  <si>
    <t>R_Tipo (veh. 104)</t>
  </si>
  <si>
    <t>R_Volumen (veh. 104)</t>
  </si>
  <si>
    <t>R_Servicio (veh. 104)</t>
  </si>
  <si>
    <t>R_CostoOp (veh. 104)</t>
  </si>
  <si>
    <t>R_TiempoLleg (veh. 104)</t>
  </si>
  <si>
    <t>R_Tipo (veh. 105)</t>
  </si>
  <si>
    <t>R_Volumen (veh. 105)</t>
  </si>
  <si>
    <t>R_Servicio (veh. 105)</t>
  </si>
  <si>
    <t>R_CostoOp (veh. 105)</t>
  </si>
  <si>
    <t>R_TiempoLleg (veh. 105)</t>
  </si>
  <si>
    <t>R_Tipo (veh. 106)</t>
  </si>
  <si>
    <t>R_Volumen (veh. 106)</t>
  </si>
  <si>
    <t>R_Servicio (veh. 106)</t>
  </si>
  <si>
    <t>R_CostoOp (veh. 106)</t>
  </si>
  <si>
    <t>R_TiempoLleg (veh. 106)</t>
  </si>
  <si>
    <t>R_Tipo (veh. 107)</t>
  </si>
  <si>
    <t>R_Volumen (veh. 107)</t>
  </si>
  <si>
    <t>R_Servicio (veh. 107)</t>
  </si>
  <si>
    <t>R_CostoOp (veh. 107)</t>
  </si>
  <si>
    <t>R_TiempoLleg (veh. 107)</t>
  </si>
  <si>
    <t>R_Tipo (veh. 108)</t>
  </si>
  <si>
    <t>R_Volumen (veh. 108)</t>
  </si>
  <si>
    <t>R_Servicio (veh. 108)</t>
  </si>
  <si>
    <t>R_CostoOp (veh. 108)</t>
  </si>
  <si>
    <t>R_TiempoLleg (veh. 108)</t>
  </si>
  <si>
    <t>R_Tipo (veh. 109)</t>
  </si>
  <si>
    <t>R_Volumen (veh. 109)</t>
  </si>
  <si>
    <t>R_Servicio (veh. 109)</t>
  </si>
  <si>
    <t>R_CostoOp (veh. 109)</t>
  </si>
  <si>
    <t>R_TiempoLleg (veh. 109)</t>
  </si>
  <si>
    <t>R_Tipo (veh. 110)</t>
  </si>
  <si>
    <t>R_Volumen (veh. 110)</t>
  </si>
  <si>
    <t>R_Servicio (veh. 110)</t>
  </si>
  <si>
    <t>R_CostoOp (veh. 110)</t>
  </si>
  <si>
    <t>R_TiempoLleg (veh. 110)</t>
  </si>
  <si>
    <t>R_Tipo (veh. 111)</t>
  </si>
  <si>
    <t>R_Volumen (veh. 111)</t>
  </si>
  <si>
    <t>R_Servicio (veh. 111)</t>
  </si>
  <si>
    <t>R_CostoOp (veh. 111)</t>
  </si>
  <si>
    <t>R_TiempoLleg (veh. 111)</t>
  </si>
  <si>
    <t>R_Tipo (veh. 112)</t>
  </si>
  <si>
    <t>R_Volumen (veh. 112)</t>
  </si>
  <si>
    <t>R_Servicio (veh. 112)</t>
  </si>
  <si>
    <t>R_CostoOp (veh. 112)</t>
  </si>
  <si>
    <t>R_TiempoLleg (veh. 112)</t>
  </si>
  <si>
    <t>R_Tipo (veh. 113)</t>
  </si>
  <si>
    <t>R_Volumen (veh. 113)</t>
  </si>
  <si>
    <t>R_Servicio (veh. 113)</t>
  </si>
  <si>
    <t>R_CostoOp (veh. 113)</t>
  </si>
  <si>
    <t>R_TiempoLleg (veh. 113)</t>
  </si>
  <si>
    <t>R_Tipo (veh. 114)</t>
  </si>
  <si>
    <t>R_Volumen (veh. 114)</t>
  </si>
  <si>
    <t>R_Servicio (veh. 114)</t>
  </si>
  <si>
    <t>R_CostoOp (veh. 114)</t>
  </si>
  <si>
    <t>R_TiempoLleg (veh. 114)</t>
  </si>
  <si>
    <t>R_Tipo (veh. 115)</t>
  </si>
  <si>
    <t>R_Volumen (veh. 115)</t>
  </si>
  <si>
    <t>R_Servicio (veh. 115)</t>
  </si>
  <si>
    <t>R_CostoOp (veh. 115)</t>
  </si>
  <si>
    <t>R_TiempoLleg (veh. 115)</t>
  </si>
  <si>
    <t>R_Tipo (veh. 116)</t>
  </si>
  <si>
    <t>R_Volumen (veh. 116)</t>
  </si>
  <si>
    <t>R_Servicio (veh. 116)</t>
  </si>
  <si>
    <t>R_CostoOp (veh. 116)</t>
  </si>
  <si>
    <t>R_TiempoLleg (veh. 116)</t>
  </si>
  <si>
    <t>R_Tipo (veh. 117)</t>
  </si>
  <si>
    <t>R_Volumen (veh. 117)</t>
  </si>
  <si>
    <t>R_Servicio (veh. 117)</t>
  </si>
  <si>
    <t>R_CostoOp (veh. 117)</t>
  </si>
  <si>
    <t>R_TiempoLleg (veh. 117)</t>
  </si>
  <si>
    <t>R_Tipo (veh. 118)</t>
  </si>
  <si>
    <t>R_Volumen (veh. 118)</t>
  </si>
  <si>
    <t>R_Servicio (veh. 118)</t>
  </si>
  <si>
    <t>R_CostoOp (veh. 118)</t>
  </si>
  <si>
    <t>R_TiempoLleg (veh. 118)</t>
  </si>
  <si>
    <t>R_Tipo (veh. 119)</t>
  </si>
  <si>
    <t>R_Volumen (veh. 119)</t>
  </si>
  <si>
    <t>R_Servicio (veh. 119)</t>
  </si>
  <si>
    <t>R_CostoOp (veh. 119)</t>
  </si>
  <si>
    <t>R_TiempoLleg (veh. 119)</t>
  </si>
  <si>
    <t>R_Tipo (veh. 120)</t>
  </si>
  <si>
    <t>R_Volumen (veh. 120)</t>
  </si>
  <si>
    <t>R_Servicio (veh. 120)</t>
  </si>
  <si>
    <t>R_CostoOp (veh. 120)</t>
  </si>
  <si>
    <t>R_TiempoLleg (veh. 120)</t>
  </si>
  <si>
    <t>R_Tipo (veh. 121)</t>
  </si>
  <si>
    <t>R_Volumen (veh. 121)</t>
  </si>
  <si>
    <t>R_Servicio (veh. 121)</t>
  </si>
  <si>
    <t>R_CostoOp (veh. 121)</t>
  </si>
  <si>
    <t>R_TiempoLleg (veh. 121)</t>
  </si>
  <si>
    <t>R_Tipo (veh. 122)</t>
  </si>
  <si>
    <t>R_Volumen (veh. 122)</t>
  </si>
  <si>
    <t>R_Servicio (veh. 122)</t>
  </si>
  <si>
    <t>R_CostoOp (veh. 122)</t>
  </si>
  <si>
    <t>R_TiempoLleg (veh. 122)</t>
  </si>
  <si>
    <t>R_Tipo (veh. 123)</t>
  </si>
  <si>
    <t>R_Volumen (veh. 123)</t>
  </si>
  <si>
    <t>R_Servicio (veh. 123)</t>
  </si>
  <si>
    <t>R_CostoOp (veh. 123)</t>
  </si>
  <si>
    <t>R_TiempoLleg (veh. 123)</t>
  </si>
  <si>
    <t>R_Tipo (veh. 124)</t>
  </si>
  <si>
    <t>R_Volumen (veh. 124)</t>
  </si>
  <si>
    <t>R_Servicio (veh. 124)</t>
  </si>
  <si>
    <t>R_CostoOp (veh. 124)</t>
  </si>
  <si>
    <t>R_TiempoLleg (veh. 124)</t>
  </si>
  <si>
    <t>R_Tipo (veh. 125)</t>
  </si>
  <si>
    <t>R_Volumen (veh. 125)</t>
  </si>
  <si>
    <t>R_Servicio (veh. 125)</t>
  </si>
  <si>
    <t>R_CostoOp (veh. 125)</t>
  </si>
  <si>
    <t>R_TiempoLleg (veh. 125)</t>
  </si>
  <si>
    <t>R_Tipo (veh. 126)</t>
  </si>
  <si>
    <t>R_Volumen (veh. 126)</t>
  </si>
  <si>
    <t>R_Servicio (veh. 126)</t>
  </si>
  <si>
    <t>R_CostoOp (veh. 126)</t>
  </si>
  <si>
    <t>R_TiempoLleg (veh. 126)</t>
  </si>
  <si>
    <t>R_Tipo (veh. 127)</t>
  </si>
  <si>
    <t>R_Volumen (veh. 127)</t>
  </si>
  <si>
    <t>R_Servicio (veh. 127)</t>
  </si>
  <si>
    <t>R_CostoOp (veh. 127)</t>
  </si>
  <si>
    <t>R_TiempoLleg (veh. 127)</t>
  </si>
  <si>
    <t>R_Tipo (veh. 128)</t>
  </si>
  <si>
    <t>R_Volumen (veh. 128)</t>
  </si>
  <si>
    <t>R_Servicio (veh. 128)</t>
  </si>
  <si>
    <t>R_CostoOp (veh. 128)</t>
  </si>
  <si>
    <t>R_TiempoLleg (veh. 128)</t>
  </si>
  <si>
    <t>R_Tipo (veh. 129)</t>
  </si>
  <si>
    <t>R_Volumen (veh. 129)</t>
  </si>
  <si>
    <t>R_Servicio (veh. 129)</t>
  </si>
  <si>
    <t>R_CostoOp (veh. 129)</t>
  </si>
  <si>
    <t>R_TiempoLleg (veh. 129)</t>
  </si>
  <si>
    <t>R_Tipo (veh. 130)</t>
  </si>
  <si>
    <t>R_Volumen (veh. 130)</t>
  </si>
  <si>
    <t>R_Servicio (veh. 130)</t>
  </si>
  <si>
    <t>R_CostoOp (veh. 130)</t>
  </si>
  <si>
    <t>R_TiempoLleg (veh. 130)</t>
  </si>
  <si>
    <t>R_Tipo (veh. 131)</t>
  </si>
  <si>
    <t>R_Volumen (veh. 131)</t>
  </si>
  <si>
    <t>R_Servicio (veh. 131)</t>
  </si>
  <si>
    <t>R_CostoOp (veh. 131)</t>
  </si>
  <si>
    <t>R_TiempoLleg (veh. 131)</t>
  </si>
  <si>
    <t>R_Tipo (veh. 132)</t>
  </si>
  <si>
    <t>R_Volumen (veh. 132)</t>
  </si>
  <si>
    <t>R_Servicio (veh. 132)</t>
  </si>
  <si>
    <t>R_CostoOp (veh. 132)</t>
  </si>
  <si>
    <t>R_TiempoLleg (veh. 132)</t>
  </si>
  <si>
    <t>R_Tipo (veh. 133)</t>
  </si>
  <si>
    <t>R_Volumen (veh. 133)</t>
  </si>
  <si>
    <t>R_Servicio (veh. 133)</t>
  </si>
  <si>
    <t>R_CostoOp (veh. 133)</t>
  </si>
  <si>
    <t>R_TiempoLleg (veh. 133)</t>
  </si>
  <si>
    <t>R_Tipo (veh. 134)</t>
  </si>
  <si>
    <t>R_Volumen (veh. 134)</t>
  </si>
  <si>
    <t>R_Servicio (veh. 134)</t>
  </si>
  <si>
    <t>R_CostoOp (veh. 134)</t>
  </si>
  <si>
    <t>R_TiempoLleg (veh. 134)</t>
  </si>
  <si>
    <t>R_Tipo (veh. 135)</t>
  </si>
  <si>
    <t>R_Volumen (veh. 135)</t>
  </si>
  <si>
    <t>R_Servicio (veh. 135)</t>
  </si>
  <si>
    <t>R_CostoOp (veh. 135)</t>
  </si>
  <si>
    <t>R_TiempoLleg (veh. 135)</t>
  </si>
  <si>
    <t>R_Tipo (veh. 136)</t>
  </si>
  <si>
    <t>R_Volumen (veh. 136)</t>
  </si>
  <si>
    <t>R_Servicio (veh. 136)</t>
  </si>
  <si>
    <t>R_CostoOp (veh. 136)</t>
  </si>
  <si>
    <t>R_TiempoLleg (veh. 136)</t>
  </si>
  <si>
    <t>R_Tipo (veh. 137)</t>
  </si>
  <si>
    <t>R_Volumen (veh. 137)</t>
  </si>
  <si>
    <t>R_Servicio (veh. 137)</t>
  </si>
  <si>
    <t>R_CostoOp (veh. 137)</t>
  </si>
  <si>
    <t>R_TiempoLleg (veh. 137)</t>
  </si>
  <si>
    <t>R_Tipo (veh. 138)</t>
  </si>
  <si>
    <t>R_Volumen (veh. 138)</t>
  </si>
  <si>
    <t>R_Servicio (veh. 138)</t>
  </si>
  <si>
    <t>R_CostoOp (veh. 138)</t>
  </si>
  <si>
    <t>R_TiempoLleg (veh. 138)</t>
  </si>
  <si>
    <t>R_Tipo (veh. 139)</t>
  </si>
  <si>
    <t>R_Volumen (veh. 139)</t>
  </si>
  <si>
    <t>R_Servicio (veh. 139)</t>
  </si>
  <si>
    <t>R_CostoOp (veh. 139)</t>
  </si>
  <si>
    <t>R_TiempoLleg (veh. 139)</t>
  </si>
  <si>
    <t>R_Tipo (veh. 140)</t>
  </si>
  <si>
    <t>R_Volumen (veh. 140)</t>
  </si>
  <si>
    <t>R_Servicio (veh. 140)</t>
  </si>
  <si>
    <t>R_CostoOp (veh. 140)</t>
  </si>
  <si>
    <t>R_TiempoLleg (veh. 140)</t>
  </si>
  <si>
    <t>R_Tipo (veh. 141)</t>
  </si>
  <si>
    <t>R_Volumen (veh. 141)</t>
  </si>
  <si>
    <t>R_Servicio (veh. 141)</t>
  </si>
  <si>
    <t>R_CostoOp (veh. 141)</t>
  </si>
  <si>
    <t>R_TiempoLleg (veh. 141)</t>
  </si>
  <si>
    <t>R_Tipo (veh. 142)</t>
  </si>
  <si>
    <t>R_Volumen (veh. 142)</t>
  </si>
  <si>
    <t>R_Servicio (veh. 142)</t>
  </si>
  <si>
    <t>R_CostoOp (veh. 142)</t>
  </si>
  <si>
    <t>R_TiempoLleg (veh. 142)</t>
  </si>
  <si>
    <t>R_Tipo (veh. 143)</t>
  </si>
  <si>
    <t>R_Volumen (veh. 143)</t>
  </si>
  <si>
    <t>R_Servicio (veh. 143)</t>
  </si>
  <si>
    <t>R_CostoOp (veh. 143)</t>
  </si>
  <si>
    <t>R_TiempoLleg (veh. 143)</t>
  </si>
  <si>
    <t>R_Tipo (veh. 144)</t>
  </si>
  <si>
    <t>R_Volumen (veh. 144)</t>
  </si>
  <si>
    <t>R_Servicio (veh. 144)</t>
  </si>
  <si>
    <t>R_CostoOp (veh. 144)</t>
  </si>
  <si>
    <t>R_TiempoLleg (veh. 144)</t>
  </si>
  <si>
    <t>R_Tipo (veh. 145)</t>
  </si>
  <si>
    <t>R_Volumen (veh. 145)</t>
  </si>
  <si>
    <t>R_Servicio (veh. 145)</t>
  </si>
  <si>
    <t>R_CostoOp (veh. 145)</t>
  </si>
  <si>
    <t>R_TiempoLleg (veh. 145)</t>
  </si>
  <si>
    <t>R_Tipo (veh. 146)</t>
  </si>
  <si>
    <t>R_Volumen (veh. 146)</t>
  </si>
  <si>
    <t>R_Servicio (veh. 146)</t>
  </si>
  <si>
    <t>R_CostoOp (veh. 146)</t>
  </si>
  <si>
    <t>R_TiempoLleg (veh. 146)</t>
  </si>
  <si>
    <t>R_Tipo (veh. 147)</t>
  </si>
  <si>
    <t>R_Volumen (veh. 147)</t>
  </si>
  <si>
    <t>R_Servicio (veh. 147)</t>
  </si>
  <si>
    <t>R_CostoOp (veh. 147)</t>
  </si>
  <si>
    <t>R_TiempoLleg (veh. 147)</t>
  </si>
  <si>
    <t>R_Tipo (veh. 148)</t>
  </si>
  <si>
    <t>R_Volumen (veh. 148)</t>
  </si>
  <si>
    <t>R_Servicio (veh. 148)</t>
  </si>
  <si>
    <t>R_CostoOp (veh. 148)</t>
  </si>
  <si>
    <t>R_TiempoLleg (veh. 148)</t>
  </si>
  <si>
    <t>R_Tipo (veh. 149)</t>
  </si>
  <si>
    <t>R_Volumen (veh. 149)</t>
  </si>
  <si>
    <t>R_Servicio (veh. 149)</t>
  </si>
  <si>
    <t>R_CostoOp (veh. 149)</t>
  </si>
  <si>
    <t>R_TiempoLleg (veh. 149)</t>
  </si>
  <si>
    <t>R_Tipo (veh. 150)</t>
  </si>
  <si>
    <t>R_Volumen (veh. 150)</t>
  </si>
  <si>
    <t>R_Servicio (veh. 150)</t>
  </si>
  <si>
    <t>R_CostoOp (veh. 150)</t>
  </si>
  <si>
    <t>R_TiempoLleg (veh. 150)</t>
  </si>
  <si>
    <t>R_Tipo (veh. 151)</t>
  </si>
  <si>
    <t>R_Volumen (veh. 151)</t>
  </si>
  <si>
    <t>R_Servicio (veh. 151)</t>
  </si>
  <si>
    <t>R_CostoOp (veh. 151)</t>
  </si>
  <si>
    <t>R_TiempoLleg (veh. 151)</t>
  </si>
  <si>
    <t>R_Tipo (veh. 152)</t>
  </si>
  <si>
    <t>R_Volumen (veh. 152)</t>
  </si>
  <si>
    <t>R_Servicio (veh. 152)</t>
  </si>
  <si>
    <t>R_CostoOp (veh. 152)</t>
  </si>
  <si>
    <t>R_TiempoLleg (veh. 152)</t>
  </si>
  <si>
    <t>R_Tipo (veh. 153)</t>
  </si>
  <si>
    <t>R_Volumen (veh. 153)</t>
  </si>
  <si>
    <t>R_Servicio (veh. 153)</t>
  </si>
  <si>
    <t>R_CostoOp (veh. 153)</t>
  </si>
  <si>
    <t>R_TiempoLleg (veh. 153)</t>
  </si>
  <si>
    <t>R_Tipo (veh. 154)</t>
  </si>
  <si>
    <t>R_Volumen (veh. 154)</t>
  </si>
  <si>
    <t>R_Servicio (veh. 154)</t>
  </si>
  <si>
    <t>R_CostoOp (veh. 154)</t>
  </si>
  <si>
    <t>R_TiempoLleg (veh. 154)</t>
  </si>
  <si>
    <t>R_Tipo (veh. 155)</t>
  </si>
  <si>
    <t>R_Volumen (veh. 155)</t>
  </si>
  <si>
    <t>R_Servicio (veh. 155)</t>
  </si>
  <si>
    <t>R_CostoOp (veh. 155)</t>
  </si>
  <si>
    <t>R_TiempoLleg (veh. 155)</t>
  </si>
  <si>
    <t>R_Tipo (veh. 156)</t>
  </si>
  <si>
    <t>R_Volumen (veh. 156)</t>
  </si>
  <si>
    <t>R_Servicio (veh. 156)</t>
  </si>
  <si>
    <t>R_CostoOp (veh. 156)</t>
  </si>
  <si>
    <t>R_TiempoLleg (veh. 156)</t>
  </si>
  <si>
    <t>R_Tipo (veh. 157)</t>
  </si>
  <si>
    <t>R_Volumen (veh. 157)</t>
  </si>
  <si>
    <t>R_Servicio (veh. 157)</t>
  </si>
  <si>
    <t>R_CostoOp (veh. 157)</t>
  </si>
  <si>
    <t>R_TiempoLleg (veh. 157)</t>
  </si>
  <si>
    <t>R_Tipo (veh. 158)</t>
  </si>
  <si>
    <t>R_Volumen (veh. 158)</t>
  </si>
  <si>
    <t>R_Servicio (veh. 158)</t>
  </si>
  <si>
    <t>R_CostoOp (veh. 158)</t>
  </si>
  <si>
    <t>R_TiempoLleg (veh. 158)</t>
  </si>
  <si>
    <t>R_Tipo (veh. 159)</t>
  </si>
  <si>
    <t>R_Volumen (veh. 159)</t>
  </si>
  <si>
    <t>R_Servicio (veh. 159)</t>
  </si>
  <si>
    <t>R_CostoOp (veh. 159)</t>
  </si>
  <si>
    <t>R_TiempoLleg (veh. 159)</t>
  </si>
  <si>
    <t>R_Tipo (veh. 160)</t>
  </si>
  <si>
    <t>R_Volumen (veh. 160)</t>
  </si>
  <si>
    <t>R_Servicio (veh. 160)</t>
  </si>
  <si>
    <t>R_CostoOp (veh. 160)</t>
  </si>
  <si>
    <t>R_TiempoLleg (veh. 160)</t>
  </si>
  <si>
    <t>R_Tipo (veh. 161)</t>
  </si>
  <si>
    <t>R_Volumen (veh. 161)</t>
  </si>
  <si>
    <t>R_Servicio (veh. 161)</t>
  </si>
  <si>
    <t>R_CostoOp (veh. 161)</t>
  </si>
  <si>
    <t>R_TiempoLleg (veh. 161)</t>
  </si>
  <si>
    <t>R_Tipo (veh. 162)</t>
  </si>
  <si>
    <t>R_Volumen (veh. 162)</t>
  </si>
  <si>
    <t>R_Servicio (veh. 162)</t>
  </si>
  <si>
    <t>R_CostoOp (veh. 162)</t>
  </si>
  <si>
    <t>R_TiempoLleg (veh. 162)</t>
  </si>
  <si>
    <t>R_Tipo (veh. 163)</t>
  </si>
  <si>
    <t>R_Volumen (veh. 163)</t>
  </si>
  <si>
    <t>R_Servicio (veh. 163)</t>
  </si>
  <si>
    <t>R_CostoOp (veh. 163)</t>
  </si>
  <si>
    <t>R_TiempoLleg (veh. 163)</t>
  </si>
  <si>
    <t>R_Tipo (veh. 164)</t>
  </si>
  <si>
    <t>R_Volumen (veh. 164)</t>
  </si>
  <si>
    <t>R_Servicio (veh. 164)</t>
  </si>
  <si>
    <t>R_CostoOp (veh. 164)</t>
  </si>
  <si>
    <t>R_TiempoLleg (veh. 164)</t>
  </si>
  <si>
    <t>R_Tipo (veh. 165)</t>
  </si>
  <si>
    <t>R_Volumen (veh. 165)</t>
  </si>
  <si>
    <t>R_Servicio (veh. 165)</t>
  </si>
  <si>
    <t>R_CostoOp (veh. 165)</t>
  </si>
  <si>
    <t>R_TiempoLleg (veh. 165)</t>
  </si>
  <si>
    <t>R_Tipo (veh. 166)</t>
  </si>
  <si>
    <t>R_Volumen (veh. 166)</t>
  </si>
  <si>
    <t>R_Servicio (veh. 166)</t>
  </si>
  <si>
    <t>R_CostoOp (veh. 166)</t>
  </si>
  <si>
    <t>R_TiempoLleg (veh. 166)</t>
  </si>
  <si>
    <t>R_Tipo (veh. 167)</t>
  </si>
  <si>
    <t>R_Volumen (veh. 167)</t>
  </si>
  <si>
    <t>R_Servicio (veh. 167)</t>
  </si>
  <si>
    <t>R_CostoOp (veh. 167)</t>
  </si>
  <si>
    <t>R_TiempoLleg (veh. 167)</t>
  </si>
  <si>
    <t>R_Tipo (veh. 168)</t>
  </si>
  <si>
    <t>R_Volumen (veh. 168)</t>
  </si>
  <si>
    <t>R_Servicio (veh. 168)</t>
  </si>
  <si>
    <t>R_CostoOp (veh. 168)</t>
  </si>
  <si>
    <t>R_TiempoLleg (veh. 168)</t>
  </si>
  <si>
    <t>R_Tipo (veh. 169)</t>
  </si>
  <si>
    <t>R_Volumen (veh. 169)</t>
  </si>
  <si>
    <t>R_Servicio (veh. 169)</t>
  </si>
  <si>
    <t>R_CostoOp (veh. 169)</t>
  </si>
  <si>
    <t>R_TiempoLleg (veh. 169)</t>
  </si>
  <si>
    <t>R_Tipo (veh. 170)</t>
  </si>
  <si>
    <t>R_Volumen (veh. 170)</t>
  </si>
  <si>
    <t>R_Servicio (veh. 170)</t>
  </si>
  <si>
    <t>R_CostoOp (veh. 170)</t>
  </si>
  <si>
    <t>R_TiempoLleg (veh. 170)</t>
  </si>
  <si>
    <t>R_Tipo (veh. 171)</t>
  </si>
  <si>
    <t>R_Volumen (veh. 171)</t>
  </si>
  <si>
    <t>R_Servicio (veh. 171)</t>
  </si>
  <si>
    <t>R_CostoOp (veh. 171)</t>
  </si>
  <si>
    <t>R_TiempoLleg (veh. 171)</t>
  </si>
  <si>
    <t>R_Tipo (veh. 172)</t>
  </si>
  <si>
    <t>R_Volumen (veh. 172)</t>
  </si>
  <si>
    <t>R_Servicio (veh. 172)</t>
  </si>
  <si>
    <t>R_CostoOp (veh. 172)</t>
  </si>
  <si>
    <t>R_TiempoLleg (veh. 172)</t>
  </si>
  <si>
    <t>R_Tipo (veh. 173)</t>
  </si>
  <si>
    <t>R_Volumen (veh. 173)</t>
  </si>
  <si>
    <t>R_Servicio (veh. 173)</t>
  </si>
  <si>
    <t>R_CostoOp (veh. 173)</t>
  </si>
  <si>
    <t>R_TiempoLleg (veh. 173)</t>
  </si>
  <si>
    <t>R_Tipo (veh. 174)</t>
  </si>
  <si>
    <t>R_Volumen (veh. 174)</t>
  </si>
  <si>
    <t>R_Servicio (veh. 174)</t>
  </si>
  <si>
    <t>R_CostoOp (veh. 174)</t>
  </si>
  <si>
    <t>R_TiempoLleg (veh. 174)</t>
  </si>
  <si>
    <t>R_Tipo (veh. 175)</t>
  </si>
  <si>
    <t>R_Volumen (veh. 175)</t>
  </si>
  <si>
    <t>R_Servicio (veh. 175)</t>
  </si>
  <si>
    <t>R_CostoOp (veh. 175)</t>
  </si>
  <si>
    <t>R_TiempoLleg (veh. 175)</t>
  </si>
  <si>
    <t>R_Tipo (veh. 176)</t>
  </si>
  <si>
    <t>R_Volumen (veh. 176)</t>
  </si>
  <si>
    <t>R_Servicio (veh. 176)</t>
  </si>
  <si>
    <t>R_CostoOp (veh. 176)</t>
  </si>
  <si>
    <t>R_TiempoLleg (veh. 176)</t>
  </si>
  <si>
    <t>R_Tipo (veh. 177)</t>
  </si>
  <si>
    <t>R_Volumen (veh. 177)</t>
  </si>
  <si>
    <t>R_Servicio (veh. 177)</t>
  </si>
  <si>
    <t>R_CostoOp (veh. 177)</t>
  </si>
  <si>
    <t>R_TiempoLleg (veh. 177)</t>
  </si>
  <si>
    <t>R_Tipo (veh. 178)</t>
  </si>
  <si>
    <t>R_Volumen (veh. 178)</t>
  </si>
  <si>
    <t>R_Servicio (veh. 178)</t>
  </si>
  <si>
    <t>R_CostoOp (veh. 178)</t>
  </si>
  <si>
    <t>R_TiempoLleg (veh. 178)</t>
  </si>
  <si>
    <t>R_Tipo (veh. 179)</t>
  </si>
  <si>
    <t>R_Volumen (veh. 179)</t>
  </si>
  <si>
    <t>R_Servicio (veh. 179)</t>
  </si>
  <si>
    <t>R_CostoOp (veh. 179)</t>
  </si>
  <si>
    <t>R_TiempoLleg (veh. 179)</t>
  </si>
  <si>
    <t>R_Tipo (veh. 180)</t>
  </si>
  <si>
    <t>R_Volumen (veh. 180)</t>
  </si>
  <si>
    <t>R_Servicio (veh. 180)</t>
  </si>
  <si>
    <t>R_CostoOp (veh. 180)</t>
  </si>
  <si>
    <t>R_TiempoLleg (veh. 180)</t>
  </si>
  <si>
    <t>R_Tipo (veh. 181)</t>
  </si>
  <si>
    <t>R_Volumen (veh. 181)</t>
  </si>
  <si>
    <t>R_Servicio (veh. 181)</t>
  </si>
  <si>
    <t>R_CostoOp (veh. 181)</t>
  </si>
  <si>
    <t>R_TiempoLleg (veh. 181)</t>
  </si>
  <si>
    <t>R_Tipo (veh. 182)</t>
  </si>
  <si>
    <t>R_Volumen (veh. 182)</t>
  </si>
  <si>
    <t>R_Servicio (veh. 182)</t>
  </si>
  <si>
    <t>R_CostoOp (veh. 182)</t>
  </si>
  <si>
    <t>R_TiempoLleg (veh. 182)</t>
  </si>
  <si>
    <t>R_Tipo (veh. 183)</t>
  </si>
  <si>
    <t>R_Volumen (veh. 183)</t>
  </si>
  <si>
    <t>R_Servicio (veh. 183)</t>
  </si>
  <si>
    <t>R_CostoOp (veh. 183)</t>
  </si>
  <si>
    <t>R_TiempoLleg (veh. 183)</t>
  </si>
  <si>
    <t>R_Tipo (veh. 184)</t>
  </si>
  <si>
    <t>R_Volumen (veh. 184)</t>
  </si>
  <si>
    <t>R_Servicio (veh. 184)</t>
  </si>
  <si>
    <t>R_CostoOp (veh. 184)</t>
  </si>
  <si>
    <t>R_TiempoLleg (veh. 184)</t>
  </si>
  <si>
    <t>R_Tipo (veh. 185)</t>
  </si>
  <si>
    <t>R_Volumen (veh. 185)</t>
  </si>
  <si>
    <t>R_Servicio (veh. 185)</t>
  </si>
  <si>
    <t>R_CostoOp (veh. 185)</t>
  </si>
  <si>
    <t>R_TiempoLleg (veh. 185)</t>
  </si>
  <si>
    <t>R_Tipo (veh. 186)</t>
  </si>
  <si>
    <t>R_Volumen (veh. 186)</t>
  </si>
  <si>
    <t>R_Servicio (veh. 186)</t>
  </si>
  <si>
    <t>R_CostoOp (veh. 186)</t>
  </si>
  <si>
    <t>R_TiempoLleg (veh. 186)</t>
  </si>
  <si>
    <t>R_Tipo (veh. 187)</t>
  </si>
  <si>
    <t>R_Volumen (veh. 187)</t>
  </si>
  <si>
    <t>R_Servicio (veh. 187)</t>
  </si>
  <si>
    <t>R_CostoOp (veh. 187)</t>
  </si>
  <si>
    <t>R_TiempoLleg (veh. 187)</t>
  </si>
  <si>
    <t>R_Tipo (veh. 188)</t>
  </si>
  <si>
    <t>R_Volumen (veh. 188)</t>
  </si>
  <si>
    <t>R_Servicio (veh. 188)</t>
  </si>
  <si>
    <t>R_CostoOp (veh. 188)</t>
  </si>
  <si>
    <t>R_TiempoLleg (veh. 188)</t>
  </si>
  <si>
    <t>R_Tipo (veh. 189)</t>
  </si>
  <si>
    <t>R_Volumen (veh. 189)</t>
  </si>
  <si>
    <t>R_Servicio (veh. 189)</t>
  </si>
  <si>
    <t>R_CostoOp (veh. 189)</t>
  </si>
  <si>
    <t>R_TiempoLleg (veh. 189)</t>
  </si>
  <si>
    <t>R_Tipo (veh. 190)</t>
  </si>
  <si>
    <t>R_Volumen (veh. 190)</t>
  </si>
  <si>
    <t>R_Servicio (veh. 190)</t>
  </si>
  <si>
    <t>R_CostoOp (veh. 190)</t>
  </si>
  <si>
    <t>R_TiempoLleg (veh. 190)</t>
  </si>
  <si>
    <t>R_Tipo (veh. 191)</t>
  </si>
  <si>
    <t>R_Volumen (veh. 191)</t>
  </si>
  <si>
    <t>R_Servicio (veh. 191)</t>
  </si>
  <si>
    <t>R_CostoOp (veh. 191)</t>
  </si>
  <si>
    <t>R_TiempoLleg (veh. 191)</t>
  </si>
  <si>
    <t>R_Tipo (veh. 192)</t>
  </si>
  <si>
    <t>R_Volumen (veh. 192)</t>
  </si>
  <si>
    <t>R_Servicio (veh. 192)</t>
  </si>
  <si>
    <t>R_CostoOp (veh. 192)</t>
  </si>
  <si>
    <t>R_TiempoLleg (veh. 192)</t>
  </si>
  <si>
    <t>R_Tipo (veh. 193)</t>
  </si>
  <si>
    <t>R_Volumen (veh. 193)</t>
  </si>
  <si>
    <t>R_Servicio (veh. 193)</t>
  </si>
  <si>
    <t>R_CostoOp (veh. 193)</t>
  </si>
  <si>
    <t>R_TiempoLleg (veh. 193)</t>
  </si>
  <si>
    <t>R_Tipo (veh. 194)</t>
  </si>
  <si>
    <t>R_Volumen (veh. 194)</t>
  </si>
  <si>
    <t>R_Servicio (veh. 194)</t>
  </si>
  <si>
    <t>R_CostoOp (veh. 194)</t>
  </si>
  <si>
    <t>R_TiempoLleg (veh. 194)</t>
  </si>
  <si>
    <t>R_Tipo (veh. 195)</t>
  </si>
  <si>
    <t>R_Volumen (veh. 195)</t>
  </si>
  <si>
    <t>R_Servicio (veh. 195)</t>
  </si>
  <si>
    <t>R_CostoOp (veh. 195)</t>
  </si>
  <si>
    <t>R_TiempoLleg (veh. 195)</t>
  </si>
  <si>
    <t>R_Tipo (veh. 196)</t>
  </si>
  <si>
    <t>R_Volumen (veh. 196)</t>
  </si>
  <si>
    <t>R_Servicio (veh. 196)</t>
  </si>
  <si>
    <t>R_CostoOp (veh. 196)</t>
  </si>
  <si>
    <t>R_TiempoLleg (veh. 196)</t>
  </si>
  <si>
    <t>R_Tipo (veh. 197)</t>
  </si>
  <si>
    <t>R_Volumen (veh. 197)</t>
  </si>
  <si>
    <t>R_Servicio (veh. 197)</t>
  </si>
  <si>
    <t>R_CostoOp (veh. 197)</t>
  </si>
  <si>
    <t>R_TiempoLleg (veh. 197)</t>
  </si>
  <si>
    <t>R_Tipo (veh. 198)</t>
  </si>
  <si>
    <t>R_Volumen (veh. 198)</t>
  </si>
  <si>
    <t>R_Servicio (veh. 198)</t>
  </si>
  <si>
    <t>R_CostoOp (veh. 198)</t>
  </si>
  <si>
    <t>R_TiempoLleg (veh. 198)</t>
  </si>
  <si>
    <t>R_Tipo (veh. 199)</t>
  </si>
  <si>
    <t>R_Volumen (veh. 199)</t>
  </si>
  <si>
    <t>R_Servicio (veh. 199)</t>
  </si>
  <si>
    <t>R_CostoOp (veh. 199)</t>
  </si>
  <si>
    <t>R_TiempoLleg (veh. 199)</t>
  </si>
  <si>
    <t>R_Tipo (veh. 200)</t>
  </si>
  <si>
    <t>R_Volumen (veh. 200)</t>
  </si>
  <si>
    <t>R_Servicio (veh. 200)</t>
  </si>
  <si>
    <t>R_CostoOp (veh. 200)</t>
  </si>
  <si>
    <t>R_TiempoLleg (veh. 200)</t>
  </si>
  <si>
    <t>R_Tipo (veh. 201)</t>
  </si>
  <si>
    <t>R_Volumen (veh. 201)</t>
  </si>
  <si>
    <t>R_Servicio (veh. 201)</t>
  </si>
  <si>
    <t>R_CostoOp (veh. 201)</t>
  </si>
  <si>
    <t>R_TiempoLleg (veh. 201)</t>
  </si>
  <si>
    <t>R_Tipo (veh. 202)</t>
  </si>
  <si>
    <t>R_Volumen (veh. 202)</t>
  </si>
  <si>
    <t>R_Servicio (veh. 202)</t>
  </si>
  <si>
    <t>R_CostoOp (veh. 202)</t>
  </si>
  <si>
    <t>R_TiempoLleg (veh. 202)</t>
  </si>
  <si>
    <t>R_Tipo (veh. 203)</t>
  </si>
  <si>
    <t>R_Volumen (veh. 203)</t>
  </si>
  <si>
    <t>R_Servicio (veh. 203)</t>
  </si>
  <si>
    <t>R_CostoOp (veh. 203)</t>
  </si>
  <si>
    <t>R_TiempoLleg (veh. 203)</t>
  </si>
  <si>
    <t>R_Tipo (veh. 204)</t>
  </si>
  <si>
    <t>R_Volumen (veh. 204)</t>
  </si>
  <si>
    <t>R_Servicio (veh. 204)</t>
  </si>
  <si>
    <t>R_CostoOp (veh. 204)</t>
  </si>
  <si>
    <t>R_TiempoLleg (veh. 204)</t>
  </si>
  <si>
    <t>R_Tipo (veh. 205)</t>
  </si>
  <si>
    <t>R_Volumen (veh. 205)</t>
  </si>
  <si>
    <t>R_Servicio (veh. 205)</t>
  </si>
  <si>
    <t>R_CostoOp (veh. 205)</t>
  </si>
  <si>
    <t>R_TiempoLleg (veh. 205)</t>
  </si>
  <si>
    <t>R_Tipo (veh. 206)</t>
  </si>
  <si>
    <t>R_Volumen (veh. 206)</t>
  </si>
  <si>
    <t>R_Servicio (veh. 206)</t>
  </si>
  <si>
    <t>R_CostoOp (veh. 206)</t>
  </si>
  <si>
    <t>R_TiempoLleg (veh. 206)</t>
  </si>
  <si>
    <t>R_Tipo (veh. 207)</t>
  </si>
  <si>
    <t>R_Volumen (veh. 207)</t>
  </si>
  <si>
    <t>R_Servicio (veh. 207)</t>
  </si>
  <si>
    <t>R_CostoOp (veh. 207)</t>
  </si>
  <si>
    <t>R_TiempoLleg (veh. 207)</t>
  </si>
  <si>
    <t>R_Tipo (veh. 208)</t>
  </si>
  <si>
    <t>R_Volumen (veh. 208)</t>
  </si>
  <si>
    <t>R_Servicio (veh. 208)</t>
  </si>
  <si>
    <t>R_CostoOp (veh. 208)</t>
  </si>
  <si>
    <t>R_TiempoLleg (veh. 208)</t>
  </si>
  <si>
    <t>R_Tipo (veh. 209)</t>
  </si>
  <si>
    <t>R_Volumen (veh. 209)</t>
  </si>
  <si>
    <t>R_Servicio (veh. 209)</t>
  </si>
  <si>
    <t>R_CostoOp (veh. 209)</t>
  </si>
  <si>
    <t>R_TiempoLleg (veh. 209)</t>
  </si>
  <si>
    <t>R_Tipo (veh. 210)</t>
  </si>
  <si>
    <t>R_Volumen (veh. 210)</t>
  </si>
  <si>
    <t>R_Servicio (veh. 210)</t>
  </si>
  <si>
    <t>R_CostoOp (veh. 210)</t>
  </si>
  <si>
    <t>R_TiempoLleg (veh. 210)</t>
  </si>
  <si>
    <t>R_Tipo (veh. 211)</t>
  </si>
  <si>
    <t>R_Volumen (veh. 211)</t>
  </si>
  <si>
    <t>R_Servicio (veh. 211)</t>
  </si>
  <si>
    <t>R_CostoOp (veh. 211)</t>
  </si>
  <si>
    <t>R_TiempoLleg (veh. 211)</t>
  </si>
  <si>
    <t>R_Tipo (veh. 212)</t>
  </si>
  <si>
    <t>R_Volumen (veh. 212)</t>
  </si>
  <si>
    <t>R_Servicio (veh. 212)</t>
  </si>
  <si>
    <t>R_CostoOp (veh. 212)</t>
  </si>
  <si>
    <t>R_TiempoLleg (veh. 212)</t>
  </si>
  <si>
    <t>R_Tipo (veh. 213)</t>
  </si>
  <si>
    <t>R_Volumen (veh. 213)</t>
  </si>
  <si>
    <t>R_Servicio (veh. 213)</t>
  </si>
  <si>
    <t>R_CostoOp (veh. 213)</t>
  </si>
  <si>
    <t>R_TiempoLleg (veh. 213)</t>
  </si>
  <si>
    <t>R_Tipo (veh. 214)</t>
  </si>
  <si>
    <t>R_Volumen (veh. 214)</t>
  </si>
  <si>
    <t>R_Servicio (veh. 214)</t>
  </si>
  <si>
    <t>R_CostoOp (veh. 214)</t>
  </si>
  <si>
    <t>R_TiempoLleg (veh. 214)</t>
  </si>
  <si>
    <t>R_Tipo (veh. 215)</t>
  </si>
  <si>
    <t>R_Volumen (veh. 215)</t>
  </si>
  <si>
    <t>R_Servicio (veh. 215)</t>
  </si>
  <si>
    <t>R_CostoOp (veh. 215)</t>
  </si>
  <si>
    <t>R_TiempoLleg (veh. 215)</t>
  </si>
  <si>
    <t>R_Tipo (veh. 216)</t>
  </si>
  <si>
    <t>R_Volumen (veh. 216)</t>
  </si>
  <si>
    <t>R_Servicio (veh. 216)</t>
  </si>
  <si>
    <t>R_CostoOp (veh. 216)</t>
  </si>
  <si>
    <t>R_TiempoLleg (veh. 216)</t>
  </si>
  <si>
    <t>R_Tipo (veh. 217)</t>
  </si>
  <si>
    <t>R_Volumen (veh. 217)</t>
  </si>
  <si>
    <t>R_Servicio (veh. 217)</t>
  </si>
  <si>
    <t>R_CostoOp (veh. 217)</t>
  </si>
  <si>
    <t>R_TiempoLleg (veh. 217)</t>
  </si>
  <si>
    <t>R_Tipo (veh. 218)</t>
  </si>
  <si>
    <t>R_Volumen (veh. 218)</t>
  </si>
  <si>
    <t>R_Servicio (veh. 218)</t>
  </si>
  <si>
    <t>R_CostoOp (veh. 218)</t>
  </si>
  <si>
    <t>R_TiempoLleg (veh. 218)</t>
  </si>
  <si>
    <t>R_Tipo (veh. 219)</t>
  </si>
  <si>
    <t>R_Volumen (veh. 219)</t>
  </si>
  <si>
    <t>R_Servicio (veh. 219)</t>
  </si>
  <si>
    <t>R_CostoOp (veh. 219)</t>
  </si>
  <si>
    <t>R_TiempoLleg (veh. 219)</t>
  </si>
  <si>
    <t>R_Tipo (veh. 220)</t>
  </si>
  <si>
    <t>R_Volumen (veh. 220)</t>
  </si>
  <si>
    <t>R_Servicio (veh. 220)</t>
  </si>
  <si>
    <t>R_CostoOp (veh. 220)</t>
  </si>
  <si>
    <t>R_TiempoLleg (veh. 220)</t>
  </si>
  <si>
    <t>R_Tipo (veh. 221)</t>
  </si>
  <si>
    <t>R_Volumen (veh. 221)</t>
  </si>
  <si>
    <t>R_Servicio (veh. 221)</t>
  </si>
  <si>
    <t>R_CostoOp (veh. 221)</t>
  </si>
  <si>
    <t>R_TiempoLleg (veh. 221)</t>
  </si>
  <si>
    <t>R_Tipo (veh. 222)</t>
  </si>
  <si>
    <t>R_Volumen (veh. 222)</t>
  </si>
  <si>
    <t>R_Servicio (veh. 222)</t>
  </si>
  <si>
    <t>R_CostoOp (veh. 222)</t>
  </si>
  <si>
    <t>R_TiempoLleg (veh. 222)</t>
  </si>
  <si>
    <t>R_Tipo (veh. 223)</t>
  </si>
  <si>
    <t>R_Volumen (veh. 223)</t>
  </si>
  <si>
    <t>R_Servicio (veh. 223)</t>
  </si>
  <si>
    <t>R_CostoOp (veh. 223)</t>
  </si>
  <si>
    <t>R_TiempoLleg (veh. 223)</t>
  </si>
  <si>
    <t>R_Tipo (veh. 224)</t>
  </si>
  <si>
    <t>R_Volumen (veh. 224)</t>
  </si>
  <si>
    <t>R_Servicio (veh. 224)</t>
  </si>
  <si>
    <t>R_CostoOp (veh. 224)</t>
  </si>
  <si>
    <t>R_TiempoLleg (veh. 224)</t>
  </si>
  <si>
    <t>R_Tipo (veh. 225)</t>
  </si>
  <si>
    <t>R_Volumen (veh. 225)</t>
  </si>
  <si>
    <t>R_Servicio (veh. 225)</t>
  </si>
  <si>
    <t>R_CostoOp (veh. 225)</t>
  </si>
  <si>
    <t>R_TiempoLleg (veh. 225)</t>
  </si>
  <si>
    <t>R_Tipo (veh. 226)</t>
  </si>
  <si>
    <t>R_Volumen (veh. 226)</t>
  </si>
  <si>
    <t>R_Servicio (veh. 226)</t>
  </si>
  <si>
    <t>R_CostoOp (veh. 226)</t>
  </si>
  <si>
    <t>R_TiempoLleg (veh. 226)</t>
  </si>
  <si>
    <t>R_Tipo (veh. 227)</t>
  </si>
  <si>
    <t>R_Volumen (veh. 227)</t>
  </si>
  <si>
    <t>R_Servicio (veh. 227)</t>
  </si>
  <si>
    <t>R_CostoOp (veh. 227)</t>
  </si>
  <si>
    <t>R_TiempoLleg (veh. 227)</t>
  </si>
  <si>
    <t>R_Tipo (veh. 228)</t>
  </si>
  <si>
    <t>R_Volumen (veh. 228)</t>
  </si>
  <si>
    <t>R_Servicio (veh. 228)</t>
  </si>
  <si>
    <t>R_CostoOp (veh. 228)</t>
  </si>
  <si>
    <t>R_TiempoLleg (veh. 228)</t>
  </si>
  <si>
    <t>R_Tipo (veh. 229)</t>
  </si>
  <si>
    <t>R_Volumen (veh. 229)</t>
  </si>
  <si>
    <t>R_Servicio (veh. 229)</t>
  </si>
  <si>
    <t>R_CostoOp (veh. 229)</t>
  </si>
  <si>
    <t>R_TiempoLleg (veh. 229)</t>
  </si>
  <si>
    <t>R_Tipo (veh. 230)</t>
  </si>
  <si>
    <t>R_Volumen (veh. 230)</t>
  </si>
  <si>
    <t>R_Servicio (veh. 230)</t>
  </si>
  <si>
    <t>R_CostoOp (veh. 230)</t>
  </si>
  <si>
    <t>R_TiempoLleg (veh. 230)</t>
  </si>
  <si>
    <t>R_Tipo (veh. 231)</t>
  </si>
  <si>
    <t>R_Volumen (veh. 231)</t>
  </si>
  <si>
    <t>R_Servicio (veh. 231)</t>
  </si>
  <si>
    <t>R_CostoOp (veh. 231)</t>
  </si>
  <si>
    <t>R_TiempoLleg (veh. 231)</t>
  </si>
  <si>
    <t>R_Tipo (veh. 232)</t>
  </si>
  <si>
    <t>R_Volumen (veh. 232)</t>
  </si>
  <si>
    <t>R_Servicio (veh. 232)</t>
  </si>
  <si>
    <t>R_CostoOp (veh. 232)</t>
  </si>
  <si>
    <t>R_TiempoLleg (veh. 232)</t>
  </si>
  <si>
    <t>R_Tipo (veh. 233)</t>
  </si>
  <si>
    <t>R_Volumen (veh. 233)</t>
  </si>
  <si>
    <t>R_Servicio (veh. 233)</t>
  </si>
  <si>
    <t>R_CostoOp (veh. 233)</t>
  </si>
  <si>
    <t>R_TiempoLleg (veh. 233)</t>
  </si>
  <si>
    <t>R_Tipo (veh. 234)</t>
  </si>
  <si>
    <t>R_Volumen (veh. 234)</t>
  </si>
  <si>
    <t>R_Servicio (veh. 234)</t>
  </si>
  <si>
    <t>R_CostoOp (veh. 234)</t>
  </si>
  <si>
    <t>R_TiempoLleg (veh. 234)</t>
  </si>
  <si>
    <t>R_Tipo (veh. 235)</t>
  </si>
  <si>
    <t>R_Volumen (veh. 235)</t>
  </si>
  <si>
    <t>R_Servicio (veh. 235)</t>
  </si>
  <si>
    <t>R_CostoOp (veh. 235)</t>
  </si>
  <si>
    <t>R_TiempoLleg (veh. 235)</t>
  </si>
  <si>
    <t>R_Tipo (veh. 236)</t>
  </si>
  <si>
    <t>R_Volumen (veh. 236)</t>
  </si>
  <si>
    <t>R_Servicio (veh. 236)</t>
  </si>
  <si>
    <t>R_CostoOp (veh. 236)</t>
  </si>
  <si>
    <t>R_TiempoLleg (veh. 236)</t>
  </si>
  <si>
    <t>R_Tipo (veh. 237)</t>
  </si>
  <si>
    <t>R_Volumen (veh. 237)</t>
  </si>
  <si>
    <t>R_Servicio (veh. 237)</t>
  </si>
  <si>
    <t>R_CostoOp (veh. 237)</t>
  </si>
  <si>
    <t>R_TiempoLleg (veh. 237)</t>
  </si>
  <si>
    <t>R_Tipo (veh. 238)</t>
  </si>
  <si>
    <t>R_Volumen (veh. 238)</t>
  </si>
  <si>
    <t>R_Servicio (veh. 238)</t>
  </si>
  <si>
    <t>R_CostoOp (veh. 238)</t>
  </si>
  <si>
    <t>R_TiempoLleg (veh. 238)</t>
  </si>
  <si>
    <t>R_Tipo (veh. 239)</t>
  </si>
  <si>
    <t>R_Volumen (veh. 239)</t>
  </si>
  <si>
    <t>R_Servicio (veh. 239)</t>
  </si>
  <si>
    <t>R_CostoOp (veh. 239)</t>
  </si>
  <si>
    <t>R_TiempoLleg (veh. 239)</t>
  </si>
  <si>
    <t>R_Tipo (veh. 240)</t>
  </si>
  <si>
    <t>R_Volumen (veh. 240)</t>
  </si>
  <si>
    <t>R_Servicio (veh. 240)</t>
  </si>
  <si>
    <t>R_CostoOp (veh. 240)</t>
  </si>
  <si>
    <t>R_TiempoLleg (veh. 240)</t>
  </si>
  <si>
    <t>R_Tipo (veh. 241)</t>
  </si>
  <si>
    <t>R_Volumen (veh. 241)</t>
  </si>
  <si>
    <t>R_Servicio (veh. 241)</t>
  </si>
  <si>
    <t>R_CostoOp (veh. 241)</t>
  </si>
  <si>
    <t>R_TiempoLleg (veh. 241)</t>
  </si>
  <si>
    <t>R_Tipo (veh. 242)</t>
  </si>
  <si>
    <t>R_Volumen (veh. 242)</t>
  </si>
  <si>
    <t>R_Servicio (veh. 242)</t>
  </si>
  <si>
    <t>R_CostoOp (veh. 242)</t>
  </si>
  <si>
    <t>R_TiempoLleg (veh. 242)</t>
  </si>
  <si>
    <t>R_Tipo (veh. 243)</t>
  </si>
  <si>
    <t>R_Volumen (veh. 243)</t>
  </si>
  <si>
    <t>R_Servicio (veh. 243)</t>
  </si>
  <si>
    <t>R_CostoOp (veh. 243)</t>
  </si>
  <si>
    <t>R_TiempoLleg (veh. 243)</t>
  </si>
  <si>
    <t>R_Tipo (veh. 244)</t>
  </si>
  <si>
    <t>R_Volumen (veh. 244)</t>
  </si>
  <si>
    <t>R_Servicio (veh. 244)</t>
  </si>
  <si>
    <t>R_CostoOp (veh. 244)</t>
  </si>
  <si>
    <t>R_TiempoLleg (veh. 244)</t>
  </si>
  <si>
    <t>R_Tipo (veh. 245)</t>
  </si>
  <si>
    <t>R_Volumen (veh. 245)</t>
  </si>
  <si>
    <t>R_Servicio (veh. 245)</t>
  </si>
  <si>
    <t>R_CostoOp (veh. 245)</t>
  </si>
  <si>
    <t>R_TiempoLleg (veh. 245)</t>
  </si>
  <si>
    <t>R_Tipo (veh. 246)</t>
  </si>
  <si>
    <t>R_Volumen (veh. 246)</t>
  </si>
  <si>
    <t>R_Servicio (veh. 246)</t>
  </si>
  <si>
    <t>R_CostoOp (veh. 246)</t>
  </si>
  <si>
    <t>R_TiempoLleg (veh. 246)</t>
  </si>
  <si>
    <t>R_Tipo (veh. 247)</t>
  </si>
  <si>
    <t>R_Volumen (veh. 247)</t>
  </si>
  <si>
    <t>R_Servicio (veh. 247)</t>
  </si>
  <si>
    <t>R_CostoOp (veh. 247)</t>
  </si>
  <si>
    <t>R_TiempoLleg (veh. 247)</t>
  </si>
  <si>
    <t>R_Tipo (veh. 248)</t>
  </si>
  <si>
    <t>R_Volumen (veh. 248)</t>
  </si>
  <si>
    <t>R_Servicio (veh. 248)</t>
  </si>
  <si>
    <t>R_CostoOp (veh. 248)</t>
  </si>
  <si>
    <t>R_TiempoLleg (veh. 248)</t>
  </si>
  <si>
    <t>R_Tipo (veh. 249)</t>
  </si>
  <si>
    <t>R_Volumen (veh. 249)</t>
  </si>
  <si>
    <t>R_Servicio (veh. 249)</t>
  </si>
  <si>
    <t>R_CostoOp (veh. 249)</t>
  </si>
  <si>
    <t>R_TiempoLleg (veh. 249)</t>
  </si>
  <si>
    <t>R_Tipo (veh. 250)</t>
  </si>
  <si>
    <t>R_Volumen (veh. 250)</t>
  </si>
  <si>
    <t>R_Servicio (veh. 250)</t>
  </si>
  <si>
    <t>R_CostoOp (veh. 250)</t>
  </si>
  <si>
    <t>R_TiempoLleg (veh. 250)</t>
  </si>
  <si>
    <t>R_Tipo (veh. 251)</t>
  </si>
  <si>
    <t>R_Volumen (veh. 251)</t>
  </si>
  <si>
    <t>R_Servicio (veh. 251)</t>
  </si>
  <si>
    <t>R_CostoOp (veh. 251)</t>
  </si>
  <si>
    <t>R_TiempoLleg (veh. 251)</t>
  </si>
  <si>
    <t>R_Tipo (veh. 252)</t>
  </si>
  <si>
    <t>R_Volumen (veh. 252)</t>
  </si>
  <si>
    <t>R_Servicio (veh. 252)</t>
  </si>
  <si>
    <t>R_CostoOp (veh. 252)</t>
  </si>
  <si>
    <t>R_TiempoLleg (veh. 252)</t>
  </si>
  <si>
    <t>R_Tipo (veh. 253)</t>
  </si>
  <si>
    <t>R_Volumen (veh. 253)</t>
  </si>
  <si>
    <t>R_Servicio (veh. 253)</t>
  </si>
  <si>
    <t>R_CostoOp (veh. 253)</t>
  </si>
  <si>
    <t>R_TiempoLleg (veh. 253)</t>
  </si>
  <si>
    <t>R_Tipo (veh. 254)</t>
  </si>
  <si>
    <t>R_Volumen (veh. 254)</t>
  </si>
  <si>
    <t>R_Servicio (veh. 254)</t>
  </si>
  <si>
    <t>R_CostoOp (veh. 254)</t>
  </si>
  <si>
    <t>R_TiempoLleg (veh. 254)</t>
  </si>
  <si>
    <t>R_Tipo (veh. 255)</t>
  </si>
  <si>
    <t>R_Volumen (veh. 255)</t>
  </si>
  <si>
    <t>R_Servicio (veh. 255)</t>
  </si>
  <si>
    <t>R_CostoOp (veh. 255)</t>
  </si>
  <si>
    <t>R_TiempoLleg (veh. 255)</t>
  </si>
  <si>
    <t>R_Tipo (veh. 256)</t>
  </si>
  <si>
    <t>R_Volumen (veh. 256)</t>
  </si>
  <si>
    <t>R_Servicio (veh. 256)</t>
  </si>
  <si>
    <t>R_CostoOp (veh. 256)</t>
  </si>
  <si>
    <t>R_TiempoLleg (veh. 256)</t>
  </si>
  <si>
    <t>R_Tipo (veh. 257)</t>
  </si>
  <si>
    <t>R_Volumen (veh. 257)</t>
  </si>
  <si>
    <t>R_Servicio (veh. 257)</t>
  </si>
  <si>
    <t>R_CostoOp (veh. 257)</t>
  </si>
  <si>
    <t>R_TiempoLleg (veh. 257)</t>
  </si>
  <si>
    <t>R_Tipo (veh. 258)</t>
  </si>
  <si>
    <t>R_Volumen (veh. 258)</t>
  </si>
  <si>
    <t>R_Servicio (veh. 258)</t>
  </si>
  <si>
    <t>R_CostoOp (veh. 258)</t>
  </si>
  <si>
    <t>R_TiempoLleg (veh. 258)</t>
  </si>
  <si>
    <t>R_Tipo (veh. 259)</t>
  </si>
  <si>
    <t>R_Volumen (veh. 259)</t>
  </si>
  <si>
    <t>R_Servicio (veh. 259)</t>
  </si>
  <si>
    <t>R_CostoOp (veh. 259)</t>
  </si>
  <si>
    <t>R_TiempoLleg (veh. 259)</t>
  </si>
  <si>
    <t>R_Tipo (veh. 260)</t>
  </si>
  <si>
    <t>R_Volumen (veh. 260)</t>
  </si>
  <si>
    <t>R_Servicio (veh. 260)</t>
  </si>
  <si>
    <t>R_CostoOp (veh. 260)</t>
  </si>
  <si>
    <t>R_TiempoLleg (veh. 260)</t>
  </si>
  <si>
    <t>R_Tipo (veh. 261)</t>
  </si>
  <si>
    <t>R_Volumen (veh. 261)</t>
  </si>
  <si>
    <t>R_Servicio (veh. 261)</t>
  </si>
  <si>
    <t>R_CostoOp (veh. 261)</t>
  </si>
  <si>
    <t>R_TiempoLleg (veh. 261)</t>
  </si>
  <si>
    <t>R_Tipo (veh. 262)</t>
  </si>
  <si>
    <t>R_Volumen (veh. 262)</t>
  </si>
  <si>
    <t>R_Servicio (veh. 262)</t>
  </si>
  <si>
    <t>R_CostoOp (veh. 262)</t>
  </si>
  <si>
    <t>R_TiempoLleg (veh. 262)</t>
  </si>
  <si>
    <t>R_Tipo (veh. 263)</t>
  </si>
  <si>
    <t>R_Volumen (veh. 263)</t>
  </si>
  <si>
    <t>R_Servicio (veh. 263)</t>
  </si>
  <si>
    <t>R_CostoOp (veh. 263)</t>
  </si>
  <si>
    <t>R_TiempoLleg (veh. 263)</t>
  </si>
  <si>
    <t>R_Tipo (veh. 264)</t>
  </si>
  <si>
    <t>R_Volumen (veh. 264)</t>
  </si>
  <si>
    <t>R_Servicio (veh. 264)</t>
  </si>
  <si>
    <t>R_CostoOp (veh. 264)</t>
  </si>
  <si>
    <t>R_TiempoLleg (veh. 264)</t>
  </si>
  <si>
    <t>R_Tipo (veh. 265)</t>
  </si>
  <si>
    <t>R_Volumen (veh. 265)</t>
  </si>
  <si>
    <t>R_Servicio (veh. 265)</t>
  </si>
  <si>
    <t>R_CostoOp (veh. 265)</t>
  </si>
  <si>
    <t>R_TiempoLleg (veh. 265)</t>
  </si>
  <si>
    <t>R_Tipo (veh. 266)</t>
  </si>
  <si>
    <t>R_Volumen (veh. 266)</t>
  </si>
  <si>
    <t>R_Servicio (veh. 266)</t>
  </si>
  <si>
    <t>R_CostoOp (veh. 266)</t>
  </si>
  <si>
    <t>R_TiempoLleg (veh. 266)</t>
  </si>
  <si>
    <t>R_Tipo (veh. 267)</t>
  </si>
  <si>
    <t>R_Volumen (veh. 267)</t>
  </si>
  <si>
    <t>R_Servicio (veh. 267)</t>
  </si>
  <si>
    <t>R_CostoOp (veh. 267)</t>
  </si>
  <si>
    <t>R_TiempoLleg (veh. 267)</t>
  </si>
  <si>
    <t>R_Tipo (veh. 268)</t>
  </si>
  <si>
    <t>R_Volumen (veh. 268)</t>
  </si>
  <si>
    <t>R_Servicio (veh. 268)</t>
  </si>
  <si>
    <t>R_CostoOp (veh. 268)</t>
  </si>
  <si>
    <t>R_TiempoLleg (veh. 268)</t>
  </si>
  <si>
    <t>R_Tipo (veh. 269)</t>
  </si>
  <si>
    <t>R_Volumen (veh. 269)</t>
  </si>
  <si>
    <t>R_Servicio (veh. 269)</t>
  </si>
  <si>
    <t>R_CostoOp (veh. 269)</t>
  </si>
  <si>
    <t>R_TiempoLleg (veh. 269)</t>
  </si>
  <si>
    <t>R_Tipo (veh. 270)</t>
  </si>
  <si>
    <t>R_Volumen (veh. 270)</t>
  </si>
  <si>
    <t>R_Servicio (veh. 270)</t>
  </si>
  <si>
    <t>R_CostoOp (veh. 270)</t>
  </si>
  <si>
    <t>R_TiempoLleg (veh. 270)</t>
  </si>
  <si>
    <t>R_Tipo (veh. 271)</t>
  </si>
  <si>
    <t>R_Volumen (veh. 271)</t>
  </si>
  <si>
    <t>R_Servicio (veh. 271)</t>
  </si>
  <si>
    <t>R_CostoOp (veh. 271)</t>
  </si>
  <si>
    <t>R_TiempoLleg (veh. 271)</t>
  </si>
  <si>
    <t>R_Tipo (veh. 272)</t>
  </si>
  <si>
    <t>R_Volumen (veh. 272)</t>
  </si>
  <si>
    <t>R_Servicio (veh. 272)</t>
  </si>
  <si>
    <t>R_CostoOp (veh. 272)</t>
  </si>
  <si>
    <t>R_TiempoLleg (veh. 272)</t>
  </si>
  <si>
    <t>R_Tipo (veh. 273)</t>
  </si>
  <si>
    <t>R_Volumen (veh. 273)</t>
  </si>
  <si>
    <t>R_Servicio (veh. 273)</t>
  </si>
  <si>
    <t>R_CostoOp (veh. 273)</t>
  </si>
  <si>
    <t>R_TiempoLleg (veh. 273)</t>
  </si>
  <si>
    <t>R_Tipo (veh. 274)</t>
  </si>
  <si>
    <t>R_Volumen (veh. 274)</t>
  </si>
  <si>
    <t>R_Servicio (veh. 274)</t>
  </si>
  <si>
    <t>R_CostoOp (veh. 274)</t>
  </si>
  <si>
    <t>R_TiempoLleg (veh. 274)</t>
  </si>
  <si>
    <t>R_Tipo (veh. 275)</t>
  </si>
  <si>
    <t>R_Volumen (veh. 275)</t>
  </si>
  <si>
    <t>R_Servicio (veh. 275)</t>
  </si>
  <si>
    <t>R_CostoOp (veh. 275)</t>
  </si>
  <si>
    <t>R_TiempoLleg (veh. 275)</t>
  </si>
  <si>
    <t>R_Tipo (veh. 276)</t>
  </si>
  <si>
    <t>R_Volumen (veh. 276)</t>
  </si>
  <si>
    <t>R_Servicio (veh. 276)</t>
  </si>
  <si>
    <t>R_CostoOp (veh. 276)</t>
  </si>
  <si>
    <t>R_TiempoLleg (veh. 276)</t>
  </si>
  <si>
    <t>R_Tipo (veh. 277)</t>
  </si>
  <si>
    <t>R_Volumen (veh. 277)</t>
  </si>
  <si>
    <t>R_Servicio (veh. 277)</t>
  </si>
  <si>
    <t>R_CostoOp (veh. 277)</t>
  </si>
  <si>
    <t>R_TiempoLleg (veh. 277)</t>
  </si>
  <si>
    <t>R_Tipo (veh. 278)</t>
  </si>
  <si>
    <t>R_Volumen (veh. 278)</t>
  </si>
  <si>
    <t>R_Servicio (veh. 278)</t>
  </si>
  <si>
    <t>R_CostoOp (veh. 278)</t>
  </si>
  <si>
    <t>R_TiempoLleg (veh. 278)</t>
  </si>
  <si>
    <t>R_Tipo (veh. 279)</t>
  </si>
  <si>
    <t>R_Volumen (veh. 279)</t>
  </si>
  <si>
    <t>R_Servicio (veh. 279)</t>
  </si>
  <si>
    <t>R_CostoOp (veh. 279)</t>
  </si>
  <si>
    <t>R_TiempoLleg (veh. 279)</t>
  </si>
  <si>
    <t>R_Tipo (veh. 280)</t>
  </si>
  <si>
    <t>R_Volumen (veh. 280)</t>
  </si>
  <si>
    <t>R_Servicio (veh. 280)</t>
  </si>
  <si>
    <t>R_CostoOp (veh. 280)</t>
  </si>
  <si>
    <t>R_TiempoLleg (veh. 280)</t>
  </si>
  <si>
    <t>R_Tipo (veh. 281)</t>
  </si>
  <si>
    <t>R_Volumen (veh. 281)</t>
  </si>
  <si>
    <t>R_Servicio (veh. 281)</t>
  </si>
  <si>
    <t>R_CostoOp (veh. 281)</t>
  </si>
  <si>
    <t>R_TiempoLleg (veh. 281)</t>
  </si>
  <si>
    <t>R_Tipo (veh. 282)</t>
  </si>
  <si>
    <t>R_Volumen (veh. 282)</t>
  </si>
  <si>
    <t>R_Servicio (veh. 282)</t>
  </si>
  <si>
    <t>R_CostoOp (veh. 282)</t>
  </si>
  <si>
    <t>R_TiempoLleg (veh. 282)</t>
  </si>
  <si>
    <t>R_Tipo (veh. 283)</t>
  </si>
  <si>
    <t>R_Volumen (veh. 283)</t>
  </si>
  <si>
    <t>R_Servicio (veh. 283)</t>
  </si>
  <si>
    <t>R_CostoOp (veh. 283)</t>
  </si>
  <si>
    <t>R_TiempoLleg (veh. 283)</t>
  </si>
  <si>
    <t>R_Tipo (veh. 284)</t>
  </si>
  <si>
    <t>R_Volumen (veh. 284)</t>
  </si>
  <si>
    <t>R_Servicio (veh. 284)</t>
  </si>
  <si>
    <t>R_CostoOp (veh. 284)</t>
  </si>
  <si>
    <t>R_TiempoLleg (veh. 284)</t>
  </si>
  <si>
    <t>R_Tipo (veh. 285)</t>
  </si>
  <si>
    <t>R_Volumen (veh. 285)</t>
  </si>
  <si>
    <t>R_Servicio (veh. 285)</t>
  </si>
  <si>
    <t>R_CostoOp (veh. 285)</t>
  </si>
  <si>
    <t>R_TiempoLleg (veh. 285)</t>
  </si>
  <si>
    <t>R_Tipo (veh. 286)</t>
  </si>
  <si>
    <t>R_Volumen (veh. 286)</t>
  </si>
  <si>
    <t>R_Servicio (veh. 286)</t>
  </si>
  <si>
    <t>R_CostoOp (veh. 286)</t>
  </si>
  <si>
    <t>R_TiempoLleg (veh. 286)</t>
  </si>
  <si>
    <t>R_Tipo (veh. 287)</t>
  </si>
  <si>
    <t>R_Volumen (veh. 287)</t>
  </si>
  <si>
    <t>R_Servicio (veh. 287)</t>
  </si>
  <si>
    <t>R_CostoOp (veh. 287)</t>
  </si>
  <si>
    <t>R_TiempoLleg (veh. 287)</t>
  </si>
  <si>
    <t>R_Tipo (veh. 288)</t>
  </si>
  <si>
    <t>R_Volumen (veh. 288)</t>
  </si>
  <si>
    <t>R_Servicio (veh. 288)</t>
  </si>
  <si>
    <t>R_CostoOp (veh. 288)</t>
  </si>
  <si>
    <t>R_TiempoLleg (veh. 288)</t>
  </si>
  <si>
    <t>R_Tipo (veh. 289)</t>
  </si>
  <si>
    <t>R_Volumen (veh. 289)</t>
  </si>
  <si>
    <t>R_Servicio (veh. 289)</t>
  </si>
  <si>
    <t>R_CostoOp (veh. 289)</t>
  </si>
  <si>
    <t>R_TiempoLleg (veh. 289)</t>
  </si>
  <si>
    <t>R_Tipo (veh. 290)</t>
  </si>
  <si>
    <t>R_Volumen (veh. 290)</t>
  </si>
  <si>
    <t>R_Servicio (veh. 290)</t>
  </si>
  <si>
    <t>R_CostoOp (veh. 290)</t>
  </si>
  <si>
    <t>R_TiempoLleg (veh. 290)</t>
  </si>
  <si>
    <t>R_Tipo (veh. 291)</t>
  </si>
  <si>
    <t>R_Volumen (veh. 291)</t>
  </si>
  <si>
    <t>R_Servicio (veh. 291)</t>
  </si>
  <si>
    <t>R_CostoOp (veh. 291)</t>
  </si>
  <si>
    <t>R_TiempoLleg (veh. 291)</t>
  </si>
  <si>
    <t>R_Tipo (veh. 292)</t>
  </si>
  <si>
    <t>R_Volumen (veh. 292)</t>
  </si>
  <si>
    <t>R_Servicio (veh. 292)</t>
  </si>
  <si>
    <t>R_CostoOp (veh. 292)</t>
  </si>
  <si>
    <t>R_TiempoLleg (veh. 292)</t>
  </si>
  <si>
    <t>R_Tipo (veh. 293)</t>
  </si>
  <si>
    <t>R_Volumen (veh. 293)</t>
  </si>
  <si>
    <t>R_Servicio (veh. 293)</t>
  </si>
  <si>
    <t>R_CostoOp (veh. 293)</t>
  </si>
  <si>
    <t>R_TiempoLleg (veh. 293)</t>
  </si>
  <si>
    <t>R_Tipo (veh. 294)</t>
  </si>
  <si>
    <t>R_Volumen (veh. 294)</t>
  </si>
  <si>
    <t>R_Servicio (veh. 294)</t>
  </si>
  <si>
    <t>R_CostoOp (veh. 294)</t>
  </si>
  <si>
    <t>R_TiempoLleg (veh. 294)</t>
  </si>
  <si>
    <t>R_Tipo (veh. 295)</t>
  </si>
  <si>
    <t>R_Volumen (veh. 295)</t>
  </si>
  <si>
    <t>R_Servicio (veh. 295)</t>
  </si>
  <si>
    <t>R_CostoOp (veh. 295)</t>
  </si>
  <si>
    <t>R_TiempoLleg (veh. 295)</t>
  </si>
  <si>
    <t>R_Tipo (veh. 296)</t>
  </si>
  <si>
    <t>R_Volumen (veh. 296)</t>
  </si>
  <si>
    <t>R_Servicio (veh. 296)</t>
  </si>
  <si>
    <t>R_CostoOp (veh. 296)</t>
  </si>
  <si>
    <t>R_TiempoLleg (veh. 296)</t>
  </si>
  <si>
    <t>R_Tipo (veh. 297)</t>
  </si>
  <si>
    <t>R_Volumen (veh. 297)</t>
  </si>
  <si>
    <t>R_Servicio (veh. 297)</t>
  </si>
  <si>
    <t>R_CostoOp (veh. 297)</t>
  </si>
  <si>
    <t>R_TiempoLleg (veh. 297)</t>
  </si>
  <si>
    <t>R_Tipo (veh. 298)</t>
  </si>
  <si>
    <t>R_Volumen (veh. 298)</t>
  </si>
  <si>
    <t>R_Servicio (veh. 298)</t>
  </si>
  <si>
    <t>R_CostoOp (veh. 298)</t>
  </si>
  <si>
    <t>R_TiempoLleg (veh. 298)</t>
  </si>
  <si>
    <t>R_Tipo (veh. 299)</t>
  </si>
  <si>
    <t>R_Volumen (veh. 299)</t>
  </si>
  <si>
    <t>R_Servicio (veh. 299)</t>
  </si>
  <si>
    <t>R_CostoOp (veh. 299)</t>
  </si>
  <si>
    <t>R_TiempoLleg (veh. 299)</t>
  </si>
  <si>
    <t>R_Tipo (veh. 300)</t>
  </si>
  <si>
    <t>R_Volumen (veh. 300)</t>
  </si>
  <si>
    <t>R_Servicio (veh. 300)</t>
  </si>
  <si>
    <t>R_CostoOp (veh. 300)</t>
  </si>
  <si>
    <t>R_TiempoLleg (veh. 300)</t>
  </si>
  <si>
    <t>R_Tipo (veh. 301)</t>
  </si>
  <si>
    <t>R_Volumen (veh. 301)</t>
  </si>
  <si>
    <t>R_Servicio (veh. 301)</t>
  </si>
  <si>
    <t>R_CostoOp (veh. 301)</t>
  </si>
  <si>
    <t>R_TiempoLleg (veh. 301)</t>
  </si>
  <si>
    <t>R_Tipo (veh. 302)</t>
  </si>
  <si>
    <t>R_Volumen (veh. 302)</t>
  </si>
  <si>
    <t>R_Servicio (veh. 302)</t>
  </si>
  <si>
    <t>R_CostoOp (veh. 302)</t>
  </si>
  <si>
    <t>R_TiempoLleg (veh. 302)</t>
  </si>
  <si>
    <t>R_Tipo (veh. 303)</t>
  </si>
  <si>
    <t>R_Volumen (veh. 303)</t>
  </si>
  <si>
    <t>R_Servicio (veh. 303)</t>
  </si>
  <si>
    <t>R_CostoOp (veh. 303)</t>
  </si>
  <si>
    <t>R_TiempoLleg (veh. 303)</t>
  </si>
  <si>
    <t>R_Tipo (veh. 304)</t>
  </si>
  <si>
    <t>R_Volumen (veh. 304)</t>
  </si>
  <si>
    <t>R_Servicio (veh. 304)</t>
  </si>
  <si>
    <t>R_CostoOp (veh. 304)</t>
  </si>
  <si>
    <t>R_TiempoLleg (veh. 304)</t>
  </si>
  <si>
    <t>R_Tipo (veh. 305)</t>
  </si>
  <si>
    <t>R_Volumen (veh. 305)</t>
  </si>
  <si>
    <t>R_Servicio (veh. 305)</t>
  </si>
  <si>
    <t>R_CostoOp (veh. 305)</t>
  </si>
  <si>
    <t>R_TiempoLleg (veh. 305)</t>
  </si>
  <si>
    <t>R_Tipo (veh. 306)</t>
  </si>
  <si>
    <t>R_Volumen (veh. 306)</t>
  </si>
  <si>
    <t>R_Servicio (veh. 306)</t>
  </si>
  <si>
    <t>R_CostoOp (veh. 306)</t>
  </si>
  <si>
    <t>R_TiempoLleg (veh. 306)</t>
  </si>
  <si>
    <t>R_Tipo (veh. 307)</t>
  </si>
  <si>
    <t>R_Volumen (veh. 307)</t>
  </si>
  <si>
    <t>R_Servicio (veh. 307)</t>
  </si>
  <si>
    <t>R_CostoOp (veh. 307)</t>
  </si>
  <si>
    <t>R_TiempoLleg (veh. 307)</t>
  </si>
  <si>
    <t>R_Tipo (veh. 308)</t>
  </si>
  <si>
    <t>R_Volumen (veh. 308)</t>
  </si>
  <si>
    <t>R_Servicio (veh. 308)</t>
  </si>
  <si>
    <t>R_CostoOp (veh. 308)</t>
  </si>
  <si>
    <t>R_TiempoLleg (veh. 308)</t>
  </si>
  <si>
    <t>R_Tipo (veh. 309)</t>
  </si>
  <si>
    <t>R_Volumen (veh. 309)</t>
  </si>
  <si>
    <t>R_Servicio (veh. 309)</t>
  </si>
  <si>
    <t>R_CostoOp (veh. 309)</t>
  </si>
  <si>
    <t>R_TiempoLleg (veh. 309)</t>
  </si>
  <si>
    <t>R_Tipo (veh. 310)</t>
  </si>
  <si>
    <t>R_Volumen (veh. 310)</t>
  </si>
  <si>
    <t>R_Servicio (veh. 310)</t>
  </si>
  <si>
    <t>R_CostoOp (veh. 310)</t>
  </si>
  <si>
    <t>R_TiempoLleg (veh. 310)</t>
  </si>
  <si>
    <t>R_Tipo (veh. 311)</t>
  </si>
  <si>
    <t>R_Volumen (veh. 311)</t>
  </si>
  <si>
    <t>R_Servicio (veh. 311)</t>
  </si>
  <si>
    <t>R_CostoOp (veh. 311)</t>
  </si>
  <si>
    <t>R_TiempoLleg (veh. 311)</t>
  </si>
  <si>
    <t>R_Tipo (veh. 312)</t>
  </si>
  <si>
    <t>R_Volumen (veh. 312)</t>
  </si>
  <si>
    <t>R_Servicio (veh. 312)</t>
  </si>
  <si>
    <t>R_CostoOp (veh. 312)</t>
  </si>
  <si>
    <t>R_TiempoLleg (veh. 312)</t>
  </si>
  <si>
    <t>R_Tipo (veh. 313)</t>
  </si>
  <si>
    <t>R_Volumen (veh. 313)</t>
  </si>
  <si>
    <t>R_Servicio (veh. 313)</t>
  </si>
  <si>
    <t>R_CostoOp (veh. 313)</t>
  </si>
  <si>
    <t>R_TiempoLleg (veh. 313)</t>
  </si>
  <si>
    <t>R_Tipo (veh. 314)</t>
  </si>
  <si>
    <t>R_Volumen (veh. 314)</t>
  </si>
  <si>
    <t>R_Servicio (veh. 314)</t>
  </si>
  <si>
    <t>R_CostoOp (veh. 314)</t>
  </si>
  <si>
    <t>R_TiempoLleg (veh. 314)</t>
  </si>
  <si>
    <t>R_Tipo (veh. 315)</t>
  </si>
  <si>
    <t>R_Volumen (veh. 315)</t>
  </si>
  <si>
    <t>R_Servicio (veh. 315)</t>
  </si>
  <si>
    <t>R_CostoOp (veh. 315)</t>
  </si>
  <si>
    <t>R_TiempoLleg (veh. 315)</t>
  </si>
  <si>
    <t>R_Tipo (veh. 316)</t>
  </si>
  <si>
    <t>R_Volumen (veh. 316)</t>
  </si>
  <si>
    <t>R_Servicio (veh. 316)</t>
  </si>
  <si>
    <t>R_CostoOp (veh. 316)</t>
  </si>
  <si>
    <t>R_TiempoLleg (veh. 316)</t>
  </si>
  <si>
    <t>R_Tipo (veh. 317)</t>
  </si>
  <si>
    <t>R_Volumen (veh. 317)</t>
  </si>
  <si>
    <t>R_Servicio (veh. 317)</t>
  </si>
  <si>
    <t>R_CostoOp (veh. 317)</t>
  </si>
  <si>
    <t>R_TiempoLleg (veh. 317)</t>
  </si>
  <si>
    <t>R_Tipo (veh. 318)</t>
  </si>
  <si>
    <t>R_Volumen (veh. 318)</t>
  </si>
  <si>
    <t>R_Servicio (veh. 318)</t>
  </si>
  <si>
    <t>R_CostoOp (veh. 318)</t>
  </si>
  <si>
    <t>R_TiempoLleg (veh. 318)</t>
  </si>
  <si>
    <t>R_Tipo (veh. 319)</t>
  </si>
  <si>
    <t>R_Volumen (veh. 319)</t>
  </si>
  <si>
    <t>R_Servicio (veh. 319)</t>
  </si>
  <si>
    <t>R_CostoOp (veh. 319)</t>
  </si>
  <si>
    <t>R_TiempoLleg (veh. 319)</t>
  </si>
  <si>
    <t>R_Tipo (veh. 320)</t>
  </si>
  <si>
    <t>R_Volumen (veh. 320)</t>
  </si>
  <si>
    <t>R_Servicio (veh. 320)</t>
  </si>
  <si>
    <t>R_CostoOp (veh. 320)</t>
  </si>
  <si>
    <t>R_TiempoLleg (veh. 320)</t>
  </si>
  <si>
    <t>R_Tipo (veh. 321)</t>
  </si>
  <si>
    <t>R_Volumen (veh. 321)</t>
  </si>
  <si>
    <t>R_Servicio (veh. 321)</t>
  </si>
  <si>
    <t>R_CostoOp (veh. 321)</t>
  </si>
  <si>
    <t>R_TiempoLleg (veh. 321)</t>
  </si>
  <si>
    <t>R_Tipo (veh. 322)</t>
  </si>
  <si>
    <t>R_Volumen (veh. 322)</t>
  </si>
  <si>
    <t>R_Servicio (veh. 322)</t>
  </si>
  <si>
    <t>R_CostoOp (veh. 322)</t>
  </si>
  <si>
    <t>R_TiempoLleg (veh. 322)</t>
  </si>
  <si>
    <t>R_Tipo (veh. 323)</t>
  </si>
  <si>
    <t>R_Volumen (veh. 323)</t>
  </si>
  <si>
    <t>R_Servicio (veh. 323)</t>
  </si>
  <si>
    <t>R_CostoOp (veh. 323)</t>
  </si>
  <si>
    <t>R_TiempoLleg (veh. 323)</t>
  </si>
  <si>
    <t>R_Tipo (veh. 324)</t>
  </si>
  <si>
    <t>R_Volumen (veh. 324)</t>
  </si>
  <si>
    <t>R_Servicio (veh. 324)</t>
  </si>
  <si>
    <t>R_CostoOp (veh. 324)</t>
  </si>
  <si>
    <t>R_TiempoLleg (veh. 324)</t>
  </si>
  <si>
    <t>R_Tipo (veh. 325)</t>
  </si>
  <si>
    <t>R_Volumen (veh. 325)</t>
  </si>
  <si>
    <t>R_Servicio (veh. 325)</t>
  </si>
  <si>
    <t>R_CostoOp (veh. 325)</t>
  </si>
  <si>
    <t>R_TiempoLleg (veh. 325)</t>
  </si>
  <si>
    <t>R_Tipo (veh. 326)</t>
  </si>
  <si>
    <t>R_Volumen (veh. 326)</t>
  </si>
  <si>
    <t>R_Servicio (veh. 326)</t>
  </si>
  <si>
    <t>R_CostoOp (veh. 326)</t>
  </si>
  <si>
    <t>R_TiempoLleg (veh. 326)</t>
  </si>
  <si>
    <t>R_Tipo (veh. 327)</t>
  </si>
  <si>
    <t>R_Volumen (veh. 327)</t>
  </si>
  <si>
    <t>R_Servicio (veh. 327)</t>
  </si>
  <si>
    <t>R_CostoOp (veh. 327)</t>
  </si>
  <si>
    <t>R_TiempoLleg (veh. 327)</t>
  </si>
  <si>
    <t>R_Tipo (veh. 328)</t>
  </si>
  <si>
    <t>R_Volumen (veh. 328)</t>
  </si>
  <si>
    <t>R_Servicio (veh. 328)</t>
  </si>
  <si>
    <t>R_CostoOp (veh. 328)</t>
  </si>
  <si>
    <t>R_TiempoLleg (veh. 328)</t>
  </si>
  <si>
    <t>R_Tipo (veh. 329)</t>
  </si>
  <si>
    <t>R_Volumen (veh. 329)</t>
  </si>
  <si>
    <t>R_Servicio (veh. 329)</t>
  </si>
  <si>
    <t>R_CostoOp (veh. 329)</t>
  </si>
  <si>
    <t>R_TiempoLleg (veh. 329)</t>
  </si>
  <si>
    <t>R_Tipo (veh. 330)</t>
  </si>
  <si>
    <t>R_Volumen (veh. 330)</t>
  </si>
  <si>
    <t>R_Servicio (veh. 330)</t>
  </si>
  <si>
    <t>R_CostoOp (veh. 330)</t>
  </si>
  <si>
    <t>R_TiempoLleg (veh. 330)</t>
  </si>
  <si>
    <t>R_Tipo (veh. 331)</t>
  </si>
  <si>
    <t>R_Volumen (veh. 331)</t>
  </si>
  <si>
    <t>R_Servicio (veh. 331)</t>
  </si>
  <si>
    <t>R_CostoOp (veh. 331)</t>
  </si>
  <si>
    <t>R_TiempoLleg (veh. 331)</t>
  </si>
  <si>
    <t>R_Tipo (veh. 332)</t>
  </si>
  <si>
    <t>R_Volumen (veh. 332)</t>
  </si>
  <si>
    <t>R_Servicio (veh. 332)</t>
  </si>
  <si>
    <t>R_CostoOp (veh. 332)</t>
  </si>
  <si>
    <t>R_TiempoLleg (veh. 332)</t>
  </si>
  <si>
    <t>R_Tipo (veh. 333)</t>
  </si>
  <si>
    <t>R_Volumen (veh. 333)</t>
  </si>
  <si>
    <t>R_Servicio (veh. 333)</t>
  </si>
  <si>
    <t>R_CostoOp (veh. 333)</t>
  </si>
  <si>
    <t>R_TiempoLleg (veh. 333)</t>
  </si>
  <si>
    <t>R_Tipo (veh. 334)</t>
  </si>
  <si>
    <t>R_Volumen (veh. 334)</t>
  </si>
  <si>
    <t>R_Servicio (veh. 334)</t>
  </si>
  <si>
    <t>R_CostoOp (veh. 334)</t>
  </si>
  <si>
    <t>R_TiempoLleg (veh. 334)</t>
  </si>
  <si>
    <t>R_Tipo (veh. 335)</t>
  </si>
  <si>
    <t>R_Volumen (veh. 335)</t>
  </si>
  <si>
    <t>R_Servicio (veh. 335)</t>
  </si>
  <si>
    <t>R_CostoOp (veh. 335)</t>
  </si>
  <si>
    <t>R_TiempoLleg (veh. 335)</t>
  </si>
  <si>
    <t>R_Tipo (veh. 336)</t>
  </si>
  <si>
    <t>R_Volumen (veh. 336)</t>
  </si>
  <si>
    <t>R_Servicio (veh. 336)</t>
  </si>
  <si>
    <t>R_CostoOp (veh. 336)</t>
  </si>
  <si>
    <t>R_TiempoLleg (veh. 336)</t>
  </si>
  <si>
    <t>R_Tipo (veh. 337)</t>
  </si>
  <si>
    <t>R_Volumen (veh. 337)</t>
  </si>
  <si>
    <t>R_Servicio (veh. 337)</t>
  </si>
  <si>
    <t>R_CostoOp (veh. 337)</t>
  </si>
  <si>
    <t>R_TiempoLleg (veh. 337)</t>
  </si>
  <si>
    <t>R_Tipo (veh. 338)</t>
  </si>
  <si>
    <t>R_Volumen (veh. 338)</t>
  </si>
  <si>
    <t>R_Servicio (veh. 338)</t>
  </si>
  <si>
    <t>R_CostoOp (veh. 338)</t>
  </si>
  <si>
    <t>R_TiempoLleg (veh. 338)</t>
  </si>
  <si>
    <t>R_Tipo (veh. 339)</t>
  </si>
  <si>
    <t>R_Volumen (veh. 339)</t>
  </si>
  <si>
    <t>R_Servicio (veh. 339)</t>
  </si>
  <si>
    <t>R_CostoOp (veh. 339)</t>
  </si>
  <si>
    <t>R_TiempoLleg (veh. 339)</t>
  </si>
  <si>
    <t>R_Tipo (veh. 340)</t>
  </si>
  <si>
    <t>R_Volumen (veh. 340)</t>
  </si>
  <si>
    <t>R_Servicio (veh. 340)</t>
  </si>
  <si>
    <t>R_CostoOp (veh. 340)</t>
  </si>
  <si>
    <t>R_TiempoLleg (veh. 340)</t>
  </si>
  <si>
    <t>R_Tipo (veh. 341)</t>
  </si>
  <si>
    <t>R_Volumen (veh. 341)</t>
  </si>
  <si>
    <t>R_Servicio (veh. 341)</t>
  </si>
  <si>
    <t>R_CostoOp (veh. 341)</t>
  </si>
  <si>
    <t>R_TiempoLleg (veh. 341)</t>
  </si>
  <si>
    <t>R_Tipo (veh. 342)</t>
  </si>
  <si>
    <t>R_Volumen (veh. 342)</t>
  </si>
  <si>
    <t>R_Servicio (veh. 342)</t>
  </si>
  <si>
    <t>R_CostoOp (veh. 342)</t>
  </si>
  <si>
    <t>R_TiempoLleg (veh. 342)</t>
  </si>
  <si>
    <t>R_Tipo (veh. 343)</t>
  </si>
  <si>
    <t>R_Volumen (veh. 343)</t>
  </si>
  <si>
    <t>R_Servicio (veh. 343)</t>
  </si>
  <si>
    <t>R_CostoOp (veh. 343)</t>
  </si>
  <si>
    <t>R_TiempoLleg (veh. 343)</t>
  </si>
  <si>
    <t>R_Tipo (veh. 344)</t>
  </si>
  <si>
    <t>R_Volumen (veh. 344)</t>
  </si>
  <si>
    <t>R_Servicio (veh. 344)</t>
  </si>
  <si>
    <t>R_CostoOp (veh. 344)</t>
  </si>
  <si>
    <t>R_TiempoLleg (veh. 344)</t>
  </si>
  <si>
    <t>R_Tipo (veh. 345)</t>
  </si>
  <si>
    <t>R_Volumen (veh. 345)</t>
  </si>
  <si>
    <t>R_Servicio (veh. 345)</t>
  </si>
  <si>
    <t>R_CostoOp (veh. 345)</t>
  </si>
  <si>
    <t>R_TiempoLleg (veh. 345)</t>
  </si>
  <si>
    <t>R_Tipo (veh. 346)</t>
  </si>
  <si>
    <t>R_Volumen (veh. 346)</t>
  </si>
  <si>
    <t>R_Servicio (veh. 346)</t>
  </si>
  <si>
    <t>R_CostoOp (veh. 346)</t>
  </si>
  <si>
    <t>R_TiempoLleg (veh. 346)</t>
  </si>
  <si>
    <t>R_Tipo (veh. 347)</t>
  </si>
  <si>
    <t>R_Volumen (veh. 347)</t>
  </si>
  <si>
    <t>R_Servicio (veh. 347)</t>
  </si>
  <si>
    <t>R_CostoOp (veh. 347)</t>
  </si>
  <si>
    <t>R_TiempoLleg (veh. 347)</t>
  </si>
  <si>
    <t>R_Tipo (veh. 348)</t>
  </si>
  <si>
    <t>R_Volumen (veh. 348)</t>
  </si>
  <si>
    <t>R_Servicio (veh. 348)</t>
  </si>
  <si>
    <t>R_CostoOp (veh. 348)</t>
  </si>
  <si>
    <t>R_TiempoLleg (veh. 348)</t>
  </si>
  <si>
    <t>R_Tipo (veh. 349)</t>
  </si>
  <si>
    <t>R_Volumen (veh. 349)</t>
  </si>
  <si>
    <t>R_Servicio (veh. 349)</t>
  </si>
  <si>
    <t>R_CostoOp (veh. 349)</t>
  </si>
  <si>
    <t>R_TiempoLleg (veh. 349)</t>
  </si>
  <si>
    <t>R_Tipo (veh. 350)</t>
  </si>
  <si>
    <t>R_Volumen (veh. 350)</t>
  </si>
  <si>
    <t>R_Servicio (veh. 350)</t>
  </si>
  <si>
    <t>R_CostoOp (veh. 350)</t>
  </si>
  <si>
    <t>R_TiempoLleg (veh. 350)</t>
  </si>
  <si>
    <t>R_Tipo (veh. 351)</t>
  </si>
  <si>
    <t>R_Volumen (veh. 351)</t>
  </si>
  <si>
    <t>R_Servicio (veh. 351)</t>
  </si>
  <si>
    <t>R_CostoOp (veh. 351)</t>
  </si>
  <si>
    <t>R_TiempoLleg (veh. 351)</t>
  </si>
  <si>
    <t>R_Tipo (veh. 352)</t>
  </si>
  <si>
    <t>R_Volumen (veh. 352)</t>
  </si>
  <si>
    <t>R_Servicio (veh. 352)</t>
  </si>
  <si>
    <t>R_CostoOp (veh. 352)</t>
  </si>
  <si>
    <t>R_TiempoLleg (veh. 352)</t>
  </si>
  <si>
    <t>R_Tipo (veh. 353)</t>
  </si>
  <si>
    <t>R_Volumen (veh. 353)</t>
  </si>
  <si>
    <t>R_Servicio (veh. 353)</t>
  </si>
  <si>
    <t>R_CostoOp (veh. 353)</t>
  </si>
  <si>
    <t>R_TiempoLleg (veh. 353)</t>
  </si>
  <si>
    <t>R_Tipo (veh. 354)</t>
  </si>
  <si>
    <t>R_Volumen (veh. 354)</t>
  </si>
  <si>
    <t>R_Servicio (veh. 354)</t>
  </si>
  <si>
    <t>R_CostoOp (veh. 354)</t>
  </si>
  <si>
    <t>R_TiempoLleg (veh. 354)</t>
  </si>
  <si>
    <t>R_Tipo (veh. 355)</t>
  </si>
  <si>
    <t>R_Volumen (veh. 355)</t>
  </si>
  <si>
    <t>R_Servicio (veh. 355)</t>
  </si>
  <si>
    <t>R_CostoOp (veh. 355)</t>
  </si>
  <si>
    <t>R_TiempoLleg (veh. 355)</t>
  </si>
  <si>
    <t>R_Tipo (veh. 356)</t>
  </si>
  <si>
    <t>R_Volumen (veh. 356)</t>
  </si>
  <si>
    <t>R_Servicio (veh. 356)</t>
  </si>
  <si>
    <t>R_CostoOp (veh. 356)</t>
  </si>
  <si>
    <t>R_TiempoLleg (veh. 356)</t>
  </si>
  <si>
    <t>R_Tipo (veh. 357)</t>
  </si>
  <si>
    <t>R_Volumen (veh. 357)</t>
  </si>
  <si>
    <t>R_Servicio (veh. 357)</t>
  </si>
  <si>
    <t>R_CostoOp (veh. 357)</t>
  </si>
  <si>
    <t>R_TiempoLleg (veh. 357)</t>
  </si>
  <si>
    <t>R_Tipo (veh. 358)</t>
  </si>
  <si>
    <t>R_Volumen (veh. 358)</t>
  </si>
  <si>
    <t>R_Servicio (veh. 358)</t>
  </si>
  <si>
    <t>R_CostoOp (veh. 358)</t>
  </si>
  <si>
    <t>R_TiempoLleg (veh. 358)</t>
  </si>
  <si>
    <t>R_Tipo (veh. 359)</t>
  </si>
  <si>
    <t>R_Volumen (veh. 359)</t>
  </si>
  <si>
    <t>R_Servicio (veh. 359)</t>
  </si>
  <si>
    <t>R_CostoOp (veh. 359)</t>
  </si>
  <si>
    <t>R_TiempoLleg (veh. 359)</t>
  </si>
  <si>
    <t>R_Tipo (veh. 360)</t>
  </si>
  <si>
    <t>R_Volumen (veh. 360)</t>
  </si>
  <si>
    <t>R_Servicio (veh. 360)</t>
  </si>
  <si>
    <t>R_CostoOp (veh. 360)</t>
  </si>
  <si>
    <t>R_TiempoLleg (veh. 360)</t>
  </si>
  <si>
    <t>R_Tipo (veh. 361)</t>
  </si>
  <si>
    <t>R_Volumen (veh. 361)</t>
  </si>
  <si>
    <t>R_Servicio (veh. 361)</t>
  </si>
  <si>
    <t>R_CostoOp (veh. 361)</t>
  </si>
  <si>
    <t>R_TiempoLleg (veh. 361)</t>
  </si>
  <si>
    <t>R_Tipo (veh. 362)</t>
  </si>
  <si>
    <t>R_Volumen (veh. 362)</t>
  </si>
  <si>
    <t>R_Servicio (veh. 362)</t>
  </si>
  <si>
    <t>R_CostoOp (veh. 362)</t>
  </si>
  <si>
    <t>R_TiempoLleg (veh. 362)</t>
  </si>
  <si>
    <t>R_Tipo (veh. 363)</t>
  </si>
  <si>
    <t>R_Volumen (veh. 363)</t>
  </si>
  <si>
    <t>R_Servicio (veh. 363)</t>
  </si>
  <si>
    <t>R_CostoOp (veh. 363)</t>
  </si>
  <si>
    <t>R_TiempoLleg (veh. 363)</t>
  </si>
  <si>
    <t>R_Tipo (veh. 364)</t>
  </si>
  <si>
    <t>R_Volumen (veh. 364)</t>
  </si>
  <si>
    <t>R_Servicio (veh. 364)</t>
  </si>
  <si>
    <t>R_CostoOp (veh. 364)</t>
  </si>
  <si>
    <t>R_TiempoLleg (veh. 364)</t>
  </si>
  <si>
    <t>R_Tipo (veh. 365)</t>
  </si>
  <si>
    <t>R_Volumen (veh. 365)</t>
  </si>
  <si>
    <t>R_Servicio (veh. 365)</t>
  </si>
  <si>
    <t>R_CostoOp (veh. 365)</t>
  </si>
  <si>
    <t>R_TiempoLleg (veh. 365)</t>
  </si>
  <si>
    <t>R_Tipo (veh. 366)</t>
  </si>
  <si>
    <t>R_Volumen (veh. 366)</t>
  </si>
  <si>
    <t>R_Servicio (veh. 366)</t>
  </si>
  <si>
    <t>R_CostoOp (veh. 366)</t>
  </si>
  <si>
    <t>R_TiempoLleg (veh. 366)</t>
  </si>
  <si>
    <t>R_Tipo (veh. 367)</t>
  </si>
  <si>
    <t>R_Volumen (veh. 367)</t>
  </si>
  <si>
    <t>R_Servicio (veh. 367)</t>
  </si>
  <si>
    <t>R_CostoOp (veh. 367)</t>
  </si>
  <si>
    <t>R_TiempoLleg (veh. 367)</t>
  </si>
  <si>
    <t>R_Tipo (veh. 368)</t>
  </si>
  <si>
    <t>R_Volumen (veh. 368)</t>
  </si>
  <si>
    <t>R_Servicio (veh. 368)</t>
  </si>
  <si>
    <t>R_CostoOp (veh. 368)</t>
  </si>
  <si>
    <t>R_TiempoLleg (veh. 368)</t>
  </si>
  <si>
    <t>R_Tipo (veh. 369)</t>
  </si>
  <si>
    <t>R_Volumen (veh. 369)</t>
  </si>
  <si>
    <t>R_Servicio (veh. 369)</t>
  </si>
  <si>
    <t>R_CostoOp (veh. 369)</t>
  </si>
  <si>
    <t>R_TiempoLleg (veh. 369)</t>
  </si>
  <si>
    <t>R_Tipo (veh. 370)</t>
  </si>
  <si>
    <t>R_Volumen (veh. 370)</t>
  </si>
  <si>
    <t>R_Servicio (veh. 370)</t>
  </si>
  <si>
    <t>R_CostoOp (veh. 370)</t>
  </si>
  <si>
    <t>R_TiempoLleg (veh. 370)</t>
  </si>
  <si>
    <t>R_Tipo (veh. 371)</t>
  </si>
  <si>
    <t>R_Volumen (veh. 371)</t>
  </si>
  <si>
    <t>R_Servicio (veh. 371)</t>
  </si>
  <si>
    <t>R_CostoOp (veh. 371)</t>
  </si>
  <si>
    <t>R_TiempoLleg (veh. 371)</t>
  </si>
  <si>
    <t>R_Tipo (veh. 372)</t>
  </si>
  <si>
    <t>R_Volumen (veh. 372)</t>
  </si>
  <si>
    <t>R_Servicio (veh. 372)</t>
  </si>
  <si>
    <t>R_CostoOp (veh. 372)</t>
  </si>
  <si>
    <t>R_TiempoLleg (veh. 372)</t>
  </si>
  <si>
    <t>R_Tipo (veh. 373)</t>
  </si>
  <si>
    <t>R_Volumen (veh. 373)</t>
  </si>
  <si>
    <t>R_Servicio (veh. 373)</t>
  </si>
  <si>
    <t>R_CostoOp (veh. 373)</t>
  </si>
  <si>
    <t>R_TiempoLleg (veh. 373)</t>
  </si>
  <si>
    <t>R_Tipo (veh. 374)</t>
  </si>
  <si>
    <t>R_Volumen (veh. 374)</t>
  </si>
  <si>
    <t>R_Servicio (veh. 374)</t>
  </si>
  <si>
    <t>R_CostoOp (veh. 374)</t>
  </si>
  <si>
    <t>R_TiempoLleg (veh. 374)</t>
  </si>
  <si>
    <t>R_Tipo (veh. 375)</t>
  </si>
  <si>
    <t>R_Volumen (veh. 375)</t>
  </si>
  <si>
    <t>R_Servicio (veh. 375)</t>
  </si>
  <si>
    <t>R_CostoOp (veh. 375)</t>
  </si>
  <si>
    <t>R_TiempoLleg (veh. 375)</t>
  </si>
  <si>
    <t>R_Tipo (veh. 376)</t>
  </si>
  <si>
    <t>R_Volumen (veh. 376)</t>
  </si>
  <si>
    <t>R_Servicio (veh. 376)</t>
  </si>
  <si>
    <t>R_CostoOp (veh. 376)</t>
  </si>
  <si>
    <t>R_TiempoLleg (veh. 376)</t>
  </si>
  <si>
    <t>R_Tipo (veh. 377)</t>
  </si>
  <si>
    <t>R_Volumen (veh. 377)</t>
  </si>
  <si>
    <t>R_Servicio (veh. 377)</t>
  </si>
  <si>
    <t>R_CostoOp (veh. 377)</t>
  </si>
  <si>
    <t>R_TiempoLleg (veh. 377)</t>
  </si>
  <si>
    <t>R_Tipo (veh. 378)</t>
  </si>
  <si>
    <t>R_Volumen (veh. 378)</t>
  </si>
  <si>
    <t>R_Servicio (veh. 378)</t>
  </si>
  <si>
    <t>R_CostoOp (veh. 378)</t>
  </si>
  <si>
    <t>R_TiempoLleg (veh. 378)</t>
  </si>
  <si>
    <t>R_Tipo (veh. 379)</t>
  </si>
  <si>
    <t>R_Volumen (veh. 379)</t>
  </si>
  <si>
    <t>R_Servicio (veh. 379)</t>
  </si>
  <si>
    <t>R_CostoOp (veh. 379)</t>
  </si>
  <si>
    <t>R_TiempoLleg (veh. 379)</t>
  </si>
  <si>
    <t>R_Tipo (veh. 380)</t>
  </si>
  <si>
    <t>R_Volumen (veh. 380)</t>
  </si>
  <si>
    <t>R_Servicio (veh. 380)</t>
  </si>
  <si>
    <t>R_CostoOp (veh. 380)</t>
  </si>
  <si>
    <t>R_TiempoLleg (veh. 380)</t>
  </si>
  <si>
    <t>R_Tipo (veh. 381)</t>
  </si>
  <si>
    <t>R_Volumen (veh. 381)</t>
  </si>
  <si>
    <t>R_Servicio (veh. 381)</t>
  </si>
  <si>
    <t>R_CostoOp (veh. 381)</t>
  </si>
  <si>
    <t>R_TiempoLleg (veh. 381)</t>
  </si>
  <si>
    <t>R_Tipo (veh. 382)</t>
  </si>
  <si>
    <t>R_Volumen (veh. 382)</t>
  </si>
  <si>
    <t>R_Servicio (veh. 382)</t>
  </si>
  <si>
    <t>R_CostoOp (veh. 382)</t>
  </si>
  <si>
    <t>R_TiempoLleg (veh. 382)</t>
  </si>
  <si>
    <t>R_Tipo (veh. 383)</t>
  </si>
  <si>
    <t>R_Volumen (veh. 383)</t>
  </si>
  <si>
    <t>R_Servicio (veh. 383)</t>
  </si>
  <si>
    <t>R_CostoOp (veh. 383)</t>
  </si>
  <si>
    <t>R_TiempoLleg (veh. 383)</t>
  </si>
  <si>
    <t>R_Tipo (veh. 384)</t>
  </si>
  <si>
    <t>R_Volumen (veh. 384)</t>
  </si>
  <si>
    <t>R_Servicio (veh. 384)</t>
  </si>
  <si>
    <t>R_CostoOp (veh. 384)</t>
  </si>
  <si>
    <t>R_TiempoLleg (veh. 384)</t>
  </si>
  <si>
    <t>R_Tipo (veh. 385)</t>
  </si>
  <si>
    <t>R_Volumen (veh. 385)</t>
  </si>
  <si>
    <t>R_Servicio (veh. 385)</t>
  </si>
  <si>
    <t>R_CostoOp (veh. 385)</t>
  </si>
  <si>
    <t>R_TiempoLleg (veh. 385)</t>
  </si>
  <si>
    <t>R_Tipo (veh. 386)</t>
  </si>
  <si>
    <t>R_Volumen (veh. 386)</t>
  </si>
  <si>
    <t>R_Servicio (veh. 386)</t>
  </si>
  <si>
    <t>R_CostoOp (veh. 386)</t>
  </si>
  <si>
    <t>R_TiempoLleg (veh. 386)</t>
  </si>
  <si>
    <t>R_Tipo (veh. 387)</t>
  </si>
  <si>
    <t>R_Volumen (veh. 387)</t>
  </si>
  <si>
    <t>R_Servicio (veh. 387)</t>
  </si>
  <si>
    <t>R_CostoOp (veh. 387)</t>
  </si>
  <si>
    <t>R_TiempoLleg (veh. 387)</t>
  </si>
  <si>
    <t>R_Tipo (veh. 388)</t>
  </si>
  <si>
    <t>R_Volumen (veh. 388)</t>
  </si>
  <si>
    <t>R_Servicio (veh. 388)</t>
  </si>
  <si>
    <t>R_CostoOp (veh. 388)</t>
  </si>
  <si>
    <t>R_TiempoLleg (veh. 388)</t>
  </si>
  <si>
    <t>R_Tipo (veh. 389)</t>
  </si>
  <si>
    <t>R_Volumen (veh. 389)</t>
  </si>
  <si>
    <t>R_Servicio (veh. 389)</t>
  </si>
  <si>
    <t>R_CostoOp (veh. 389)</t>
  </si>
  <si>
    <t>R_TiempoLleg (veh. 389)</t>
  </si>
  <si>
    <t>R_Tipo (veh. 390)</t>
  </si>
  <si>
    <t>R_Volumen (veh. 390)</t>
  </si>
  <si>
    <t>R_Servicio (veh. 390)</t>
  </si>
  <si>
    <t>R_CostoOp (veh. 390)</t>
  </si>
  <si>
    <t>R_TiempoLleg (veh. 390)</t>
  </si>
  <si>
    <t>R_Tipo (veh. 391)</t>
  </si>
  <si>
    <t>R_Volumen (veh. 391)</t>
  </si>
  <si>
    <t>R_Servicio (veh. 391)</t>
  </si>
  <si>
    <t>R_CostoOp (veh. 391)</t>
  </si>
  <si>
    <t>R_TiempoLleg (veh. 391)</t>
  </si>
  <si>
    <t>R_Tipo (veh. 392)</t>
  </si>
  <si>
    <t>R_Volumen (veh. 392)</t>
  </si>
  <si>
    <t>R_Servicio (veh. 392)</t>
  </si>
  <si>
    <t>R_CostoOp (veh. 392)</t>
  </si>
  <si>
    <t>R_TiempoLleg (veh. 392)</t>
  </si>
  <si>
    <t>R_Tipo (veh. 393)</t>
  </si>
  <si>
    <t>R_Volumen (veh. 393)</t>
  </si>
  <si>
    <t>R_Servicio (veh. 393)</t>
  </si>
  <si>
    <t>R_CostoOp (veh. 393)</t>
  </si>
  <si>
    <t>R_TiempoLleg (veh. 393)</t>
  </si>
  <si>
    <t>R_Tipo (veh. 394)</t>
  </si>
  <si>
    <t>R_Volumen (veh. 394)</t>
  </si>
  <si>
    <t>R_Servicio (veh. 394)</t>
  </si>
  <si>
    <t>R_CostoOp (veh. 394)</t>
  </si>
  <si>
    <t>R_TiempoLleg (veh. 394)</t>
  </si>
  <si>
    <t>R_Tipo (veh. 395)</t>
  </si>
  <si>
    <t>R_Volumen (veh. 395)</t>
  </si>
  <si>
    <t>R_Servicio (veh. 395)</t>
  </si>
  <si>
    <t>R_CostoOp (veh. 395)</t>
  </si>
  <si>
    <t>R_TiempoLleg (veh. 395)</t>
  </si>
  <si>
    <t>R_Tipo (veh. 396)</t>
  </si>
  <si>
    <t>R_Volumen (veh. 396)</t>
  </si>
  <si>
    <t>R_Servicio (veh. 396)</t>
  </si>
  <si>
    <t>R_CostoOp (veh. 396)</t>
  </si>
  <si>
    <t>R_TiempoLleg (veh. 396)</t>
  </si>
  <si>
    <t>R_Tipo (veh. 397)</t>
  </si>
  <si>
    <t>R_Volumen (veh. 397)</t>
  </si>
  <si>
    <t>R_Servicio (veh. 397)</t>
  </si>
  <si>
    <t>R_CostoOp (veh. 397)</t>
  </si>
  <si>
    <t>R_TiempoLleg (veh. 397)</t>
  </si>
  <si>
    <t>R_Tipo (veh. 398)</t>
  </si>
  <si>
    <t>R_Volumen (veh. 398)</t>
  </si>
  <si>
    <t>R_Servicio (veh. 398)</t>
  </si>
  <si>
    <t>R_CostoOp (veh. 398)</t>
  </si>
  <si>
    <t>R_TiempoLleg (veh. 398)</t>
  </si>
  <si>
    <t>R_Tipo (veh. 399)</t>
  </si>
  <si>
    <t>R_Volumen (veh. 399)</t>
  </si>
  <si>
    <t>R_Servicio (veh. 399)</t>
  </si>
  <si>
    <t>R_CostoOp (veh. 399)</t>
  </si>
  <si>
    <t>R_TiempoLleg (veh. 399)</t>
  </si>
  <si>
    <t>R_Tipo (veh. 400)</t>
  </si>
  <si>
    <t>R_Volumen (veh. 400)</t>
  </si>
  <si>
    <t>R_Servicio (veh. 400)</t>
  </si>
  <si>
    <t>R_CostoOp (veh. 400)</t>
  </si>
  <si>
    <t>R_TiempoLleg (veh. 400)</t>
  </si>
  <si>
    <t>R_Tipo (veh. 401)</t>
  </si>
  <si>
    <t>R_Volumen (veh. 401)</t>
  </si>
  <si>
    <t>R_Servicio (veh. 401)</t>
  </si>
  <si>
    <t>R_CostoOp (veh. 401)</t>
  </si>
  <si>
    <t>R_TiempoLleg (veh. 401)</t>
  </si>
  <si>
    <t>R_Tipo (veh. 402)</t>
  </si>
  <si>
    <t>R_Volumen (veh. 402)</t>
  </si>
  <si>
    <t>R_Servicio (veh. 402)</t>
  </si>
  <si>
    <t>R_CostoOp (veh. 402)</t>
  </si>
  <si>
    <t>R_TiempoLleg (veh. 402)</t>
  </si>
  <si>
    <t>R_Tipo (veh. 403)</t>
  </si>
  <si>
    <t>R_Volumen (veh. 403)</t>
  </si>
  <si>
    <t>R_Servicio (veh. 403)</t>
  </si>
  <si>
    <t>R_CostoOp (veh. 403)</t>
  </si>
  <si>
    <t>R_TiempoLleg (veh. 403)</t>
  </si>
  <si>
    <t>R_Tipo (veh. 404)</t>
  </si>
  <si>
    <t>R_Volumen (veh. 404)</t>
  </si>
  <si>
    <t>R_Servicio (veh. 404)</t>
  </si>
  <si>
    <t>R_CostoOp (veh. 404)</t>
  </si>
  <si>
    <t>R_TiempoLleg (veh. 404)</t>
  </si>
  <si>
    <t>R_Tipo (veh. 405)</t>
  </si>
  <si>
    <t>R_Volumen (veh. 405)</t>
  </si>
  <si>
    <t>R_Servicio (veh. 405)</t>
  </si>
  <si>
    <t>R_CostoOp (veh. 405)</t>
  </si>
  <si>
    <t>R_TiempoLleg (veh. 405)</t>
  </si>
  <si>
    <t>R_Tipo (veh. 406)</t>
  </si>
  <si>
    <t>R_Volumen (veh. 406)</t>
  </si>
  <si>
    <t>R_Servicio (veh. 406)</t>
  </si>
  <si>
    <t>R_CostoOp (veh. 406)</t>
  </si>
  <si>
    <t>R_TiempoLleg (veh. 406)</t>
  </si>
  <si>
    <t>R_Tipo (veh. 407)</t>
  </si>
  <si>
    <t>R_Volumen (veh. 407)</t>
  </si>
  <si>
    <t>R_Servicio (veh. 407)</t>
  </si>
  <si>
    <t>R_CostoOp (veh. 407)</t>
  </si>
  <si>
    <t>R_TiempoLleg (veh. 407)</t>
  </si>
  <si>
    <t>R_Tipo (veh. 408)</t>
  </si>
  <si>
    <t>R_Volumen (veh. 408)</t>
  </si>
  <si>
    <t>R_Servicio (veh. 408)</t>
  </si>
  <si>
    <t>R_CostoOp (veh. 408)</t>
  </si>
  <si>
    <t>R_TiempoLleg (veh. 408)</t>
  </si>
  <si>
    <t>R_Tipo (veh. 409)</t>
  </si>
  <si>
    <t>R_Volumen (veh. 409)</t>
  </si>
  <si>
    <t>R_Servicio (veh. 409)</t>
  </si>
  <si>
    <t>R_CostoOp (veh. 409)</t>
  </si>
  <si>
    <t>R_TiempoLleg (veh. 409)</t>
  </si>
  <si>
    <t>R_Tipo (veh. 410)</t>
  </si>
  <si>
    <t>R_Volumen (veh. 410)</t>
  </si>
  <si>
    <t>R_Servicio (veh. 410)</t>
  </si>
  <si>
    <t>R_CostoOp (veh. 410)</t>
  </si>
  <si>
    <t>R_TiempoLleg (veh. 410)</t>
  </si>
  <si>
    <t>R_Tipo (veh. 411)</t>
  </si>
  <si>
    <t>R_Volumen (veh. 411)</t>
  </si>
  <si>
    <t>R_Servicio (veh. 411)</t>
  </si>
  <si>
    <t>R_CostoOp (veh. 411)</t>
  </si>
  <si>
    <t>R_TiempoLleg (veh. 411)</t>
  </si>
  <si>
    <t>R_Tipo (veh. 412)</t>
  </si>
  <si>
    <t>R_Volumen (veh. 412)</t>
  </si>
  <si>
    <t>R_Servicio (veh. 412)</t>
  </si>
  <si>
    <t>R_CostoOp (veh. 412)</t>
  </si>
  <si>
    <t>R_TiempoLleg (veh. 412)</t>
  </si>
  <si>
    <t>R_Tipo (veh. 413)</t>
  </si>
  <si>
    <t>R_Volumen (veh. 413)</t>
  </si>
  <si>
    <t>R_Servicio (veh. 413)</t>
  </si>
  <si>
    <t>R_CostoOp (veh. 413)</t>
  </si>
  <si>
    <t>R_TiempoLleg (veh. 413)</t>
  </si>
  <si>
    <t>R_Tipo (veh. 414)</t>
  </si>
  <si>
    <t>R_Volumen (veh. 414)</t>
  </si>
  <si>
    <t>R_Servicio (veh. 414)</t>
  </si>
  <si>
    <t>R_CostoOp (veh. 414)</t>
  </si>
  <si>
    <t>R_TiempoLleg (veh. 414)</t>
  </si>
  <si>
    <t>R_Tipo (veh. 415)</t>
  </si>
  <si>
    <t>R_Volumen (veh. 415)</t>
  </si>
  <si>
    <t>R_Servicio (veh. 415)</t>
  </si>
  <si>
    <t>R_CostoOp (veh. 415)</t>
  </si>
  <si>
    <t>R_TiempoLleg (veh. 415)</t>
  </si>
  <si>
    <t>R_Tipo (veh. 416)</t>
  </si>
  <si>
    <t>R_Volumen (veh. 416)</t>
  </si>
  <si>
    <t>R_Servicio (veh. 416)</t>
  </si>
  <si>
    <t>R_CostoOp (veh. 416)</t>
  </si>
  <si>
    <t>R_TiempoLleg (veh. 416)</t>
  </si>
  <si>
    <t>R_Tipo (veh. 417)</t>
  </si>
  <si>
    <t>R_Volumen (veh. 417)</t>
  </si>
  <si>
    <t>R_Servicio (veh. 417)</t>
  </si>
  <si>
    <t>R_CostoOp (veh. 417)</t>
  </si>
  <si>
    <t>R_TiempoLleg (veh. 417)</t>
  </si>
  <si>
    <t>R_Tipo (veh. 418)</t>
  </si>
  <si>
    <t>R_Volumen (veh. 418)</t>
  </si>
  <si>
    <t>R_Servicio (veh. 418)</t>
  </si>
  <si>
    <t>R_CostoOp (veh. 418)</t>
  </si>
  <si>
    <t>R_TiempoLleg (veh. 418)</t>
  </si>
  <si>
    <t>R_Tipo (veh. 419)</t>
  </si>
  <si>
    <t>R_Volumen (veh. 419)</t>
  </si>
  <si>
    <t>R_Servicio (veh. 419)</t>
  </si>
  <si>
    <t>R_CostoOp (veh. 419)</t>
  </si>
  <si>
    <t>R_TiempoLleg (veh. 419)</t>
  </si>
  <si>
    <t>R_Tipo (veh. 420)</t>
  </si>
  <si>
    <t>R_Volumen (veh. 420)</t>
  </si>
  <si>
    <t>R_Servicio (veh. 420)</t>
  </si>
  <si>
    <t>R_CostoOp (veh. 420)</t>
  </si>
  <si>
    <t>R_TiempoLleg (veh. 420)</t>
  </si>
  <si>
    <t>R_Tipo (veh. 421)</t>
  </si>
  <si>
    <t>R_Volumen (veh. 421)</t>
  </si>
  <si>
    <t>R_Servicio (veh. 421)</t>
  </si>
  <si>
    <t>R_CostoOp (veh. 421)</t>
  </si>
  <si>
    <t>R_TiempoLleg (veh. 421)</t>
  </si>
  <si>
    <t>R_Tipo (veh. 422)</t>
  </si>
  <si>
    <t>R_Volumen (veh. 422)</t>
  </si>
  <si>
    <t>R_Servicio (veh. 422)</t>
  </si>
  <si>
    <t>R_CostoOp (veh. 422)</t>
  </si>
  <si>
    <t>R_TiempoLleg (veh. 422)</t>
  </si>
  <si>
    <t>R_Tipo (veh. 423)</t>
  </si>
  <si>
    <t>R_Volumen (veh. 423)</t>
  </si>
  <si>
    <t>R_Servicio (veh. 423)</t>
  </si>
  <si>
    <t>R_CostoOp (veh. 423)</t>
  </si>
  <si>
    <t>R_TiempoLleg (veh. 423)</t>
  </si>
  <si>
    <t>R_Tipo (veh. 424)</t>
  </si>
  <si>
    <t>R_Volumen (veh. 424)</t>
  </si>
  <si>
    <t>R_Servicio (veh. 424)</t>
  </si>
  <si>
    <t>R_CostoOp (veh. 424)</t>
  </si>
  <si>
    <t>R_TiempoLleg (veh. 424)</t>
  </si>
  <si>
    <t>R_Tipo (veh. 425)</t>
  </si>
  <si>
    <t>R_Volumen (veh. 425)</t>
  </si>
  <si>
    <t>R_Servicio (veh. 425)</t>
  </si>
  <si>
    <t>R_CostoOp (veh. 425)</t>
  </si>
  <si>
    <t>R_TiempoLleg (veh. 425)</t>
  </si>
  <si>
    <t>R_Tipo (veh. 426)</t>
  </si>
  <si>
    <t>R_Volumen (veh. 426)</t>
  </si>
  <si>
    <t>R_Servicio (veh. 426)</t>
  </si>
  <si>
    <t>R_CostoOp (veh. 426)</t>
  </si>
  <si>
    <t>R_TiempoLleg (veh. 426)</t>
  </si>
  <si>
    <t>R_Tipo (veh. 427)</t>
  </si>
  <si>
    <t>R_Volumen (veh. 427)</t>
  </si>
  <si>
    <t>R_Servicio (veh. 427)</t>
  </si>
  <si>
    <t>R_CostoOp (veh. 427)</t>
  </si>
  <si>
    <t>R_TiempoLleg (veh. 427)</t>
  </si>
  <si>
    <t>R_Tipo (veh. 428)</t>
  </si>
  <si>
    <t>R_Volumen (veh. 428)</t>
  </si>
  <si>
    <t>R_Servicio (veh. 428)</t>
  </si>
  <si>
    <t>R_CostoOp (veh. 428)</t>
  </si>
  <si>
    <t>R_TiempoLleg (veh. 428)</t>
  </si>
  <si>
    <t>R_Tipo (veh. 429)</t>
  </si>
  <si>
    <t>R_Volumen (veh. 429)</t>
  </si>
  <si>
    <t>R_Servicio (veh. 429)</t>
  </si>
  <si>
    <t>R_CostoOp (veh. 429)</t>
  </si>
  <si>
    <t>R_TiempoLleg (veh. 429)</t>
  </si>
  <si>
    <t>R_Tipo (veh. 430)</t>
  </si>
  <si>
    <t>R_Volumen (veh. 430)</t>
  </si>
  <si>
    <t>R_Servicio (veh. 430)</t>
  </si>
  <si>
    <t>R_CostoOp (veh. 430)</t>
  </si>
  <si>
    <t>R_TiempoLleg (veh. 430)</t>
  </si>
  <si>
    <t>R_Tipo (veh. 431)</t>
  </si>
  <si>
    <t>R_Volumen (veh. 431)</t>
  </si>
  <si>
    <t>R_Servicio (veh. 431)</t>
  </si>
  <si>
    <t>R_CostoOp (veh. 431)</t>
  </si>
  <si>
    <t>R_TiempoLleg (veh. 431)</t>
  </si>
  <si>
    <t>R_Tipo (veh. 432)</t>
  </si>
  <si>
    <t>R_Volumen (veh. 432)</t>
  </si>
  <si>
    <t>R_Servicio (veh. 432)</t>
  </si>
  <si>
    <t>R_CostoOp (veh. 432)</t>
  </si>
  <si>
    <t>R_TiempoLleg (veh. 432)</t>
  </si>
  <si>
    <t>R_Tipo (veh. 433)</t>
  </si>
  <si>
    <t>R_Volumen (veh. 433)</t>
  </si>
  <si>
    <t>R_Servicio (veh. 433)</t>
  </si>
  <si>
    <t>R_CostoOp (veh. 433)</t>
  </si>
  <si>
    <t>R_TiempoLleg (veh. 433)</t>
  </si>
  <si>
    <t>R_Tipo (veh. 434)</t>
  </si>
  <si>
    <t>R_Volumen (veh. 434)</t>
  </si>
  <si>
    <t>R_Servicio (veh. 434)</t>
  </si>
  <si>
    <t>R_CostoOp (veh. 434)</t>
  </si>
  <si>
    <t>R_TiempoLleg (veh. 434)</t>
  </si>
  <si>
    <t>R_Tipo (veh. 435)</t>
  </si>
  <si>
    <t>R_Volumen (veh. 435)</t>
  </si>
  <si>
    <t>R_Servicio (veh. 435)</t>
  </si>
  <si>
    <t>R_CostoOp (veh. 435)</t>
  </si>
  <si>
    <t>R_TiempoLleg (veh. 435)</t>
  </si>
  <si>
    <t>R_Tipo (veh. 436)</t>
  </si>
  <si>
    <t>R_Volumen (veh. 436)</t>
  </si>
  <si>
    <t>R_Servicio (veh. 436)</t>
  </si>
  <si>
    <t>R_CostoOp (veh. 436)</t>
  </si>
  <si>
    <t>R_TiempoLleg (veh. 436)</t>
  </si>
  <si>
    <t>R_Tipo (veh. 437)</t>
  </si>
  <si>
    <t>R_Volumen (veh. 437)</t>
  </si>
  <si>
    <t>R_Servicio (veh. 437)</t>
  </si>
  <si>
    <t>R_CostoOp (veh. 437)</t>
  </si>
  <si>
    <t>R_TiempoLleg (veh. 437)</t>
  </si>
  <si>
    <t>R_Tipo (veh. 438)</t>
  </si>
  <si>
    <t>R_Volumen (veh. 438)</t>
  </si>
  <si>
    <t>R_Servicio (veh. 438)</t>
  </si>
  <si>
    <t>R_CostoOp (veh. 438)</t>
  </si>
  <si>
    <t>R_TiempoLleg (veh. 438)</t>
  </si>
  <si>
    <t>R_Tipo (veh. 439)</t>
  </si>
  <si>
    <t>R_Volumen (veh. 439)</t>
  </si>
  <si>
    <t>R_Servicio (veh. 439)</t>
  </si>
  <si>
    <t>R_CostoOp (veh. 439)</t>
  </si>
  <si>
    <t>R_TiempoLleg (veh. 439)</t>
  </si>
  <si>
    <t>R_Tipo (veh. 440)</t>
  </si>
  <si>
    <t>R_Volumen (veh. 440)</t>
  </si>
  <si>
    <t>R_Servicio (veh. 440)</t>
  </si>
  <si>
    <t>R_CostoOp (veh. 440)</t>
  </si>
  <si>
    <t>R_TiempoLleg (veh. 440)</t>
  </si>
  <si>
    <t>R_Tipo (veh. 441)</t>
  </si>
  <si>
    <t>R_Volumen (veh. 441)</t>
  </si>
  <si>
    <t>R_Servicio (veh. 441)</t>
  </si>
  <si>
    <t>R_CostoOp (veh. 441)</t>
  </si>
  <si>
    <t>R_TiempoLleg (veh. 441)</t>
  </si>
  <si>
    <t>R_Tipo (veh. 442)</t>
  </si>
  <si>
    <t>R_Volumen (veh. 442)</t>
  </si>
  <si>
    <t>R_Servicio (veh. 442)</t>
  </si>
  <si>
    <t>R_CostoOp (veh. 442)</t>
  </si>
  <si>
    <t>R_TiempoLleg (veh. 442)</t>
  </si>
  <si>
    <t>R_Tipo (veh. 443)</t>
  </si>
  <si>
    <t>R_Volumen (veh. 443)</t>
  </si>
  <si>
    <t>R_Servicio (veh. 443)</t>
  </si>
  <si>
    <t>R_CostoOp (veh. 443)</t>
  </si>
  <si>
    <t>R_TiempoLleg (veh. 443)</t>
  </si>
  <si>
    <t>R_Tipo (veh. 444)</t>
  </si>
  <si>
    <t>R_Volumen (veh. 444)</t>
  </si>
  <si>
    <t>R_Servicio (veh. 444)</t>
  </si>
  <si>
    <t>R_CostoOp (veh. 444)</t>
  </si>
  <si>
    <t>R_TiempoLleg (veh. 444)</t>
  </si>
  <si>
    <t>R_Tipo (veh. 445)</t>
  </si>
  <si>
    <t>R_Volumen (veh. 445)</t>
  </si>
  <si>
    <t>R_Servicio (veh. 445)</t>
  </si>
  <si>
    <t>R_CostoOp (veh. 445)</t>
  </si>
  <si>
    <t>R_TiempoLleg (veh. 445)</t>
  </si>
  <si>
    <t>R_Tipo (veh. 446)</t>
  </si>
  <si>
    <t>R_Volumen (veh. 446)</t>
  </si>
  <si>
    <t>R_Servicio (veh. 446)</t>
  </si>
  <si>
    <t>R_CostoOp (veh. 446)</t>
  </si>
  <si>
    <t>R_TiempoLleg (veh. 446)</t>
  </si>
  <si>
    <t>R_Tipo (veh. 447)</t>
  </si>
  <si>
    <t>R_Volumen (veh. 447)</t>
  </si>
  <si>
    <t>R_Servicio (veh. 447)</t>
  </si>
  <si>
    <t>R_CostoOp (veh. 447)</t>
  </si>
  <si>
    <t>R_TiempoLleg (veh. 447)</t>
  </si>
  <si>
    <t>R_Tipo (veh. 448)</t>
  </si>
  <si>
    <t>R_Volumen (veh. 448)</t>
  </si>
  <si>
    <t>R_Servicio (veh. 448)</t>
  </si>
  <si>
    <t>R_CostoOp (veh. 448)</t>
  </si>
  <si>
    <t>R_TiempoLleg (veh. 448)</t>
  </si>
  <si>
    <t>R_Tipo (veh. 449)</t>
  </si>
  <si>
    <t>R_Volumen (veh. 449)</t>
  </si>
  <si>
    <t>R_Servicio (veh. 449)</t>
  </si>
  <si>
    <t>R_CostoOp (veh. 449)</t>
  </si>
  <si>
    <t>R_TiempoLleg (veh. 449)</t>
  </si>
  <si>
    <t>R_Tipo (veh. 450)</t>
  </si>
  <si>
    <t>R_Volumen (veh. 450)</t>
  </si>
  <si>
    <t>R_Servicio (veh. 450)</t>
  </si>
  <si>
    <t>R_CostoOp (veh. 450)</t>
  </si>
  <si>
    <t>R_TiempoLleg (veh. 450)</t>
  </si>
  <si>
    <t>R_Tipo (veh. 451)</t>
  </si>
  <si>
    <t>R_Volumen (veh. 451)</t>
  </si>
  <si>
    <t>R_Servicio (veh. 451)</t>
  </si>
  <si>
    <t>R_CostoOp (veh. 451)</t>
  </si>
  <si>
    <t>R_TiempoLleg (veh. 451)</t>
  </si>
  <si>
    <t>R_Tipo (veh. 452)</t>
  </si>
  <si>
    <t>R_Volumen (veh. 452)</t>
  </si>
  <si>
    <t>R_Servicio (veh. 452)</t>
  </si>
  <si>
    <t>R_CostoOp (veh. 452)</t>
  </si>
  <si>
    <t>R_TiempoLleg (veh. 452)</t>
  </si>
  <si>
    <t>R_Tipo (veh. 453)</t>
  </si>
  <si>
    <t>R_Volumen (veh. 453)</t>
  </si>
  <si>
    <t>R_Servicio (veh. 453)</t>
  </si>
  <si>
    <t>R_CostoOp (veh. 453)</t>
  </si>
  <si>
    <t>R_TiempoLleg (veh. 453)</t>
  </si>
  <si>
    <t>R_Tipo (veh. 454)</t>
  </si>
  <si>
    <t>R_Volumen (veh. 454)</t>
  </si>
  <si>
    <t>R_Servicio (veh. 454)</t>
  </si>
  <si>
    <t>R_CostoOp (veh. 454)</t>
  </si>
  <si>
    <t>R_TiempoLleg (veh. 454)</t>
  </si>
  <si>
    <t>R_Tipo (veh. 455)</t>
  </si>
  <si>
    <t>R_Volumen (veh. 455)</t>
  </si>
  <si>
    <t>R_Servicio (veh. 455)</t>
  </si>
  <si>
    <t>R_CostoOp (veh. 455)</t>
  </si>
  <si>
    <t>R_TiempoLleg (veh. 455)</t>
  </si>
  <si>
    <t>R_Tipo (veh. 456)</t>
  </si>
  <si>
    <t>R_Volumen (veh. 456)</t>
  </si>
  <si>
    <t>R_Servicio (veh. 456)</t>
  </si>
  <si>
    <t>R_CostoOp (veh. 456)</t>
  </si>
  <si>
    <t>R_TiempoLleg (veh. 456)</t>
  </si>
  <si>
    <t>R_Tipo (veh. 457)</t>
  </si>
  <si>
    <t>R_Volumen (veh. 457)</t>
  </si>
  <si>
    <t>R_Servicio (veh. 457)</t>
  </si>
  <si>
    <t>R_CostoOp (veh. 457)</t>
  </si>
  <si>
    <t>R_TiempoLleg (veh. 457)</t>
  </si>
  <si>
    <t>R_Tipo (veh. 458)</t>
  </si>
  <si>
    <t>R_Volumen (veh. 458)</t>
  </si>
  <si>
    <t>R_Servicio (veh. 458)</t>
  </si>
  <si>
    <t>R_CostoOp (veh. 458)</t>
  </si>
  <si>
    <t>R_TiempoLleg (veh. 458)</t>
  </si>
  <si>
    <t>R_Tipo (veh. 459)</t>
  </si>
  <si>
    <t>R_Volumen (veh. 459)</t>
  </si>
  <si>
    <t>R_Servicio (veh. 459)</t>
  </si>
  <si>
    <t>R_CostoOp (veh. 459)</t>
  </si>
  <si>
    <t>R_TiempoLleg (veh. 459)</t>
  </si>
  <si>
    <t>R_Tipo (veh. 460)</t>
  </si>
  <si>
    <t>R_Volumen (veh. 460)</t>
  </si>
  <si>
    <t>R_Servicio (veh. 460)</t>
  </si>
  <si>
    <t>R_CostoOp (veh. 460)</t>
  </si>
  <si>
    <t>R_TiempoLleg (veh. 460)</t>
  </si>
  <si>
    <t>R_Tipo (veh. 461)</t>
  </si>
  <si>
    <t>R_Volumen (veh. 461)</t>
  </si>
  <si>
    <t>R_Servicio (veh. 461)</t>
  </si>
  <si>
    <t>R_CostoOp (veh. 461)</t>
  </si>
  <si>
    <t>R_TiempoLleg (veh. 461)</t>
  </si>
  <si>
    <t>R_Tipo (veh. 462)</t>
  </si>
  <si>
    <t>R_Volumen (veh. 462)</t>
  </si>
  <si>
    <t>R_Servicio (veh. 462)</t>
  </si>
  <si>
    <t>R_CostoOp (veh. 462)</t>
  </si>
  <si>
    <t>R_TiempoLleg (veh. 462)</t>
  </si>
  <si>
    <t>R_Tipo (veh. 463)</t>
  </si>
  <si>
    <t>R_Volumen (veh. 463)</t>
  </si>
  <si>
    <t>R_Servicio (veh. 463)</t>
  </si>
  <si>
    <t>R_CostoOp (veh. 463)</t>
  </si>
  <si>
    <t>R_TiempoLleg (veh. 463)</t>
  </si>
  <si>
    <t>R_Tipo (veh. 464)</t>
  </si>
  <si>
    <t>R_Volumen (veh. 464)</t>
  </si>
  <si>
    <t>R_Servicio (veh. 464)</t>
  </si>
  <si>
    <t>R_CostoOp (veh. 464)</t>
  </si>
  <si>
    <t>R_TiempoLleg (veh. 464)</t>
  </si>
  <si>
    <t>R_Tipo (veh. 465)</t>
  </si>
  <si>
    <t>R_Volumen (veh. 465)</t>
  </si>
  <si>
    <t>R_Servicio (veh. 465)</t>
  </si>
  <si>
    <t>R_CostoOp (veh. 465)</t>
  </si>
  <si>
    <t>R_TiempoLleg (veh. 465)</t>
  </si>
  <si>
    <t>R_Tipo (veh. 466)</t>
  </si>
  <si>
    <t>R_Volumen (veh. 466)</t>
  </si>
  <si>
    <t>R_Servicio (veh. 466)</t>
  </si>
  <si>
    <t>R_CostoOp (veh. 466)</t>
  </si>
  <si>
    <t>R_TiempoLleg (veh. 466)</t>
  </si>
  <si>
    <t>R_Tipo (veh. 467)</t>
  </si>
  <si>
    <t>R_Volumen (veh. 467)</t>
  </si>
  <si>
    <t>R_Servicio (veh. 467)</t>
  </si>
  <si>
    <t>R_CostoOp (veh. 467)</t>
  </si>
  <si>
    <t>R_TiempoLleg (veh. 467)</t>
  </si>
  <si>
    <t>R_Tipo (veh. 468)</t>
  </si>
  <si>
    <t>R_Volumen (veh. 468)</t>
  </si>
  <si>
    <t>R_Servicio (veh. 468)</t>
  </si>
  <si>
    <t>R_CostoOp (veh. 468)</t>
  </si>
  <si>
    <t>R_TiempoLleg (veh. 468)</t>
  </si>
  <si>
    <t>R_Tipo (veh. 469)</t>
  </si>
  <si>
    <t>R_Volumen (veh. 469)</t>
  </si>
  <si>
    <t>R_Servicio (veh. 469)</t>
  </si>
  <si>
    <t>R_CostoOp (veh. 469)</t>
  </si>
  <si>
    <t>R_TiempoLleg (veh. 469)</t>
  </si>
  <si>
    <t>R_Tipo (veh. 470)</t>
  </si>
  <si>
    <t>R_Volumen (veh. 470)</t>
  </si>
  <si>
    <t>R_Servicio (veh. 470)</t>
  </si>
  <si>
    <t>R_CostoOp (veh. 470)</t>
  </si>
  <si>
    <t>R_TiempoLleg (veh. 470)</t>
  </si>
  <si>
    <t>R_Tipo (veh. 471)</t>
  </si>
  <si>
    <t>R_Volumen (veh. 471)</t>
  </si>
  <si>
    <t>R_Servicio (veh. 471)</t>
  </si>
  <si>
    <t>R_CostoOp (veh. 471)</t>
  </si>
  <si>
    <t>R_TiempoLleg (veh. 471)</t>
  </si>
  <si>
    <t>R_Tipo (veh. 472)</t>
  </si>
  <si>
    <t>R_Volumen (veh. 472)</t>
  </si>
  <si>
    <t>R_Servicio (veh. 472)</t>
  </si>
  <si>
    <t>R_CostoOp (veh. 472)</t>
  </si>
  <si>
    <t>R_TiempoLleg (veh. 472)</t>
  </si>
  <si>
    <t>R_Tipo (veh. 473)</t>
  </si>
  <si>
    <t>R_Volumen (veh. 473)</t>
  </si>
  <si>
    <t>R_Servicio (veh. 473)</t>
  </si>
  <si>
    <t>R_CostoOp (veh. 473)</t>
  </si>
  <si>
    <t>R_TiempoLleg (veh. 473)</t>
  </si>
  <si>
    <t>R_Tipo (veh. 474)</t>
  </si>
  <si>
    <t>R_Volumen (veh. 474)</t>
  </si>
  <si>
    <t>R_Servicio (veh. 474)</t>
  </si>
  <si>
    <t>R_CostoOp (veh. 474)</t>
  </si>
  <si>
    <t>R_TiempoLleg (veh. 474)</t>
  </si>
  <si>
    <t>R_Tipo (veh. 475)</t>
  </si>
  <si>
    <t>R_Volumen (veh. 475)</t>
  </si>
  <si>
    <t>R_Servicio (veh. 475)</t>
  </si>
  <si>
    <t>R_CostoOp (veh. 475)</t>
  </si>
  <si>
    <t>R_TiempoLleg (veh. 475)</t>
  </si>
  <si>
    <t>R_Tipo (veh. 476)</t>
  </si>
  <si>
    <t>R_Volumen (veh. 476)</t>
  </si>
  <si>
    <t>R_Servicio (veh. 476)</t>
  </si>
  <si>
    <t>R_CostoOp (veh. 476)</t>
  </si>
  <si>
    <t>R_TiempoLleg (veh. 476)</t>
  </si>
  <si>
    <t>R_Tipo (veh. 477)</t>
  </si>
  <si>
    <t>R_Volumen (veh. 477)</t>
  </si>
  <si>
    <t>R_Servicio (veh. 477)</t>
  </si>
  <si>
    <t>R_CostoOp (veh. 477)</t>
  </si>
  <si>
    <t>R_TiempoLleg (veh. 477)</t>
  </si>
  <si>
    <t>R_Tipo (veh. 478)</t>
  </si>
  <si>
    <t>R_Volumen (veh. 478)</t>
  </si>
  <si>
    <t>R_Servicio (veh. 478)</t>
  </si>
  <si>
    <t>R_CostoOp (veh. 478)</t>
  </si>
  <si>
    <t>R_TiempoLleg (veh. 478)</t>
  </si>
  <si>
    <t>R_Tipo (veh. 479)</t>
  </si>
  <si>
    <t>R_Volumen (veh. 479)</t>
  </si>
  <si>
    <t>R_Servicio (veh. 479)</t>
  </si>
  <si>
    <t>R_CostoOp (veh. 479)</t>
  </si>
  <si>
    <t>R_TiempoLleg (veh. 479)</t>
  </si>
  <si>
    <t>R_Tipo (veh. 480)</t>
  </si>
  <si>
    <t>R_Volumen (veh. 480)</t>
  </si>
  <si>
    <t>R_Servicio (veh. 480)</t>
  </si>
  <si>
    <t>R_CostoOp (veh. 480)</t>
  </si>
  <si>
    <t>R_TiempoLleg (veh. 480)</t>
  </si>
  <si>
    <t>R_Tipo (veh. 481)</t>
  </si>
  <si>
    <t>R_Volumen (veh. 481)</t>
  </si>
  <si>
    <t>R_Servicio (veh. 481)</t>
  </si>
  <si>
    <t>R_CostoOp (veh. 481)</t>
  </si>
  <si>
    <t>R_TiempoLleg (veh. 481)</t>
  </si>
  <si>
    <t>R_Tipo (veh. 482)</t>
  </si>
  <si>
    <t>R_Volumen (veh. 482)</t>
  </si>
  <si>
    <t>R_Servicio (veh. 482)</t>
  </si>
  <si>
    <t>R_CostoOp (veh. 482)</t>
  </si>
  <si>
    <t>R_TiempoLleg (veh. 482)</t>
  </si>
  <si>
    <t>R_Tipo (veh. 483)</t>
  </si>
  <si>
    <t>R_Volumen (veh. 483)</t>
  </si>
  <si>
    <t>R_Servicio (veh. 483)</t>
  </si>
  <si>
    <t>R_CostoOp (veh. 483)</t>
  </si>
  <si>
    <t>R_TiempoLleg (veh. 483)</t>
  </si>
  <si>
    <t>R_Tipo (veh. 484)</t>
  </si>
  <si>
    <t>R_Volumen (veh. 484)</t>
  </si>
  <si>
    <t>R_Servicio (veh. 484)</t>
  </si>
  <si>
    <t>R_CostoOp (veh. 484)</t>
  </si>
  <si>
    <t>R_TiempoLleg (veh. 484)</t>
  </si>
  <si>
    <t>R_Tipo (veh. 485)</t>
  </si>
  <si>
    <t>R_Volumen (veh. 485)</t>
  </si>
  <si>
    <t>R_Servicio (veh. 485)</t>
  </si>
  <si>
    <t>R_CostoOp (veh. 485)</t>
  </si>
  <si>
    <t>R_TiempoLleg (veh. 485)</t>
  </si>
  <si>
    <t>R_Tipo (veh. 486)</t>
  </si>
  <si>
    <t>R_Volumen (veh. 486)</t>
  </si>
  <si>
    <t>R_Servicio (veh. 486)</t>
  </si>
  <si>
    <t>R_CostoOp (veh. 486)</t>
  </si>
  <si>
    <t>R_TiempoLleg (veh. 486)</t>
  </si>
  <si>
    <t>R_Tipo (veh. 487)</t>
  </si>
  <si>
    <t>R_Volumen (veh. 487)</t>
  </si>
  <si>
    <t>R_Servicio (veh. 487)</t>
  </si>
  <si>
    <t>R_CostoOp (veh. 487)</t>
  </si>
  <si>
    <t>R_TiempoLleg (veh. 487)</t>
  </si>
  <si>
    <t>R_Tipo (veh. 488)</t>
  </si>
  <si>
    <t>R_Volumen (veh. 488)</t>
  </si>
  <si>
    <t>R_Servicio (veh. 488)</t>
  </si>
  <si>
    <t>R_CostoOp (veh. 488)</t>
  </si>
  <si>
    <t>R_TiempoLleg (veh. 488)</t>
  </si>
  <si>
    <t>R_Tipo (veh. 489)</t>
  </si>
  <si>
    <t>R_Volumen (veh. 489)</t>
  </si>
  <si>
    <t>R_Servicio (veh. 489)</t>
  </si>
  <si>
    <t>R_CostoOp (veh. 489)</t>
  </si>
  <si>
    <t>R_TiempoLleg (veh. 489)</t>
  </si>
  <si>
    <t>R_Tipo (veh. 490)</t>
  </si>
  <si>
    <t>R_Volumen (veh. 490)</t>
  </si>
  <si>
    <t>R_Servicio (veh. 490)</t>
  </si>
  <si>
    <t>R_CostoOp (veh. 490)</t>
  </si>
  <si>
    <t>R_TiempoLleg (veh. 490)</t>
  </si>
  <si>
    <t>R_Tipo (veh. 491)</t>
  </si>
  <si>
    <t>R_Volumen (veh. 491)</t>
  </si>
  <si>
    <t>R_Servicio (veh. 491)</t>
  </si>
  <si>
    <t>R_CostoOp (veh. 491)</t>
  </si>
  <si>
    <t>R_TiempoLleg (veh. 491)</t>
  </si>
  <si>
    <t>R_Tipo (veh. 492)</t>
  </si>
  <si>
    <t>R_Volumen (veh. 492)</t>
  </si>
  <si>
    <t>R_Servicio (veh. 492)</t>
  </si>
  <si>
    <t>R_CostoOp (veh. 492)</t>
  </si>
  <si>
    <t>R_TiempoLleg (veh. 492)</t>
  </si>
  <si>
    <t>R_Tipo (veh. 493)</t>
  </si>
  <si>
    <t>R_Volumen (veh. 493)</t>
  </si>
  <si>
    <t>R_Servicio (veh. 493)</t>
  </si>
  <si>
    <t>R_CostoOp (veh. 493)</t>
  </si>
  <si>
    <t>R_TiempoLleg (veh. 493)</t>
  </si>
  <si>
    <t>R_Tipo (veh. 494)</t>
  </si>
  <si>
    <t>R_Volumen (veh. 494)</t>
  </si>
  <si>
    <t>R_Servicio (veh. 494)</t>
  </si>
  <si>
    <t>R_CostoOp (veh. 494)</t>
  </si>
  <si>
    <t>R_TiempoLleg (veh. 494)</t>
  </si>
  <si>
    <t>R_Tipo (veh. 495)</t>
  </si>
  <si>
    <t>R_Volumen (veh. 495)</t>
  </si>
  <si>
    <t>R_Servicio (veh. 495)</t>
  </si>
  <si>
    <t>R_CostoOp (veh. 495)</t>
  </si>
  <si>
    <t>R_TiempoLleg (veh. 495)</t>
  </si>
  <si>
    <t>R_Tipo (veh. 496)</t>
  </si>
  <si>
    <t>R_Volumen (veh. 496)</t>
  </si>
  <si>
    <t>R_Servicio (veh. 496)</t>
  </si>
  <si>
    <t>R_CostoOp (veh. 496)</t>
  </si>
  <si>
    <t>R_TiempoLleg (veh. 496)</t>
  </si>
  <si>
    <t>R_Tipo (veh. 497)</t>
  </si>
  <si>
    <t>R_Volumen (veh. 497)</t>
  </si>
  <si>
    <t>R_Servicio (veh. 497)</t>
  </si>
  <si>
    <t>R_CostoOp (veh. 497)</t>
  </si>
  <si>
    <t>R_TiempoLleg (veh. 497)</t>
  </si>
  <si>
    <t>R_Tipo (veh. 498)</t>
  </si>
  <si>
    <t>R_Volumen (veh. 498)</t>
  </si>
  <si>
    <t>R_Servicio (veh. 498)</t>
  </si>
  <si>
    <t>R_CostoOp (veh. 498)</t>
  </si>
  <si>
    <t>R_TiempoLleg (veh. 498)</t>
  </si>
  <si>
    <t>R_Tipo (veh. 499)</t>
  </si>
  <si>
    <t>R_Volumen (veh. 499)</t>
  </si>
  <si>
    <t>R_Servicio (veh. 499)</t>
  </si>
  <si>
    <t>R_CostoOp (veh. 499)</t>
  </si>
  <si>
    <t>R_TiempoLleg (veh. 499)</t>
  </si>
  <si>
    <t>R_Tipo (veh. 500)</t>
  </si>
  <si>
    <t>R_Volumen (veh. 500)</t>
  </si>
  <si>
    <t>R_Servicio (veh. 500)</t>
  </si>
  <si>
    <t>R_CostoOp (veh. 500)</t>
  </si>
  <si>
    <t>R_TiempoLleg (veh. 500)</t>
  </si>
  <si>
    <t>R_Tipo (veh. 501)</t>
  </si>
  <si>
    <t>R_Volumen (veh. 501)</t>
  </si>
  <si>
    <t>R_Servicio (veh. 501)</t>
  </si>
  <si>
    <t>R_CostoOp (veh. 501)</t>
  </si>
  <si>
    <t>R_TiempoLleg (veh. 501)</t>
  </si>
  <si>
    <t>R_Tipo (veh. 502)</t>
  </si>
  <si>
    <t>R_Volumen (veh. 502)</t>
  </si>
  <si>
    <t>R_Servicio (veh. 502)</t>
  </si>
  <si>
    <t>R_CostoOp (veh. 502)</t>
  </si>
  <si>
    <t>R_TiempoLleg (veh. 502)</t>
  </si>
  <si>
    <t>R_Tipo (veh. 503)</t>
  </si>
  <si>
    <t>R_Volumen (veh. 503)</t>
  </si>
  <si>
    <t>R_Servicio (veh. 503)</t>
  </si>
  <si>
    <t>R_CostoOp (veh. 503)</t>
  </si>
  <si>
    <t>R_TiempoLleg (veh. 503)</t>
  </si>
  <si>
    <t>R_Tipo (veh. 504)</t>
  </si>
  <si>
    <t>R_Volumen (veh. 504)</t>
  </si>
  <si>
    <t>R_Servicio (veh. 504)</t>
  </si>
  <si>
    <t>R_CostoOp (veh. 504)</t>
  </si>
  <si>
    <t>R_TiempoLleg (veh. 504)</t>
  </si>
  <si>
    <t>R_Tipo (veh. 505)</t>
  </si>
  <si>
    <t>R_Volumen (veh. 505)</t>
  </si>
  <si>
    <t>R_Servicio (veh. 505)</t>
  </si>
  <si>
    <t>R_CostoOp (veh. 505)</t>
  </si>
  <si>
    <t>R_TiempoLleg (veh. 505)</t>
  </si>
  <si>
    <t>R_Tipo (veh. 506)</t>
  </si>
  <si>
    <t>R_Volumen (veh. 506)</t>
  </si>
  <si>
    <t>R_Servicio (veh. 506)</t>
  </si>
  <si>
    <t>R_CostoOp (veh. 506)</t>
  </si>
  <si>
    <t>R_TiempoLleg (veh. 506)</t>
  </si>
  <si>
    <t>R_Tipo (veh. 507)</t>
  </si>
  <si>
    <t>R_Volumen (veh. 507)</t>
  </si>
  <si>
    <t>R_Servicio (veh. 507)</t>
  </si>
  <si>
    <t>R_CostoOp (veh. 507)</t>
  </si>
  <si>
    <t>R_TiempoLleg (veh. 507)</t>
  </si>
  <si>
    <t>R_Tipo (veh. 508)</t>
  </si>
  <si>
    <t>R_Volumen (veh. 508)</t>
  </si>
  <si>
    <t>R_Servicio (veh. 508)</t>
  </si>
  <si>
    <t>R_CostoOp (veh. 508)</t>
  </si>
  <si>
    <t>R_TiempoLleg (veh. 508)</t>
  </si>
  <si>
    <t>R_Tipo (veh. 509)</t>
  </si>
  <si>
    <t>R_Volumen (veh. 509)</t>
  </si>
  <si>
    <t>R_Servicio (veh. 509)</t>
  </si>
  <si>
    <t>R_CostoOp (veh. 509)</t>
  </si>
  <si>
    <t>R_TiempoLleg (veh. 509)</t>
  </si>
  <si>
    <t>R_Tipo (veh. 510)</t>
  </si>
  <si>
    <t>R_Volumen (veh. 510)</t>
  </si>
  <si>
    <t>R_Servicio (veh. 510)</t>
  </si>
  <si>
    <t>R_CostoOp (veh. 510)</t>
  </si>
  <si>
    <t>R_TiempoLleg (veh. 510)</t>
  </si>
  <si>
    <t>R_Tipo (veh. 511)</t>
  </si>
  <si>
    <t>R_Volumen (veh. 511)</t>
  </si>
  <si>
    <t>R_Servicio (veh. 511)</t>
  </si>
  <si>
    <t>R_CostoOp (veh. 511)</t>
  </si>
  <si>
    <t>R_TiempoLleg (veh. 511)</t>
  </si>
  <si>
    <t>R_Tipo (veh. 512)</t>
  </si>
  <si>
    <t>R_Volumen (veh. 512)</t>
  </si>
  <si>
    <t>R_Servicio (veh. 512)</t>
  </si>
  <si>
    <t>R_CostoOp (veh. 512)</t>
  </si>
  <si>
    <t>R_TiempoLleg (veh. 512)</t>
  </si>
  <si>
    <t>R_Tipo (veh. 513)</t>
  </si>
  <si>
    <t>R_Volumen (veh. 513)</t>
  </si>
  <si>
    <t>R_Servicio (veh. 513)</t>
  </si>
  <si>
    <t>R_CostoOp (veh. 513)</t>
  </si>
  <si>
    <t>R_TiempoLleg (veh. 513)</t>
  </si>
  <si>
    <t>R_Tipo (veh. 514)</t>
  </si>
  <si>
    <t>R_Volumen (veh. 514)</t>
  </si>
  <si>
    <t>R_Servicio (veh. 514)</t>
  </si>
  <si>
    <t>R_CostoOp (veh. 514)</t>
  </si>
  <si>
    <t>R_TiempoLleg (veh. 514)</t>
  </si>
  <si>
    <t>R_Tipo (veh. 515)</t>
  </si>
  <si>
    <t>R_Volumen (veh. 515)</t>
  </si>
  <si>
    <t>R_Servicio (veh. 515)</t>
  </si>
  <si>
    <t>R_CostoOp (veh. 515)</t>
  </si>
  <si>
    <t>R_TiempoLleg (veh. 515)</t>
  </si>
  <si>
    <t>R_Tipo (veh. 516)</t>
  </si>
  <si>
    <t>R_Volumen (veh. 516)</t>
  </si>
  <si>
    <t>R_Servicio (veh. 516)</t>
  </si>
  <si>
    <t>R_CostoOp (veh. 516)</t>
  </si>
  <si>
    <t>R_TiempoLleg (veh. 516)</t>
  </si>
  <si>
    <t>R_Tipo (veh. 517)</t>
  </si>
  <si>
    <t>R_Volumen (veh. 517)</t>
  </si>
  <si>
    <t>R_Servicio (veh. 517)</t>
  </si>
  <si>
    <t>R_CostoOp (veh. 517)</t>
  </si>
  <si>
    <t>R_TiempoLleg (veh. 517)</t>
  </si>
  <si>
    <t>R_Tipo (veh. 518)</t>
  </si>
  <si>
    <t>R_Volumen (veh. 518)</t>
  </si>
  <si>
    <t>R_Servicio (veh. 518)</t>
  </si>
  <si>
    <t>R_CostoOp (veh. 518)</t>
  </si>
  <si>
    <t>R_TiempoLleg (veh. 518)</t>
  </si>
  <si>
    <t>R_Tipo (veh. 519)</t>
  </si>
  <si>
    <t>R_Volumen (veh. 519)</t>
  </si>
  <si>
    <t>R_Servicio (veh. 519)</t>
  </si>
  <si>
    <t>R_CostoOp (veh. 519)</t>
  </si>
  <si>
    <t>R_TiempoLleg (veh. 519)</t>
  </si>
  <si>
    <t>R_Tipo (veh. 520)</t>
  </si>
  <si>
    <t>R_Volumen (veh. 520)</t>
  </si>
  <si>
    <t>R_Servicio (veh. 520)</t>
  </si>
  <si>
    <t>R_CostoOp (veh. 520)</t>
  </si>
  <si>
    <t>R_TiempoLleg (veh. 520)</t>
  </si>
  <si>
    <t>R_Tipo (veh. 521)</t>
  </si>
  <si>
    <t>R_Volumen (veh. 521)</t>
  </si>
  <si>
    <t>R_Servicio (veh. 521)</t>
  </si>
  <si>
    <t>R_CostoOp (veh. 521)</t>
  </si>
  <si>
    <t>R_TiempoLleg (veh. 521)</t>
  </si>
  <si>
    <t>R_Tipo (veh. 522)</t>
  </si>
  <si>
    <t>R_Volumen (veh. 522)</t>
  </si>
  <si>
    <t>R_Servicio (veh. 522)</t>
  </si>
  <si>
    <t>R_CostoOp (veh. 522)</t>
  </si>
  <si>
    <t>R_TiempoLleg (veh. 522)</t>
  </si>
  <si>
    <t>R_Tipo (veh. 523)</t>
  </si>
  <si>
    <t>R_Volumen (veh. 523)</t>
  </si>
  <si>
    <t>R_Servicio (veh. 523)</t>
  </si>
  <si>
    <t>R_CostoOp (veh. 523)</t>
  </si>
  <si>
    <t>R_TiempoLleg (veh. 523)</t>
  </si>
  <si>
    <t>R_Tipo (veh. 524)</t>
  </si>
  <si>
    <t>R_Volumen (veh. 524)</t>
  </si>
  <si>
    <t>R_Servicio (veh. 524)</t>
  </si>
  <si>
    <t>R_CostoOp (veh. 524)</t>
  </si>
  <si>
    <t>R_TiempoLleg (veh. 524)</t>
  </si>
  <si>
    <t>R_Tipo (veh. 525)</t>
  </si>
  <si>
    <t>R_Volumen (veh. 525)</t>
  </si>
  <si>
    <t>R_Servicio (veh. 525)</t>
  </si>
  <si>
    <t>R_CostoOp (veh. 525)</t>
  </si>
  <si>
    <t>R_TiempoLleg (veh. 525)</t>
  </si>
  <si>
    <t>R_Tipo (veh. 526)</t>
  </si>
  <si>
    <t>R_Volumen (veh. 526)</t>
  </si>
  <si>
    <t>R_Servicio (veh. 526)</t>
  </si>
  <si>
    <t>R_CostoOp (veh. 526)</t>
  </si>
  <si>
    <t>R_TiempoLleg (veh. 526)</t>
  </si>
  <si>
    <t>R_Tipo (veh. 527)</t>
  </si>
  <si>
    <t>R_Volumen (veh. 527)</t>
  </si>
  <si>
    <t>R_Servicio (veh. 527)</t>
  </si>
  <si>
    <t>R_CostoOp (veh. 527)</t>
  </si>
  <si>
    <t>R_TiempoLleg (veh. 527)</t>
  </si>
  <si>
    <t>R_Tipo (veh. 528)</t>
  </si>
  <si>
    <t>R_Volumen (veh. 528)</t>
  </si>
  <si>
    <t>R_Servicio (veh. 528)</t>
  </si>
  <si>
    <t>R_CostoOp (veh. 528)</t>
  </si>
  <si>
    <t>R_TiempoLleg (veh. 528)</t>
  </si>
  <si>
    <t>R_Tipo (veh. 529)</t>
  </si>
  <si>
    <t>R_Volumen (veh. 529)</t>
  </si>
  <si>
    <t>R_Servicio (veh. 529)</t>
  </si>
  <si>
    <t>R_CostoOp (veh. 529)</t>
  </si>
  <si>
    <t>R_TiempoLleg (veh. 529)</t>
  </si>
  <si>
    <t>R_Tipo (veh. 530)</t>
  </si>
  <si>
    <t>R_Volumen (veh. 530)</t>
  </si>
  <si>
    <t>R_Servicio (veh. 530)</t>
  </si>
  <si>
    <t>R_CostoOp (veh. 530)</t>
  </si>
  <si>
    <t>R_TiempoLleg (veh. 530)</t>
  </si>
  <si>
    <t>R_Tipo (veh. 531)</t>
  </si>
  <si>
    <t>R_Volumen (veh. 531)</t>
  </si>
  <si>
    <t>R_Servicio (veh. 531)</t>
  </si>
  <si>
    <t>R_CostoOp (veh. 531)</t>
  </si>
  <si>
    <t>R_TiempoLleg (veh. 531)</t>
  </si>
  <si>
    <t>R_Tipo (veh. 532)</t>
  </si>
  <si>
    <t>R_Volumen (veh. 532)</t>
  </si>
  <si>
    <t>R_Servicio (veh. 532)</t>
  </si>
  <si>
    <t>R_CostoOp (veh. 532)</t>
  </si>
  <si>
    <t>R_TiempoLleg (veh. 532)</t>
  </si>
  <si>
    <t>R_Tipo (veh. 533)</t>
  </si>
  <si>
    <t>R_Volumen (veh. 533)</t>
  </si>
  <si>
    <t>R_Servicio (veh. 533)</t>
  </si>
  <si>
    <t>R_CostoOp (veh. 533)</t>
  </si>
  <si>
    <t>R_TiempoLleg (veh. 533)</t>
  </si>
  <si>
    <t>R_Tipo (veh. 534)</t>
  </si>
  <si>
    <t>R_Volumen (veh. 534)</t>
  </si>
  <si>
    <t>R_Servicio (veh. 534)</t>
  </si>
  <si>
    <t>R_CostoOp (veh. 534)</t>
  </si>
  <si>
    <t>R_TiempoLleg (veh. 534)</t>
  </si>
  <si>
    <t>R_Tipo (veh. 535)</t>
  </si>
  <si>
    <t>R_Volumen (veh. 535)</t>
  </si>
  <si>
    <t>R_Servicio (veh. 535)</t>
  </si>
  <si>
    <t>R_CostoOp (veh. 535)</t>
  </si>
  <si>
    <t>R_TiempoLleg (veh. 535)</t>
  </si>
  <si>
    <t>R_Tipo (veh. 536)</t>
  </si>
  <si>
    <t>R_Volumen (veh. 536)</t>
  </si>
  <si>
    <t>R_Servicio (veh. 536)</t>
  </si>
  <si>
    <t>R_CostoOp (veh. 536)</t>
  </si>
  <si>
    <t>R_TiempoLleg (veh. 536)</t>
  </si>
  <si>
    <t>R_Tipo (veh. 537)</t>
  </si>
  <si>
    <t>R_Volumen (veh. 537)</t>
  </si>
  <si>
    <t>R_Servicio (veh. 537)</t>
  </si>
  <si>
    <t>R_CostoOp (veh. 537)</t>
  </si>
  <si>
    <t>R_TiempoLleg (veh. 537)</t>
  </si>
  <si>
    <t>R_Tipo (veh. 538)</t>
  </si>
  <si>
    <t>R_Volumen (veh. 538)</t>
  </si>
  <si>
    <t>R_Servicio (veh. 538)</t>
  </si>
  <si>
    <t>R_CostoOp (veh. 538)</t>
  </si>
  <si>
    <t>R_TiempoLleg (veh. 538)</t>
  </si>
  <si>
    <t>R_Tipo (veh. 539)</t>
  </si>
  <si>
    <t>R_Volumen (veh. 539)</t>
  </si>
  <si>
    <t>R_Servicio (veh. 539)</t>
  </si>
  <si>
    <t>R_CostoOp (veh. 539)</t>
  </si>
  <si>
    <t>R_TiempoLleg (veh. 539)</t>
  </si>
  <si>
    <t>R_Tipo (veh. 540)</t>
  </si>
  <si>
    <t>R_Volumen (veh. 540)</t>
  </si>
  <si>
    <t>R_Servicio (veh. 540)</t>
  </si>
  <si>
    <t>R_CostoOp (veh. 540)</t>
  </si>
  <si>
    <t>R_TiempoLleg (veh. 540)</t>
  </si>
  <si>
    <t>R_Tipo (veh. 541)</t>
  </si>
  <si>
    <t>R_Volumen (veh. 541)</t>
  </si>
  <si>
    <t>R_Servicio (veh. 541)</t>
  </si>
  <si>
    <t>R_CostoOp (veh. 541)</t>
  </si>
  <si>
    <t>R_TiempoLleg (veh. 541)</t>
  </si>
  <si>
    <t>R_Tipo (veh. 542)</t>
  </si>
  <si>
    <t>R_Volumen (veh. 542)</t>
  </si>
  <si>
    <t>R_Servicio (veh. 542)</t>
  </si>
  <si>
    <t>R_CostoOp (veh. 542)</t>
  </si>
  <si>
    <t>R_TiempoLleg (veh. 542)</t>
  </si>
  <si>
    <t>R_Tipo (veh. 543)</t>
  </si>
  <si>
    <t>R_Volumen (veh. 543)</t>
  </si>
  <si>
    <t>R_Servicio (veh. 543)</t>
  </si>
  <si>
    <t>R_CostoOp (veh. 543)</t>
  </si>
  <si>
    <t>R_TiempoLleg (veh. 543)</t>
  </si>
  <si>
    <t>R_Tipo (veh. 544)</t>
  </si>
  <si>
    <t>R_Volumen (veh. 544)</t>
  </si>
  <si>
    <t>R_Servicio (veh. 544)</t>
  </si>
  <si>
    <t>R_CostoOp (veh. 544)</t>
  </si>
  <si>
    <t>R_TiempoLleg (veh. 544)</t>
  </si>
  <si>
    <t>R_Tipo (veh. 545)</t>
  </si>
  <si>
    <t>R_Volumen (veh. 545)</t>
  </si>
  <si>
    <t>R_Servicio (veh. 545)</t>
  </si>
  <si>
    <t>R_CostoOp (veh. 545)</t>
  </si>
  <si>
    <t>R_TiempoLleg (veh. 545)</t>
  </si>
  <si>
    <t>R_Tipo (veh. 546)</t>
  </si>
  <si>
    <t>R_Volumen (veh. 546)</t>
  </si>
  <si>
    <t>R_Servicio (veh. 546)</t>
  </si>
  <si>
    <t>R_CostoOp (veh. 546)</t>
  </si>
  <si>
    <t>R_TiempoLleg (veh. 546)</t>
  </si>
  <si>
    <t>R_Tipo (veh. 547)</t>
  </si>
  <si>
    <t>R_Volumen (veh. 547)</t>
  </si>
  <si>
    <t>R_Servicio (veh. 547)</t>
  </si>
  <si>
    <t>R_CostoOp (veh. 547)</t>
  </si>
  <si>
    <t>R_TiempoLleg (veh. 547)</t>
  </si>
  <si>
    <t>R_Tipo (veh. 548)</t>
  </si>
  <si>
    <t>R_Volumen (veh. 548)</t>
  </si>
  <si>
    <t>R_Servicio (veh. 548)</t>
  </si>
  <si>
    <t>R_CostoOp (veh. 548)</t>
  </si>
  <si>
    <t>R_TiempoLleg (veh. 548)</t>
  </si>
  <si>
    <t>R_Tipo (veh. 549)</t>
  </si>
  <si>
    <t>R_Volumen (veh. 549)</t>
  </si>
  <si>
    <t>R_Servicio (veh. 549)</t>
  </si>
  <si>
    <t>R_CostoOp (veh. 549)</t>
  </si>
  <si>
    <t>R_TiempoLleg (veh. 549)</t>
  </si>
  <si>
    <t>R_Tipo (veh. 550)</t>
  </si>
  <si>
    <t>R_Volumen (veh. 550)</t>
  </si>
  <si>
    <t>R_Servicio (veh. 550)</t>
  </si>
  <si>
    <t>R_CostoOp (veh. 550)</t>
  </si>
  <si>
    <t>R_TiempoLleg (veh. 550)</t>
  </si>
  <si>
    <t>R_Tipo (veh. 551)</t>
  </si>
  <si>
    <t>R_Volumen (veh. 551)</t>
  </si>
  <si>
    <t>R_Servicio (veh. 551)</t>
  </si>
  <si>
    <t>R_CostoOp (veh. 551)</t>
  </si>
  <si>
    <t>R_TiempoLleg (veh. 551)</t>
  </si>
  <si>
    <t>R_Tipo (veh. 552)</t>
  </si>
  <si>
    <t>R_Volumen (veh. 552)</t>
  </si>
  <si>
    <t>R_Servicio (veh. 552)</t>
  </si>
  <si>
    <t>R_CostoOp (veh. 552)</t>
  </si>
  <si>
    <t>R_TiempoLleg (veh. 552)</t>
  </si>
  <si>
    <t>R_Tipo (veh. 553)</t>
  </si>
  <si>
    <t>R_Volumen (veh. 553)</t>
  </si>
  <si>
    <t>R_Servicio (veh. 553)</t>
  </si>
  <si>
    <t>R_CostoOp (veh. 553)</t>
  </si>
  <si>
    <t>R_TiempoLleg (veh. 553)</t>
  </si>
  <si>
    <t>R_Tipo (veh. 554)</t>
  </si>
  <si>
    <t>R_Volumen (veh. 554)</t>
  </si>
  <si>
    <t>R_Servicio (veh. 554)</t>
  </si>
  <si>
    <t>R_CostoOp (veh. 554)</t>
  </si>
  <si>
    <t>R_TiempoLleg (veh. 554)</t>
  </si>
  <si>
    <t>R_Tipo (veh. 555)</t>
  </si>
  <si>
    <t>R_Volumen (veh. 555)</t>
  </si>
  <si>
    <t>R_Servicio (veh. 555)</t>
  </si>
  <si>
    <t>R_CostoOp (veh. 555)</t>
  </si>
  <si>
    <t>R_TiempoLleg (veh. 555)</t>
  </si>
  <si>
    <t>R_Tipo (veh. 556)</t>
  </si>
  <si>
    <t>R_Volumen (veh. 556)</t>
  </si>
  <si>
    <t>R_Servicio (veh. 556)</t>
  </si>
  <si>
    <t>R_CostoOp (veh. 556)</t>
  </si>
  <si>
    <t>R_TiempoLleg (veh. 556)</t>
  </si>
  <si>
    <t>R_Tipo (veh. 557)</t>
  </si>
  <si>
    <t>R_Volumen (veh. 557)</t>
  </si>
  <si>
    <t>R_Servicio (veh. 557)</t>
  </si>
  <si>
    <t>R_CostoOp (veh. 557)</t>
  </si>
  <si>
    <t>R_TiempoLleg (veh. 557)</t>
  </si>
  <si>
    <t>R_Tipo (veh. 558)</t>
  </si>
  <si>
    <t>R_Volumen (veh. 558)</t>
  </si>
  <si>
    <t>R_Servicio (veh. 558)</t>
  </si>
  <si>
    <t>R_CostoOp (veh. 558)</t>
  </si>
  <si>
    <t>R_TiempoLleg (veh. 558)</t>
  </si>
  <si>
    <t>R_Tipo (veh. 559)</t>
  </si>
  <si>
    <t>R_Volumen (veh. 559)</t>
  </si>
  <si>
    <t>R_Servicio (veh. 559)</t>
  </si>
  <si>
    <t>R_CostoOp (veh. 559)</t>
  </si>
  <si>
    <t>R_TiempoLleg (veh. 559)</t>
  </si>
  <si>
    <t>R_Tipo (veh. 560)</t>
  </si>
  <si>
    <t>R_Volumen (veh. 560)</t>
  </si>
  <si>
    <t>R_Servicio (veh. 560)</t>
  </si>
  <si>
    <t>R_CostoOp (veh. 560)</t>
  </si>
  <si>
    <t>R_TiempoLleg (veh. 560)</t>
  </si>
  <si>
    <t>R_Tipo (veh. 561)</t>
  </si>
  <si>
    <t>R_Volumen (veh. 561)</t>
  </si>
  <si>
    <t>R_Servicio (veh. 561)</t>
  </si>
  <si>
    <t>R_CostoOp (veh. 561)</t>
  </si>
  <si>
    <t>R_TiempoLleg (veh. 561)</t>
  </si>
  <si>
    <t>R_Tipo (veh. 562)</t>
  </si>
  <si>
    <t>R_Volumen (veh. 562)</t>
  </si>
  <si>
    <t>R_Servicio (veh. 562)</t>
  </si>
  <si>
    <t>R_CostoOp (veh. 562)</t>
  </si>
  <si>
    <t>R_TiempoLleg (veh. 562)</t>
  </si>
  <si>
    <t>R_Tipo (veh. 563)</t>
  </si>
  <si>
    <t>R_Volumen (veh. 563)</t>
  </si>
  <si>
    <t>R_Servicio (veh. 563)</t>
  </si>
  <si>
    <t>R_CostoOp (veh. 563)</t>
  </si>
  <si>
    <t>R_TiempoLleg (veh. 563)</t>
  </si>
  <si>
    <t>R_Tipo (veh. 564)</t>
  </si>
  <si>
    <t>R_Volumen (veh. 564)</t>
  </si>
  <si>
    <t>R_Servicio (veh. 564)</t>
  </si>
  <si>
    <t>R_CostoOp (veh. 564)</t>
  </si>
  <si>
    <t>R_TiempoLleg (veh. 564)</t>
  </si>
  <si>
    <t>R_Tipo (veh. 565)</t>
  </si>
  <si>
    <t>R_Volumen (veh. 565)</t>
  </si>
  <si>
    <t>R_Servicio (veh. 565)</t>
  </si>
  <si>
    <t>R_CostoOp (veh. 565)</t>
  </si>
  <si>
    <t>R_TiempoLleg (veh. 565)</t>
  </si>
  <si>
    <t>R_Tipo (veh. 566)</t>
  </si>
  <si>
    <t>R_Volumen (veh. 566)</t>
  </si>
  <si>
    <t>R_Servicio (veh. 566)</t>
  </si>
  <si>
    <t>R_CostoOp (veh. 566)</t>
  </si>
  <si>
    <t>R_TiempoLleg (veh. 566)</t>
  </si>
  <si>
    <t>R_Tipo (veh. 567)</t>
  </si>
  <si>
    <t>R_Volumen (veh. 567)</t>
  </si>
  <si>
    <t>R_Servicio (veh. 567)</t>
  </si>
  <si>
    <t>R_CostoOp (veh. 567)</t>
  </si>
  <si>
    <t>R_TiempoLleg (veh. 567)</t>
  </si>
  <si>
    <t>R_Tipo (veh. 568)</t>
  </si>
  <si>
    <t>R_Volumen (veh. 568)</t>
  </si>
  <si>
    <t>R_Servicio (veh. 568)</t>
  </si>
  <si>
    <t>R_CostoOp (veh. 568)</t>
  </si>
  <si>
    <t>R_TiempoLleg (veh. 568)</t>
  </si>
  <si>
    <t>R_Tipo (veh. 569)</t>
  </si>
  <si>
    <t>R_Volumen (veh. 569)</t>
  </si>
  <si>
    <t>R_Servicio (veh. 569)</t>
  </si>
  <si>
    <t>R_CostoOp (veh. 569)</t>
  </si>
  <si>
    <t>R_TiempoLleg (veh. 569)</t>
  </si>
  <si>
    <t>R_Tipo (veh. 570)</t>
  </si>
  <si>
    <t>R_Volumen (veh. 570)</t>
  </si>
  <si>
    <t>R_Servicio (veh. 570)</t>
  </si>
  <si>
    <t>R_CostoOp (veh. 570)</t>
  </si>
  <si>
    <t>R_TiempoLleg (veh. 570)</t>
  </si>
  <si>
    <t>R_Tipo (veh. 571)</t>
  </si>
  <si>
    <t>R_Volumen (veh. 571)</t>
  </si>
  <si>
    <t>R_Servicio (veh. 571)</t>
  </si>
  <si>
    <t>R_CostoOp (veh. 571)</t>
  </si>
  <si>
    <t>R_TiempoLleg (veh. 571)</t>
  </si>
  <si>
    <t>R_Tipo (veh. 572)</t>
  </si>
  <si>
    <t>R_Volumen (veh. 572)</t>
  </si>
  <si>
    <t>R_Servicio (veh. 572)</t>
  </si>
  <si>
    <t>R_CostoOp (veh. 572)</t>
  </si>
  <si>
    <t>R_TiempoLleg (veh. 572)</t>
  </si>
  <si>
    <t>R_Tipo (veh. 573)</t>
  </si>
  <si>
    <t>R_Volumen (veh. 573)</t>
  </si>
  <si>
    <t>R_Servicio (veh. 573)</t>
  </si>
  <si>
    <t>R_CostoOp (veh. 573)</t>
  </si>
  <si>
    <t>R_TiempoLleg (veh. 573)</t>
  </si>
  <si>
    <t>R_Tipo (veh. 574)</t>
  </si>
  <si>
    <t>R_Volumen (veh. 574)</t>
  </si>
  <si>
    <t>R_Servicio (veh. 574)</t>
  </si>
  <si>
    <t>R_CostoOp (veh. 574)</t>
  </si>
  <si>
    <t>R_TiempoLleg (veh. 574)</t>
  </si>
  <si>
    <t>R_Tipo (veh. 575)</t>
  </si>
  <si>
    <t>R_Volumen (veh. 575)</t>
  </si>
  <si>
    <t>R_Servicio (veh. 575)</t>
  </si>
  <si>
    <t>R_CostoOp (veh. 575)</t>
  </si>
  <si>
    <t>R_TiempoLleg (veh. 575)</t>
  </si>
  <si>
    <t>R_Tipo (veh. 576)</t>
  </si>
  <si>
    <t>R_Volumen (veh. 576)</t>
  </si>
  <si>
    <t>R_Servicio (veh. 576)</t>
  </si>
  <si>
    <t>R_CostoOp (veh. 576)</t>
  </si>
  <si>
    <t>R_TiempoLleg (veh. 576)</t>
  </si>
  <si>
    <t>R_Tipo (veh. 577)</t>
  </si>
  <si>
    <t>R_Volumen (veh. 577)</t>
  </si>
  <si>
    <t>R_Servicio (veh. 577)</t>
  </si>
  <si>
    <t>R_CostoOp (veh. 577)</t>
  </si>
  <si>
    <t>R_TiempoLleg (veh. 577)</t>
  </si>
  <si>
    <t>R_Tipo (veh. 578)</t>
  </si>
  <si>
    <t>R_Volumen (veh. 578)</t>
  </si>
  <si>
    <t>R_Servicio (veh. 578)</t>
  </si>
  <si>
    <t>R_CostoOp (veh. 578)</t>
  </si>
  <si>
    <t>R_TiempoLleg (veh. 578)</t>
  </si>
  <si>
    <t>R_Tipo (veh. 579)</t>
  </si>
  <si>
    <t>R_Volumen (veh. 579)</t>
  </si>
  <si>
    <t>R_Servicio (veh. 579)</t>
  </si>
  <si>
    <t>R_CostoOp (veh. 579)</t>
  </si>
  <si>
    <t>R_TiempoLleg (veh. 579)</t>
  </si>
  <si>
    <t>R_Tipo (veh. 580)</t>
  </si>
  <si>
    <t>R_Volumen (veh. 580)</t>
  </si>
  <si>
    <t>R_Servicio (veh. 580)</t>
  </si>
  <si>
    <t>R_CostoOp (veh. 580)</t>
  </si>
  <si>
    <t>R_TiempoLleg (veh. 580)</t>
  </si>
  <si>
    <t>R_Tipo (veh. 581)</t>
  </si>
  <si>
    <t>R_Volumen (veh. 581)</t>
  </si>
  <si>
    <t>R_Servicio (veh. 581)</t>
  </si>
  <si>
    <t>R_CostoOp (veh. 581)</t>
  </si>
  <si>
    <t>R_TiempoLleg (veh. 581)</t>
  </si>
  <si>
    <t>R_Tipo (veh. 582)</t>
  </si>
  <si>
    <t>R_Volumen (veh. 582)</t>
  </si>
  <si>
    <t>R_Servicio (veh. 582)</t>
  </si>
  <si>
    <t>R_CostoOp (veh. 582)</t>
  </si>
  <si>
    <t>R_TiempoLleg (veh. 582)</t>
  </si>
  <si>
    <t>R_Tipo (veh. 583)</t>
  </si>
  <si>
    <t>R_Volumen (veh. 583)</t>
  </si>
  <si>
    <t>R_Servicio (veh. 583)</t>
  </si>
  <si>
    <t>R_CostoOp (veh. 583)</t>
  </si>
  <si>
    <t>R_TiempoLleg (veh. 583)</t>
  </si>
  <si>
    <t>R_Tipo (veh. 584)</t>
  </si>
  <si>
    <t>R_Volumen (veh. 584)</t>
  </si>
  <si>
    <t>R_Servicio (veh. 584)</t>
  </si>
  <si>
    <t>R_CostoOp (veh. 584)</t>
  </si>
  <si>
    <t>R_TiempoLleg (veh. 584)</t>
  </si>
  <si>
    <t>R_Tipo (veh. 585)</t>
  </si>
  <si>
    <t>R_Volumen (veh. 585)</t>
  </si>
  <si>
    <t>R_Servicio (veh. 585)</t>
  </si>
  <si>
    <t>R_CostoOp (veh. 585)</t>
  </si>
  <si>
    <t>R_TiempoLleg (veh. 585)</t>
  </si>
  <si>
    <t>R_Tipo (veh. 586)</t>
  </si>
  <si>
    <t>R_Volumen (veh. 586)</t>
  </si>
  <si>
    <t>R_Servicio (veh. 586)</t>
  </si>
  <si>
    <t>R_CostoOp (veh. 586)</t>
  </si>
  <si>
    <t>R_TiempoLleg (veh. 586)</t>
  </si>
  <si>
    <t>R_Tipo (veh. 587)</t>
  </si>
  <si>
    <t>R_Volumen (veh. 587)</t>
  </si>
  <si>
    <t>R_Servicio (veh. 587)</t>
  </si>
  <si>
    <t>R_CostoOp (veh. 587)</t>
  </si>
  <si>
    <t>R_TiempoLleg (veh. 587)</t>
  </si>
  <si>
    <t>R_Tipo (veh. 588)</t>
  </si>
  <si>
    <t>R_Volumen (veh. 588)</t>
  </si>
  <si>
    <t>R_Servicio (veh. 588)</t>
  </si>
  <si>
    <t>R_CostoOp (veh. 588)</t>
  </si>
  <si>
    <t>R_TiempoLleg (veh. 588)</t>
  </si>
  <si>
    <t>R_Tipo (veh. 589)</t>
  </si>
  <si>
    <t>R_Volumen (veh. 589)</t>
  </si>
  <si>
    <t>R_Servicio (veh. 589)</t>
  </si>
  <si>
    <t>R_CostoOp (veh. 589)</t>
  </si>
  <si>
    <t>R_TiempoLleg (veh. 589)</t>
  </si>
  <si>
    <t>R_Tipo (veh. 590)</t>
  </si>
  <si>
    <t>R_Volumen (veh. 590)</t>
  </si>
  <si>
    <t>R_Servicio (veh. 590)</t>
  </si>
  <si>
    <t>R_CostoOp (veh. 590)</t>
  </si>
  <si>
    <t>R_TiempoLleg (veh. 590)</t>
  </si>
  <si>
    <t>R_Tipo (veh. 591)</t>
  </si>
  <si>
    <t>R_Volumen (veh. 591)</t>
  </si>
  <si>
    <t>R_Servicio (veh. 591)</t>
  </si>
  <si>
    <t>R_CostoOp (veh. 591)</t>
  </si>
  <si>
    <t>R_TiempoLleg (veh. 591)</t>
  </si>
  <si>
    <t>R_Tipo (veh. 592)</t>
  </si>
  <si>
    <t>R_Volumen (veh. 592)</t>
  </si>
  <si>
    <t>R_Servicio (veh. 592)</t>
  </si>
  <si>
    <t>R_CostoOp (veh. 592)</t>
  </si>
  <si>
    <t>R_TiempoLleg (veh. 592)</t>
  </si>
  <si>
    <t>R_Tipo (veh. 593)</t>
  </si>
  <si>
    <t>R_Volumen (veh. 593)</t>
  </si>
  <si>
    <t>R_Servicio (veh. 593)</t>
  </si>
  <si>
    <t>R_CostoOp (veh. 593)</t>
  </si>
  <si>
    <t>R_TiempoLleg (veh. 593)</t>
  </si>
  <si>
    <t>R_Tipo (veh. 594)</t>
  </si>
  <si>
    <t>R_Volumen (veh. 594)</t>
  </si>
  <si>
    <t>R_Servicio (veh. 594)</t>
  </si>
  <si>
    <t>R_CostoOp (veh. 594)</t>
  </si>
  <si>
    <t>R_TiempoLleg (veh. 594)</t>
  </si>
  <si>
    <t>R_Tipo (veh. 595)</t>
  </si>
  <si>
    <t>R_Volumen (veh. 595)</t>
  </si>
  <si>
    <t>R_Servicio (veh. 595)</t>
  </si>
  <si>
    <t>R_CostoOp (veh. 595)</t>
  </si>
  <si>
    <t>R_TiempoLleg (veh. 595)</t>
  </si>
  <si>
    <t>R_Tipo (veh. 596)</t>
  </si>
  <si>
    <t>R_Volumen (veh. 596)</t>
  </si>
  <si>
    <t>R_Servicio (veh. 596)</t>
  </si>
  <si>
    <t>R_CostoOp (veh. 596)</t>
  </si>
  <si>
    <t>R_TiempoLleg (veh. 596)</t>
  </si>
  <si>
    <t>R_Tipo (veh. 597)</t>
  </si>
  <si>
    <t>R_Volumen (veh. 597)</t>
  </si>
  <si>
    <t>R_Servicio (veh. 597)</t>
  </si>
  <si>
    <t>R_CostoOp (veh. 597)</t>
  </si>
  <si>
    <t>R_TiempoLleg (veh. 597)</t>
  </si>
  <si>
    <t>R_Tipo (veh. 598)</t>
  </si>
  <si>
    <t>R_Volumen (veh. 598)</t>
  </si>
  <si>
    <t>R_Servicio (veh. 598)</t>
  </si>
  <si>
    <t>R_CostoOp (veh. 598)</t>
  </si>
  <si>
    <t>R_TiempoLleg (veh. 598)</t>
  </si>
  <si>
    <t>R_Tipo (veh. 599)</t>
  </si>
  <si>
    <t>R_Volumen (veh. 599)</t>
  </si>
  <si>
    <t>R_Servicio (veh. 599)</t>
  </si>
  <si>
    <t>R_CostoOp (veh. 599)</t>
  </si>
  <si>
    <t>R_TiempoLleg (veh. 599)</t>
  </si>
  <si>
    <t>R_Tipo (veh. 600)</t>
  </si>
  <si>
    <t>R_Volumen (veh. 600)</t>
  </si>
  <si>
    <t>R_Servicio (veh. 600)</t>
  </si>
  <si>
    <t>R_CostoOp (veh. 600)</t>
  </si>
  <si>
    <t>R_TiempoLleg (veh. 600)</t>
  </si>
  <si>
    <t>R_Tipo (veh. 601)</t>
  </si>
  <si>
    <t>R_Volumen (veh. 601)</t>
  </si>
  <si>
    <t>R_Servicio (veh. 601)</t>
  </si>
  <si>
    <t>R_CostoOp (veh. 601)</t>
  </si>
  <si>
    <t>R_TiempoLleg (veh. 601)</t>
  </si>
  <si>
    <t>R_Tipo (veh. 602)</t>
  </si>
  <si>
    <t>R_Volumen (veh. 602)</t>
  </si>
  <si>
    <t>R_Servicio (veh. 602)</t>
  </si>
  <si>
    <t>R_CostoOp (veh. 602)</t>
  </si>
  <si>
    <t>R_TiempoLleg (veh. 602)</t>
  </si>
  <si>
    <t>R_Tipo (veh. 603)</t>
  </si>
  <si>
    <t>R_Volumen (veh. 603)</t>
  </si>
  <si>
    <t>R_Servicio (veh. 603)</t>
  </si>
  <si>
    <t>R_CostoOp (veh. 603)</t>
  </si>
  <si>
    <t>R_TiempoLleg (veh. 603)</t>
  </si>
  <si>
    <t>R_Tipo (veh. 604)</t>
  </si>
  <si>
    <t>R_Volumen (veh. 604)</t>
  </si>
  <si>
    <t>R_Servicio (veh. 604)</t>
  </si>
  <si>
    <t>R_CostoOp (veh. 604)</t>
  </si>
  <si>
    <t>R_TiempoLleg (veh. 604)</t>
  </si>
  <si>
    <t>R_Tipo (veh. 605)</t>
  </si>
  <si>
    <t>R_Volumen (veh. 605)</t>
  </si>
  <si>
    <t>R_Servicio (veh. 605)</t>
  </si>
  <si>
    <t>R_CostoOp (veh. 605)</t>
  </si>
  <si>
    <t>R_TiempoLleg (veh. 605)</t>
  </si>
  <si>
    <t>R_Tipo (veh. 606)</t>
  </si>
  <si>
    <t>R_Volumen (veh. 606)</t>
  </si>
  <si>
    <t>R_Servicio (veh. 606)</t>
  </si>
  <si>
    <t>R_CostoOp (veh. 606)</t>
  </si>
  <si>
    <t>R_TiempoLleg (veh. 606)</t>
  </si>
  <si>
    <t>R_Tipo (veh. 607)</t>
  </si>
  <si>
    <t>R_Volumen (veh. 607)</t>
  </si>
  <si>
    <t>R_Servicio (veh. 607)</t>
  </si>
  <si>
    <t>R_CostoOp (veh. 607)</t>
  </si>
  <si>
    <t>R_TiempoLleg (veh. 607)</t>
  </si>
  <si>
    <t>R_Tipo (veh. 608)</t>
  </si>
  <si>
    <t>R_Volumen (veh. 608)</t>
  </si>
  <si>
    <t>R_Servicio (veh. 608)</t>
  </si>
  <si>
    <t>R_CostoOp (veh. 608)</t>
  </si>
  <si>
    <t>R_TiempoLleg (veh. 608)</t>
  </si>
  <si>
    <t>R_Tipo (veh. 609)</t>
  </si>
  <si>
    <t>R_Volumen (veh. 609)</t>
  </si>
  <si>
    <t>R_Servicio (veh. 609)</t>
  </si>
  <si>
    <t>R_CostoOp (veh. 609)</t>
  </si>
  <si>
    <t>R_TiempoLleg (veh. 609)</t>
  </si>
  <si>
    <t>R_Tipo (veh. 610)</t>
  </si>
  <si>
    <t>R_Volumen (veh. 610)</t>
  </si>
  <si>
    <t>R_Servicio (veh. 610)</t>
  </si>
  <si>
    <t>R_CostoOp (veh. 610)</t>
  </si>
  <si>
    <t>R_TiempoLleg (veh. 610)</t>
  </si>
  <si>
    <t>R_Tipo (veh. 611)</t>
  </si>
  <si>
    <t>R_Volumen (veh. 611)</t>
  </si>
  <si>
    <t>R_Servicio (veh. 611)</t>
  </si>
  <si>
    <t>R_CostoOp (veh. 611)</t>
  </si>
  <si>
    <t>R_TiempoLleg (veh. 611)</t>
  </si>
  <si>
    <t>R_Tipo (veh. 612)</t>
  </si>
  <si>
    <t>R_Volumen (veh. 612)</t>
  </si>
  <si>
    <t>R_Servicio (veh. 612)</t>
  </si>
  <si>
    <t>R_CostoOp (veh. 612)</t>
  </si>
  <si>
    <t>R_TiempoLleg (veh. 612)</t>
  </si>
  <si>
    <t>R_Tipo (veh. 613)</t>
  </si>
  <si>
    <t>R_Volumen (veh. 613)</t>
  </si>
  <si>
    <t>R_Servicio (veh. 613)</t>
  </si>
  <si>
    <t>R_CostoOp (veh. 613)</t>
  </si>
  <si>
    <t>R_TiempoLleg (veh. 613)</t>
  </si>
  <si>
    <t>R_Tipo (veh. 614)</t>
  </si>
  <si>
    <t>R_Volumen (veh. 614)</t>
  </si>
  <si>
    <t>R_Servicio (veh. 614)</t>
  </si>
  <si>
    <t>R_CostoOp (veh. 614)</t>
  </si>
  <si>
    <t>R_TiempoLleg (veh. 614)</t>
  </si>
  <si>
    <t>R_Tipo (veh. 615)</t>
  </si>
  <si>
    <t>R_Volumen (veh. 615)</t>
  </si>
  <si>
    <t>R_Servicio (veh. 615)</t>
  </si>
  <si>
    <t>R_CostoOp (veh. 615)</t>
  </si>
  <si>
    <t>R_TiempoLleg (veh. 615)</t>
  </si>
  <si>
    <t>R_Tipo (veh. 616)</t>
  </si>
  <si>
    <t>R_Volumen (veh. 616)</t>
  </si>
  <si>
    <t>R_Servicio (veh. 616)</t>
  </si>
  <si>
    <t>R_CostoOp (veh. 616)</t>
  </si>
  <si>
    <t>R_TiempoLleg (veh. 616)</t>
  </si>
  <si>
    <t>R_Tipo (veh. 617)</t>
  </si>
  <si>
    <t>R_Volumen (veh. 617)</t>
  </si>
  <si>
    <t>R_Servicio (veh. 617)</t>
  </si>
  <si>
    <t>R_CostoOp (veh. 617)</t>
  </si>
  <si>
    <t>R_TiempoLleg (veh. 617)</t>
  </si>
  <si>
    <t>R_Tipo (veh. 618)</t>
  </si>
  <si>
    <t>R_Volumen (veh. 618)</t>
  </si>
  <si>
    <t>R_Servicio (veh. 618)</t>
  </si>
  <si>
    <t>R_CostoOp (veh. 618)</t>
  </si>
  <si>
    <t>R_TiempoLleg (veh. 618)</t>
  </si>
  <si>
    <t>R_Tipo (veh. 619)</t>
  </si>
  <si>
    <t>R_Volumen (veh. 619)</t>
  </si>
  <si>
    <t>R_Servicio (veh. 619)</t>
  </si>
  <si>
    <t>R_CostoOp (veh. 619)</t>
  </si>
  <si>
    <t>R_TiempoLleg (veh. 619)</t>
  </si>
  <si>
    <t>R_Tipo (veh. 620)</t>
  </si>
  <si>
    <t>R_Volumen (veh. 620)</t>
  </si>
  <si>
    <t>R_Servicio (veh. 620)</t>
  </si>
  <si>
    <t>R_CostoOp (veh. 620)</t>
  </si>
  <si>
    <t>R_TiempoLleg (veh. 620)</t>
  </si>
  <si>
    <t>R_Tipo (veh. 621)</t>
  </si>
  <si>
    <t>R_Volumen (veh. 621)</t>
  </si>
  <si>
    <t>R_Servicio (veh. 621)</t>
  </si>
  <si>
    <t>R_CostoOp (veh. 621)</t>
  </si>
  <si>
    <t>R_TiempoLleg (veh. 621)</t>
  </si>
  <si>
    <t>R_Tipo (veh. 622)</t>
  </si>
  <si>
    <t>R_Volumen (veh. 622)</t>
  </si>
  <si>
    <t>R_Servicio (veh. 622)</t>
  </si>
  <si>
    <t>R_CostoOp (veh. 622)</t>
  </si>
  <si>
    <t>R_TiempoLleg (veh. 622)</t>
  </si>
  <si>
    <t>R_Tipo (veh. 623)</t>
  </si>
  <si>
    <t>R_Volumen (veh. 623)</t>
  </si>
  <si>
    <t>R_Servicio (veh. 623)</t>
  </si>
  <si>
    <t>R_CostoOp (veh. 623)</t>
  </si>
  <si>
    <t>R_TiempoLleg (veh. 623)</t>
  </si>
  <si>
    <t>R_Tipo (veh. 624)</t>
  </si>
  <si>
    <t>R_Volumen (veh. 624)</t>
  </si>
  <si>
    <t>R_Servicio (veh. 624)</t>
  </si>
  <si>
    <t>R_CostoOp (veh. 624)</t>
  </si>
  <si>
    <t>R_TiempoLleg (veh. 624)</t>
  </si>
  <si>
    <t>R_Tipo (veh. 625)</t>
  </si>
  <si>
    <t>R_Volumen (veh. 625)</t>
  </si>
  <si>
    <t>R_Servicio (veh. 625)</t>
  </si>
  <si>
    <t>R_CostoOp (veh. 625)</t>
  </si>
  <si>
    <t>R_TiempoLleg (veh. 625)</t>
  </si>
  <si>
    <t>R_Tipo (veh. 626)</t>
  </si>
  <si>
    <t>R_Volumen (veh. 626)</t>
  </si>
  <si>
    <t>R_Servicio (veh. 626)</t>
  </si>
  <si>
    <t>R_CostoOp (veh. 626)</t>
  </si>
  <si>
    <t>R_TiempoLleg (veh. 626)</t>
  </si>
  <si>
    <t>R_Tipo (veh. 627)</t>
  </si>
  <si>
    <t>R_Volumen (veh. 627)</t>
  </si>
  <si>
    <t>R_Servicio (veh. 627)</t>
  </si>
  <si>
    <t>R_CostoOp (veh. 627)</t>
  </si>
  <si>
    <t>R_TiempoLleg (veh. 627)</t>
  </si>
  <si>
    <t>R_Tipo (veh. 628)</t>
  </si>
  <si>
    <t>R_Volumen (veh. 628)</t>
  </si>
  <si>
    <t>R_Servicio (veh. 628)</t>
  </si>
  <si>
    <t>R_CostoOp (veh. 628)</t>
  </si>
  <si>
    <t>R_TiempoLleg (veh. 628)</t>
  </si>
  <si>
    <t>R_Tipo (veh. 629)</t>
  </si>
  <si>
    <t>R_Volumen (veh. 629)</t>
  </si>
  <si>
    <t>R_Servicio (veh. 629)</t>
  </si>
  <si>
    <t>R_CostoOp (veh. 629)</t>
  </si>
  <si>
    <t>R_TiempoLleg (veh. 629)</t>
  </si>
  <si>
    <t>R_Tipo (veh. 630)</t>
  </si>
  <si>
    <t>R_Volumen (veh. 630)</t>
  </si>
  <si>
    <t>R_Servicio (veh. 630)</t>
  </si>
  <si>
    <t>R_CostoOp (veh. 630)</t>
  </si>
  <si>
    <t>R_TiempoLleg (veh. 630)</t>
  </si>
  <si>
    <t>R_Tipo (veh. 631)</t>
  </si>
  <si>
    <t>R_Volumen (veh. 631)</t>
  </si>
  <si>
    <t>R_Servicio (veh. 631)</t>
  </si>
  <si>
    <t>R_CostoOp (veh. 631)</t>
  </si>
  <si>
    <t>R_TiempoLleg (veh. 631)</t>
  </si>
  <si>
    <t>R_Tipo (veh. 632)</t>
  </si>
  <si>
    <t>R_Volumen (veh. 632)</t>
  </si>
  <si>
    <t>R_Servicio (veh. 632)</t>
  </si>
  <si>
    <t>R_CostoOp (veh. 632)</t>
  </si>
  <si>
    <t>R_TiempoLleg (veh. 632)</t>
  </si>
  <si>
    <t>R_Tipo (veh. 633)</t>
  </si>
  <si>
    <t>R_Volumen (veh. 633)</t>
  </si>
  <si>
    <t>R_Servicio (veh. 633)</t>
  </si>
  <si>
    <t>R_CostoOp (veh. 633)</t>
  </si>
  <si>
    <t>R_TiempoLleg (veh. 633)</t>
  </si>
  <si>
    <t>R_Tipo (veh. 634)</t>
  </si>
  <si>
    <t>R_Volumen (veh. 634)</t>
  </si>
  <si>
    <t>R_Servicio (veh. 634)</t>
  </si>
  <si>
    <t>R_CostoOp (veh. 634)</t>
  </si>
  <si>
    <t>R_TiempoLleg (veh. 634)</t>
  </si>
  <si>
    <t>R_Tipo (veh. 635)</t>
  </si>
  <si>
    <t>R_Volumen (veh. 635)</t>
  </si>
  <si>
    <t>R_Servicio (veh. 635)</t>
  </si>
  <si>
    <t>R_CostoOp (veh. 635)</t>
  </si>
  <si>
    <t>R_TiempoLleg (veh. 635)</t>
  </si>
  <si>
    <t>R_Tipo (veh. 636)</t>
  </si>
  <si>
    <t>R_Volumen (veh. 636)</t>
  </si>
  <si>
    <t>R_Servicio (veh. 636)</t>
  </si>
  <si>
    <t>R_CostoOp (veh. 636)</t>
  </si>
  <si>
    <t>R_TiempoLleg (veh. 636)</t>
  </si>
  <si>
    <t>R_Tipo (veh. 637)</t>
  </si>
  <si>
    <t>R_Volumen (veh. 637)</t>
  </si>
  <si>
    <t>R_Servicio (veh. 637)</t>
  </si>
  <si>
    <t>R_CostoOp (veh. 637)</t>
  </si>
  <si>
    <t>R_TiempoLleg (veh. 637)</t>
  </si>
  <si>
    <t>R_Tipo (veh. 638)</t>
  </si>
  <si>
    <t>R_Volumen (veh. 638)</t>
  </si>
  <si>
    <t>R_Servicio (veh. 638)</t>
  </si>
  <si>
    <t>R_CostoOp (veh. 638)</t>
  </si>
  <si>
    <t>R_TiempoLleg (veh. 638)</t>
  </si>
  <si>
    <t>R_Tipo (veh. 639)</t>
  </si>
  <si>
    <t>R_Volumen (veh. 639)</t>
  </si>
  <si>
    <t>R_Servicio (veh. 639)</t>
  </si>
  <si>
    <t>R_CostoOp (veh. 639)</t>
  </si>
  <si>
    <t>R_TiempoLleg (veh. 639)</t>
  </si>
  <si>
    <t>R_Tipo (veh. 640)</t>
  </si>
  <si>
    <t>R_Volumen (veh. 640)</t>
  </si>
  <si>
    <t>R_Servicio (veh. 640)</t>
  </si>
  <si>
    <t>R_CostoOp (veh. 640)</t>
  </si>
  <si>
    <t>R_TiempoLleg (veh. 640)</t>
  </si>
  <si>
    <t>R_Tipo (veh. 641)</t>
  </si>
  <si>
    <t>R_Volumen (veh. 641)</t>
  </si>
  <si>
    <t>R_Servicio (veh. 641)</t>
  </si>
  <si>
    <t>R_CostoOp (veh. 641)</t>
  </si>
  <si>
    <t>R_TiempoLleg (veh. 641)</t>
  </si>
  <si>
    <t>R_Tipo (veh. 642)</t>
  </si>
  <si>
    <t>R_Volumen (veh. 642)</t>
  </si>
  <si>
    <t>R_Servicio (veh. 642)</t>
  </si>
  <si>
    <t>R_CostoOp (veh. 642)</t>
  </si>
  <si>
    <t>R_TiempoLleg (veh. 642)</t>
  </si>
  <si>
    <t>R_Tipo (veh. 643)</t>
  </si>
  <si>
    <t>R_Volumen (veh. 643)</t>
  </si>
  <si>
    <t>R_Servicio (veh. 643)</t>
  </si>
  <si>
    <t>R_CostoOp (veh. 643)</t>
  </si>
  <si>
    <t>R_TiempoLleg (veh. 643)</t>
  </si>
  <si>
    <t>R_Tipo (veh. 644)</t>
  </si>
  <si>
    <t>R_Volumen (veh. 644)</t>
  </si>
  <si>
    <t>R_Servicio (veh. 644)</t>
  </si>
  <si>
    <t>R_CostoOp (veh. 644)</t>
  </si>
  <si>
    <t>R_TiempoLleg (veh. 644)</t>
  </si>
  <si>
    <t>R_Tipo (veh. 645)</t>
  </si>
  <si>
    <t>R_Volumen (veh. 645)</t>
  </si>
  <si>
    <t>R_Servicio (veh. 645)</t>
  </si>
  <si>
    <t>R_CostoOp (veh. 645)</t>
  </si>
  <si>
    <t>R_TiempoLleg (veh. 645)</t>
  </si>
  <si>
    <t>R_Tipo (veh. 646)</t>
  </si>
  <si>
    <t>R_Volumen (veh. 646)</t>
  </si>
  <si>
    <t>R_Servicio (veh. 646)</t>
  </si>
  <si>
    <t>R_CostoOp (veh. 646)</t>
  </si>
  <si>
    <t>R_TiempoLleg (veh. 646)</t>
  </si>
  <si>
    <t>R_Tipo (veh. 647)</t>
  </si>
  <si>
    <t>R_Volumen (veh. 647)</t>
  </si>
  <si>
    <t>R_Servicio (veh. 647)</t>
  </si>
  <si>
    <t>R_CostoOp (veh. 647)</t>
  </si>
  <si>
    <t>R_TiempoLleg (veh. 647)</t>
  </si>
  <si>
    <t>R_Tipo (veh. 648)</t>
  </si>
  <si>
    <t>R_Volumen (veh. 648)</t>
  </si>
  <si>
    <t>R_Servicio (veh. 648)</t>
  </si>
  <si>
    <t>R_CostoOp (veh. 648)</t>
  </si>
  <si>
    <t>R_TiempoLleg (veh. 648)</t>
  </si>
  <si>
    <t>R_Tipo (veh. 649)</t>
  </si>
  <si>
    <t>R_Volumen (veh. 649)</t>
  </si>
  <si>
    <t>R_Servicio (veh. 649)</t>
  </si>
  <si>
    <t>R_CostoOp (veh. 649)</t>
  </si>
  <si>
    <t>R_TiempoLleg (veh. 649)</t>
  </si>
  <si>
    <t>R_Tipo (veh. 650)</t>
  </si>
  <si>
    <t>R_Volumen (veh. 650)</t>
  </si>
  <si>
    <t>R_Servicio (veh. 650)</t>
  </si>
  <si>
    <t>R_CostoOp (veh. 650)</t>
  </si>
  <si>
    <t>R_TiempoLleg (veh. 650)</t>
  </si>
  <si>
    <t>R_Tipo (veh. 651)</t>
  </si>
  <si>
    <t>R_Volumen (veh. 651)</t>
  </si>
  <si>
    <t>R_Servicio (veh. 651)</t>
  </si>
  <si>
    <t>R_CostoOp (veh. 651)</t>
  </si>
  <si>
    <t>R_TiempoLleg (veh. 651)</t>
  </si>
  <si>
    <t>R_Tipo (veh. 652)</t>
  </si>
  <si>
    <t>R_Volumen (veh. 652)</t>
  </si>
  <si>
    <t>R_Servicio (veh. 652)</t>
  </si>
  <si>
    <t>R_CostoOp (veh. 652)</t>
  </si>
  <si>
    <t>R_TiempoLleg (veh. 652)</t>
  </si>
  <si>
    <t>R_Tipo (veh. 653)</t>
  </si>
  <si>
    <t>R_Volumen (veh. 653)</t>
  </si>
  <si>
    <t>R_Servicio (veh. 653)</t>
  </si>
  <si>
    <t>R_CostoOp (veh. 653)</t>
  </si>
  <si>
    <t>R_TiempoLleg (veh. 653)</t>
  </si>
  <si>
    <t>R_Tipo (veh. 654)</t>
  </si>
  <si>
    <t>R_Volumen (veh. 654)</t>
  </si>
  <si>
    <t>R_Servicio (veh. 654)</t>
  </si>
  <si>
    <t>R_CostoOp (veh. 654)</t>
  </si>
  <si>
    <t>R_TiempoLleg (veh. 654)</t>
  </si>
  <si>
    <t>R_Tipo (veh. 655)</t>
  </si>
  <si>
    <t>R_Volumen (veh. 655)</t>
  </si>
  <si>
    <t>R_Servicio (veh. 655)</t>
  </si>
  <si>
    <t>R_CostoOp (veh. 655)</t>
  </si>
  <si>
    <t>R_TiempoLleg (veh. 655)</t>
  </si>
  <si>
    <t>R_Tipo (veh. 656)</t>
  </si>
  <si>
    <t>R_Volumen (veh. 656)</t>
  </si>
  <si>
    <t>R_Servicio (veh. 656)</t>
  </si>
  <si>
    <t>R_CostoOp (veh. 656)</t>
  </si>
  <si>
    <t>R_TiempoLleg (veh. 656)</t>
  </si>
  <si>
    <t>R_Tipo (veh. 657)</t>
  </si>
  <si>
    <t>R_Volumen (veh. 657)</t>
  </si>
  <si>
    <t>R_Servicio (veh. 657)</t>
  </si>
  <si>
    <t>R_CostoOp (veh. 657)</t>
  </si>
  <si>
    <t>R_TiempoLleg (veh. 657)</t>
  </si>
  <si>
    <t>R_Tipo (veh. 658)</t>
  </si>
  <si>
    <t>R_Volumen (veh. 658)</t>
  </si>
  <si>
    <t>R_Servicio (veh. 658)</t>
  </si>
  <si>
    <t>R_CostoOp (veh. 658)</t>
  </si>
  <si>
    <t>R_TiempoLleg (veh. 658)</t>
  </si>
  <si>
    <t>R_Tipo (veh. 659)</t>
  </si>
  <si>
    <t>R_Volumen (veh. 659)</t>
  </si>
  <si>
    <t>R_Servicio (veh. 659)</t>
  </si>
  <si>
    <t>R_CostoOp (veh. 659)</t>
  </si>
  <si>
    <t>R_TiempoLleg (veh. 659)</t>
  </si>
  <si>
    <t>R_Tipo (veh. 660)</t>
  </si>
  <si>
    <t>R_Volumen (veh. 660)</t>
  </si>
  <si>
    <t>R_Servicio (veh. 660)</t>
  </si>
  <si>
    <t>R_CostoOp (veh. 660)</t>
  </si>
  <si>
    <t>R_TiempoLleg (veh. 660)</t>
  </si>
  <si>
    <t>R_Tipo (veh. 661)</t>
  </si>
  <si>
    <t>R_Volumen (veh. 661)</t>
  </si>
  <si>
    <t>R_Servicio (veh. 661)</t>
  </si>
  <si>
    <t>R_CostoOp (veh. 661)</t>
  </si>
  <si>
    <t>R_TiempoLleg (veh. 661)</t>
  </si>
  <si>
    <t>R_Tipo (veh. 662)</t>
  </si>
  <si>
    <t>R_Volumen (veh. 662)</t>
  </si>
  <si>
    <t>R_Servicio (veh. 662)</t>
  </si>
  <si>
    <t>R_CostoOp (veh. 662)</t>
  </si>
  <si>
    <t>R_TiempoLleg (veh. 662)</t>
  </si>
  <si>
    <t>R_Tipo (veh. 663)</t>
  </si>
  <si>
    <t>R_Volumen (veh. 663)</t>
  </si>
  <si>
    <t>R_Servicio (veh. 663)</t>
  </si>
  <si>
    <t>R_CostoOp (veh. 663)</t>
  </si>
  <si>
    <t>R_TiempoLleg (veh. 663)</t>
  </si>
  <si>
    <t>R_Tipo (veh. 664)</t>
  </si>
  <si>
    <t>R_Volumen (veh. 664)</t>
  </si>
  <si>
    <t>R_Servicio (veh. 664)</t>
  </si>
  <si>
    <t>R_CostoOp (veh. 664)</t>
  </si>
  <si>
    <t>R_TiempoLleg (veh. 664)</t>
  </si>
  <si>
    <t>R_Tipo (veh. 665)</t>
  </si>
  <si>
    <t>R_Volumen (veh. 665)</t>
  </si>
  <si>
    <t>R_Servicio (veh. 665)</t>
  </si>
  <si>
    <t>R_CostoOp (veh. 665)</t>
  </si>
  <si>
    <t>R_TiempoLleg (veh. 665)</t>
  </si>
  <si>
    <t>R_Tipo (veh. 666)</t>
  </si>
  <si>
    <t>R_Volumen (veh. 666)</t>
  </si>
  <si>
    <t>R_Servicio (veh. 666)</t>
  </si>
  <si>
    <t>R_CostoOp (veh. 666)</t>
  </si>
  <si>
    <t>R_TiempoLleg (veh. 666)</t>
  </si>
  <si>
    <t>R_Tipo (veh. 667)</t>
  </si>
  <si>
    <t>R_Volumen (veh. 667)</t>
  </si>
  <si>
    <t>R_Servicio (veh. 667)</t>
  </si>
  <si>
    <t>R_CostoOp (veh. 667)</t>
  </si>
  <si>
    <t>R_TiempoLleg (veh. 667)</t>
  </si>
  <si>
    <t>R_Tipo (veh. 668)</t>
  </si>
  <si>
    <t>R_Volumen (veh. 668)</t>
  </si>
  <si>
    <t>R_Servicio (veh. 668)</t>
  </si>
  <si>
    <t>R_CostoOp (veh. 668)</t>
  </si>
  <si>
    <t>R_TiempoLleg (veh. 668)</t>
  </si>
  <si>
    <t>R_Tipo (veh. 669)</t>
  </si>
  <si>
    <t>R_Volumen (veh. 669)</t>
  </si>
  <si>
    <t>R_Servicio (veh. 669)</t>
  </si>
  <si>
    <t>R_CostoOp (veh. 669)</t>
  </si>
  <si>
    <t>R_TiempoLleg (veh. 669)</t>
  </si>
  <si>
    <t>R_Tipo (veh. 670)</t>
  </si>
  <si>
    <t>R_Volumen (veh. 670)</t>
  </si>
  <si>
    <t>R_Servicio (veh. 670)</t>
  </si>
  <si>
    <t>R_CostoOp (veh. 670)</t>
  </si>
  <si>
    <t>R_TiempoLleg (veh. 670)</t>
  </si>
  <si>
    <t>R_Tipo (veh. 671)</t>
  </si>
  <si>
    <t>R_Volumen (veh. 671)</t>
  </si>
  <si>
    <t>R_Servicio (veh. 671)</t>
  </si>
  <si>
    <t>R_CostoOp (veh. 671)</t>
  </si>
  <si>
    <t>R_TiempoLleg (veh. 671)</t>
  </si>
  <si>
    <t>R_Tipo (veh. 672)</t>
  </si>
  <si>
    <t>R_Volumen (veh. 672)</t>
  </si>
  <si>
    <t>R_Servicio (veh. 672)</t>
  </si>
  <si>
    <t>R_CostoOp (veh. 672)</t>
  </si>
  <si>
    <t>R_TiempoLleg (veh. 672)</t>
  </si>
  <si>
    <t>R_Tipo (veh. 673)</t>
  </si>
  <si>
    <t>R_Volumen (veh. 673)</t>
  </si>
  <si>
    <t>R_Servicio (veh. 673)</t>
  </si>
  <si>
    <t>R_CostoOp (veh. 673)</t>
  </si>
  <si>
    <t>R_TiempoLleg (veh. 673)</t>
  </si>
  <si>
    <t>R_Tipo (veh. 674)</t>
  </si>
  <si>
    <t>R_Volumen (veh. 674)</t>
  </si>
  <si>
    <t>R_Servicio (veh. 674)</t>
  </si>
  <si>
    <t>R_CostoOp (veh. 674)</t>
  </si>
  <si>
    <t>R_TiempoLleg (veh. 674)</t>
  </si>
  <si>
    <t>R_Tipo (veh. 675)</t>
  </si>
  <si>
    <t>R_Volumen (veh. 675)</t>
  </si>
  <si>
    <t>R_Servicio (veh. 675)</t>
  </si>
  <si>
    <t>R_CostoOp (veh. 675)</t>
  </si>
  <si>
    <t>R_TiempoLleg (veh. 675)</t>
  </si>
  <si>
    <t>R_Tipo (veh. 676)</t>
  </si>
  <si>
    <t>R_Volumen (veh. 676)</t>
  </si>
  <si>
    <t>R_Servicio (veh. 676)</t>
  </si>
  <si>
    <t>R_CostoOp (veh. 676)</t>
  </si>
  <si>
    <t>R_TiempoLleg (veh. 676)</t>
  </si>
  <si>
    <t>R_Tipo (veh. 677)</t>
  </si>
  <si>
    <t>R_Volumen (veh. 677)</t>
  </si>
  <si>
    <t>R_Servicio (veh. 677)</t>
  </si>
  <si>
    <t>R_CostoOp (veh. 677)</t>
  </si>
  <si>
    <t>R_TiempoLleg (veh. 677)</t>
  </si>
  <si>
    <t>R_Tipo (veh. 678)</t>
  </si>
  <si>
    <t>R_Volumen (veh. 678)</t>
  </si>
  <si>
    <t>R_Servicio (veh. 678)</t>
  </si>
  <si>
    <t>R_CostoOp (veh. 678)</t>
  </si>
  <si>
    <t>R_TiempoLleg (veh. 678)</t>
  </si>
  <si>
    <t>R_Tipo (veh. 679)</t>
  </si>
  <si>
    <t>R_Volumen (veh. 679)</t>
  </si>
  <si>
    <t>R_Servicio (veh. 679)</t>
  </si>
  <si>
    <t>R_CostoOp (veh. 679)</t>
  </si>
  <si>
    <t>R_TiempoLleg (veh. 679)</t>
  </si>
  <si>
    <t>R_Tipo (veh. 680)</t>
  </si>
  <si>
    <t>R_Volumen (veh. 680)</t>
  </si>
  <si>
    <t>R_Servicio (veh. 680)</t>
  </si>
  <si>
    <t>R_CostoOp (veh. 680)</t>
  </si>
  <si>
    <t>R_TiempoLleg (veh. 680)</t>
  </si>
  <si>
    <t>R_Tipo (veh. 681)</t>
  </si>
  <si>
    <t>R_Volumen (veh. 681)</t>
  </si>
  <si>
    <t>R_Servicio (veh. 681)</t>
  </si>
  <si>
    <t>R_CostoOp (veh. 681)</t>
  </si>
  <si>
    <t>R_TiempoLleg (veh. 681)</t>
  </si>
  <si>
    <t>R_Tipo (veh. 682)</t>
  </si>
  <si>
    <t>R_Volumen (veh. 682)</t>
  </si>
  <si>
    <t>R_Servicio (veh. 682)</t>
  </si>
  <si>
    <t>R_CostoOp (veh. 682)</t>
  </si>
  <si>
    <t>R_TiempoLleg (veh. 682)</t>
  </si>
  <si>
    <t>R_Tipo (veh. 683)</t>
  </si>
  <si>
    <t>R_Volumen (veh. 683)</t>
  </si>
  <si>
    <t>R_Servicio (veh. 683)</t>
  </si>
  <si>
    <t>R_CostoOp (veh. 683)</t>
  </si>
  <si>
    <t>R_TiempoLleg (veh. 683)</t>
  </si>
  <si>
    <t>R_Tipo (veh. 684)</t>
  </si>
  <si>
    <t>R_Volumen (veh. 684)</t>
  </si>
  <si>
    <t>R_Servicio (veh. 684)</t>
  </si>
  <si>
    <t>R_CostoOp (veh. 684)</t>
  </si>
  <si>
    <t>R_TiempoLleg (veh. 684)</t>
  </si>
  <si>
    <t>R_Tipo (veh. 685)</t>
  </si>
  <si>
    <t>R_Volumen (veh. 685)</t>
  </si>
  <si>
    <t>R_Servicio (veh. 685)</t>
  </si>
  <si>
    <t>R_CostoOp (veh. 685)</t>
  </si>
  <si>
    <t>R_TiempoLleg (veh. 685)</t>
  </si>
  <si>
    <t>R_Tipo (veh. 686)</t>
  </si>
  <si>
    <t>R_Volumen (veh. 686)</t>
  </si>
  <si>
    <t>R_Servicio (veh. 686)</t>
  </si>
  <si>
    <t>R_CostoOp (veh. 686)</t>
  </si>
  <si>
    <t>R_TiempoLleg (veh. 686)</t>
  </si>
  <si>
    <t>R_Tipo (veh. 687)</t>
  </si>
  <si>
    <t>R_Volumen (veh. 687)</t>
  </si>
  <si>
    <t>R_Servicio (veh. 687)</t>
  </si>
  <si>
    <t>R_CostoOp (veh. 687)</t>
  </si>
  <si>
    <t>R_TiempoLleg (veh. 687)</t>
  </si>
  <si>
    <t>R_Tipo (veh. 688)</t>
  </si>
  <si>
    <t>R_Volumen (veh. 688)</t>
  </si>
  <si>
    <t>R_Servicio (veh. 688)</t>
  </si>
  <si>
    <t>R_CostoOp (veh. 688)</t>
  </si>
  <si>
    <t>R_TiempoLleg (veh. 688)</t>
  </si>
  <si>
    <t>R_Tipo (veh. 689)</t>
  </si>
  <si>
    <t>R_Volumen (veh. 689)</t>
  </si>
  <si>
    <t>R_Servicio (veh. 689)</t>
  </si>
  <si>
    <t>R_CostoOp (veh. 689)</t>
  </si>
  <si>
    <t>R_TiempoLleg (veh. 689)</t>
  </si>
  <si>
    <t>R_Tipo (veh. 690)</t>
  </si>
  <si>
    <t>R_Volumen (veh. 690)</t>
  </si>
  <si>
    <t>R_Servicio (veh. 690)</t>
  </si>
  <si>
    <t>R_CostoOp (veh. 690)</t>
  </si>
  <si>
    <t>R_TiempoLleg (veh. 690)</t>
  </si>
  <si>
    <t>R_Tipo (veh. 691)</t>
  </si>
  <si>
    <t>R_Volumen (veh. 691)</t>
  </si>
  <si>
    <t>R_Servicio (veh. 691)</t>
  </si>
  <si>
    <t>R_CostoOp (veh. 691)</t>
  </si>
  <si>
    <t>R_TiempoLleg (veh. 691)</t>
  </si>
  <si>
    <t>R_Tipo (veh. 692)</t>
  </si>
  <si>
    <t>R_Volumen (veh. 692)</t>
  </si>
  <si>
    <t>R_Servicio (veh. 692)</t>
  </si>
  <si>
    <t>R_CostoOp (veh. 692)</t>
  </si>
  <si>
    <t>R_TiempoLleg (veh. 692)</t>
  </si>
  <si>
    <t>R_Tipo (veh. 693)</t>
  </si>
  <si>
    <t>R_Volumen (veh. 693)</t>
  </si>
  <si>
    <t>R_Servicio (veh. 693)</t>
  </si>
  <si>
    <t>R_CostoOp (veh. 693)</t>
  </si>
  <si>
    <t>R_TiempoLleg (veh. 693)</t>
  </si>
  <si>
    <t>R_Tipo (veh. 694)</t>
  </si>
  <si>
    <t>R_Volumen (veh. 694)</t>
  </si>
  <si>
    <t>R_Servicio (veh. 694)</t>
  </si>
  <si>
    <t>R_CostoOp (veh. 694)</t>
  </si>
  <si>
    <t>R_TiempoLleg (veh. 694)</t>
  </si>
  <si>
    <t>R_Tipo (veh. 695)</t>
  </si>
  <si>
    <t>R_Volumen (veh. 695)</t>
  </si>
  <si>
    <t>R_Servicio (veh. 695)</t>
  </si>
  <si>
    <t>R_CostoOp (veh. 695)</t>
  </si>
  <si>
    <t>R_TiempoLleg (veh. 695)</t>
  </si>
  <si>
    <t>R_Tipo (veh. 696)</t>
  </si>
  <si>
    <t>R_Volumen (veh. 696)</t>
  </si>
  <si>
    <t>R_Servicio (veh. 696)</t>
  </si>
  <si>
    <t>R_CostoOp (veh. 696)</t>
  </si>
  <si>
    <t>R_TiempoLleg (veh. 696)</t>
  </si>
  <si>
    <t>R_Tipo (veh. 697)</t>
  </si>
  <si>
    <t>R_Volumen (veh. 697)</t>
  </si>
  <si>
    <t>R_Servicio (veh. 697)</t>
  </si>
  <si>
    <t>R_CostoOp (veh. 697)</t>
  </si>
  <si>
    <t>R_TiempoLleg (veh. 697)</t>
  </si>
  <si>
    <t>R_Tipo (veh. 698)</t>
  </si>
  <si>
    <t>R_Volumen (veh. 698)</t>
  </si>
  <si>
    <t>R_Servicio (veh. 698)</t>
  </si>
  <si>
    <t>R_CostoOp (veh. 698)</t>
  </si>
  <si>
    <t>R_TiempoLleg (veh. 698)</t>
  </si>
  <si>
    <t>R_Tipo (veh. 699)</t>
  </si>
  <si>
    <t>R_Volumen (veh. 699)</t>
  </si>
  <si>
    <t>R_Servicio (veh. 699)</t>
  </si>
  <si>
    <t>R_CostoOp (veh. 699)</t>
  </si>
  <si>
    <t>R_TiempoLleg (veh. 699)</t>
  </si>
  <si>
    <t>R_Tipo (veh. 700)</t>
  </si>
  <si>
    <t>R_Volumen (veh. 700)</t>
  </si>
  <si>
    <t>R_Servicio (veh. 700)</t>
  </si>
  <si>
    <t>R_CostoOp (veh. 700)</t>
  </si>
  <si>
    <t>R_TiempoLleg (veh. 700)</t>
  </si>
  <si>
    <t>R_Tipo (veh. 701)</t>
  </si>
  <si>
    <t>R_Volumen (veh. 701)</t>
  </si>
  <si>
    <t>R_Servicio (veh. 701)</t>
  </si>
  <si>
    <t>R_CostoOp (veh. 701)</t>
  </si>
  <si>
    <t>R_TiempoLleg (veh. 701)</t>
  </si>
  <si>
    <t>R_Tipo (veh. 702)</t>
  </si>
  <si>
    <t>R_Volumen (veh. 702)</t>
  </si>
  <si>
    <t>R_Servicio (veh. 702)</t>
  </si>
  <si>
    <t>R_CostoOp (veh. 702)</t>
  </si>
  <si>
    <t>R_TiempoLleg (veh. 702)</t>
  </si>
  <si>
    <t>R_Tipo (veh. 703)</t>
  </si>
  <si>
    <t>R_Volumen (veh. 703)</t>
  </si>
  <si>
    <t>R_Servicio (veh. 703)</t>
  </si>
  <si>
    <t>R_CostoOp (veh. 703)</t>
  </si>
  <si>
    <t>R_TiempoLleg (veh. 703)</t>
  </si>
  <si>
    <t>R_Tipo (veh. 704)</t>
  </si>
  <si>
    <t>R_Volumen (veh. 704)</t>
  </si>
  <si>
    <t>R_Servicio (veh. 704)</t>
  </si>
  <si>
    <t>R_CostoOp (veh. 704)</t>
  </si>
  <si>
    <t>R_TiempoLleg (veh. 704)</t>
  </si>
  <si>
    <t>R_Tipo (veh. 705)</t>
  </si>
  <si>
    <t>R_Volumen (veh. 705)</t>
  </si>
  <si>
    <t>R_Servicio (veh. 705)</t>
  </si>
  <si>
    <t>R_CostoOp (veh. 705)</t>
  </si>
  <si>
    <t>R_TiempoLleg (veh. 705)</t>
  </si>
  <si>
    <t>R_Tipo (veh. 706)</t>
  </si>
  <si>
    <t>R_Volumen (veh. 706)</t>
  </si>
  <si>
    <t>R_Servicio (veh. 706)</t>
  </si>
  <si>
    <t>R_CostoOp (veh. 706)</t>
  </si>
  <si>
    <t>R_TiempoLleg (veh. 706)</t>
  </si>
  <si>
    <t>R_Tipo (veh. 707)</t>
  </si>
  <si>
    <t>R_Volumen (veh. 707)</t>
  </si>
  <si>
    <t>R_Servicio (veh. 707)</t>
  </si>
  <si>
    <t>R_CostoOp (veh. 707)</t>
  </si>
  <si>
    <t>R_TiempoLleg (veh. 707)</t>
  </si>
  <si>
    <t>R_Tipo (veh. 708)</t>
  </si>
  <si>
    <t>R_Volumen (veh. 708)</t>
  </si>
  <si>
    <t>R_Servicio (veh. 708)</t>
  </si>
  <si>
    <t>R_CostoOp (veh. 708)</t>
  </si>
  <si>
    <t>R_TiempoLleg (veh. 708)</t>
  </si>
  <si>
    <t>R_Tipo (veh. 709)</t>
  </si>
  <si>
    <t>R_Volumen (veh. 709)</t>
  </si>
  <si>
    <t>R_Servicio (veh. 709)</t>
  </si>
  <si>
    <t>R_CostoOp (veh. 709)</t>
  </si>
  <si>
    <t>R_TiempoLleg (veh. 709)</t>
  </si>
  <si>
    <t>R_Tipo (veh. 710)</t>
  </si>
  <si>
    <t>R_Volumen (veh. 710)</t>
  </si>
  <si>
    <t>R_Servicio (veh. 710)</t>
  </si>
  <si>
    <t>R_CostoOp (veh. 710)</t>
  </si>
  <si>
    <t>R_TiempoLleg (veh. 710)</t>
  </si>
  <si>
    <t>R_Tipo (veh. 711)</t>
  </si>
  <si>
    <t>R_Volumen (veh. 711)</t>
  </si>
  <si>
    <t>R_Servicio (veh. 711)</t>
  </si>
  <si>
    <t>R_CostoOp (veh. 711)</t>
  </si>
  <si>
    <t>R_TiempoLleg (veh. 711)</t>
  </si>
  <si>
    <t>R_Tipo (veh. 712)</t>
  </si>
  <si>
    <t>R_Volumen (veh. 712)</t>
  </si>
  <si>
    <t>R_Servicio (veh. 712)</t>
  </si>
  <si>
    <t>R_CostoOp (veh. 712)</t>
  </si>
  <si>
    <t>R_TiempoLleg (veh. 712)</t>
  </si>
  <si>
    <t>R_Tipo (veh. 713)</t>
  </si>
  <si>
    <t>R_Volumen (veh. 713)</t>
  </si>
  <si>
    <t>R_Servicio (veh. 713)</t>
  </si>
  <si>
    <t>R_CostoOp (veh. 713)</t>
  </si>
  <si>
    <t>R_TiempoLleg (veh. 713)</t>
  </si>
  <si>
    <t>R_Tipo (veh. 714)</t>
  </si>
  <si>
    <t>R_Volumen (veh. 714)</t>
  </si>
  <si>
    <t>R_Servicio (veh. 714)</t>
  </si>
  <si>
    <t>R_CostoOp (veh. 714)</t>
  </si>
  <si>
    <t>R_TiempoLleg (veh. 714)</t>
  </si>
  <si>
    <t>R_Tipo (veh. 715)</t>
  </si>
  <si>
    <t>R_Volumen (veh. 715)</t>
  </si>
  <si>
    <t>R_Servicio (veh. 715)</t>
  </si>
  <si>
    <t>R_CostoOp (veh. 715)</t>
  </si>
  <si>
    <t>R_TiempoLleg (veh. 715)</t>
  </si>
  <si>
    <t>R_Tipo (veh. 716)</t>
  </si>
  <si>
    <t>R_Volumen (veh. 716)</t>
  </si>
  <si>
    <t>R_Servicio (veh. 716)</t>
  </si>
  <si>
    <t>R_CostoOp (veh. 716)</t>
  </si>
  <si>
    <t>R_TiempoLleg (veh. 716)</t>
  </si>
  <si>
    <t>R_Tipo (veh. 717)</t>
  </si>
  <si>
    <t>R_Volumen (veh. 717)</t>
  </si>
  <si>
    <t>R_Servicio (veh. 717)</t>
  </si>
  <si>
    <t>R_CostoOp (veh. 717)</t>
  </si>
  <si>
    <t>R_TiempoLleg (veh. 717)</t>
  </si>
  <si>
    <t>R_Tipo (veh. 718)</t>
  </si>
  <si>
    <t>R_Volumen (veh. 718)</t>
  </si>
  <si>
    <t>R_Servicio (veh. 718)</t>
  </si>
  <si>
    <t>R_CostoOp (veh. 718)</t>
  </si>
  <si>
    <t>R_TiempoLleg (veh. 718)</t>
  </si>
  <si>
    <t>R_Tipo (veh. 719)</t>
  </si>
  <si>
    <t>R_Volumen (veh. 719)</t>
  </si>
  <si>
    <t>R_Servicio (veh. 719)</t>
  </si>
  <si>
    <t>R_CostoOp (veh. 719)</t>
  </si>
  <si>
    <t>R_TiempoLleg (veh. 719)</t>
  </si>
  <si>
    <t>R_Tipo (veh. 720)</t>
  </si>
  <si>
    <t>R_Volumen (veh. 720)</t>
  </si>
  <si>
    <t>R_Servicio (veh. 720)</t>
  </si>
  <si>
    <t>R_CostoOp (veh. 720)</t>
  </si>
  <si>
    <t>R_TiempoLleg (veh. 720)</t>
  </si>
  <si>
    <t>R_Tipo (veh. 721)</t>
  </si>
  <si>
    <t>R_Volumen (veh. 721)</t>
  </si>
  <si>
    <t>R_Servicio (veh. 721)</t>
  </si>
  <si>
    <t>R_CostoOp (veh. 721)</t>
  </si>
  <si>
    <t>R_TiempoLleg (veh. 721)</t>
  </si>
  <si>
    <t>R_Tipo (veh. 722)</t>
  </si>
  <si>
    <t>R_Volumen (veh. 722)</t>
  </si>
  <si>
    <t>R_Servicio (veh. 722)</t>
  </si>
  <si>
    <t>R_CostoOp (veh. 722)</t>
  </si>
  <si>
    <t>R_TiempoLleg (veh. 722)</t>
  </si>
  <si>
    <t>R_Tipo (veh. 723)</t>
  </si>
  <si>
    <t>R_Volumen (veh. 723)</t>
  </si>
  <si>
    <t>R_Servicio (veh. 723)</t>
  </si>
  <si>
    <t>R_CostoOp (veh. 723)</t>
  </si>
  <si>
    <t>R_TiempoLleg (veh. 723)</t>
  </si>
  <si>
    <t>R_Tipo (veh. 724)</t>
  </si>
  <si>
    <t>R_Volumen (veh. 724)</t>
  </si>
  <si>
    <t>R_Servicio (veh. 724)</t>
  </si>
  <si>
    <t>R_CostoOp (veh. 724)</t>
  </si>
  <si>
    <t>R_TiempoLleg (veh. 724)</t>
  </si>
  <si>
    <t>R_Tipo (veh. 725)</t>
  </si>
  <si>
    <t>R_Volumen (veh. 725)</t>
  </si>
  <si>
    <t>R_Servicio (veh. 725)</t>
  </si>
  <si>
    <t>R_CostoOp (veh. 725)</t>
  </si>
  <si>
    <t>R_TiempoLleg (veh. 725)</t>
  </si>
  <si>
    <t>R_Tipo (veh. 726)</t>
  </si>
  <si>
    <t>R_Volumen (veh. 726)</t>
  </si>
  <si>
    <t>R_Servicio (veh. 726)</t>
  </si>
  <si>
    <t>R_CostoOp (veh. 726)</t>
  </si>
  <si>
    <t>R_TiempoLleg (veh. 726)</t>
  </si>
  <si>
    <t>R_Tipo (veh. 727)</t>
  </si>
  <si>
    <t>R_Volumen (veh. 727)</t>
  </si>
  <si>
    <t>R_Servicio (veh. 727)</t>
  </si>
  <si>
    <t>R_CostoOp (veh. 727)</t>
  </si>
  <si>
    <t>R_TiempoLleg (veh. 727)</t>
  </si>
  <si>
    <t>R_Tipo (veh. 728)</t>
  </si>
  <si>
    <t>R_Volumen (veh. 728)</t>
  </si>
  <si>
    <t>R_Servicio (veh. 728)</t>
  </si>
  <si>
    <t>R_CostoOp (veh. 728)</t>
  </si>
  <si>
    <t>R_TiempoLleg (veh. 728)</t>
  </si>
  <si>
    <t>R_Tipo (veh. 729)</t>
  </si>
  <si>
    <t>R_Volumen (veh. 729)</t>
  </si>
  <si>
    <t>R_Servicio (veh. 729)</t>
  </si>
  <si>
    <t>R_CostoOp (veh. 729)</t>
  </si>
  <si>
    <t>R_TiempoLleg (veh. 729)</t>
  </si>
  <si>
    <t>R_Tipo (veh. 730)</t>
  </si>
  <si>
    <t>R_Volumen (veh. 730)</t>
  </si>
  <si>
    <t>R_Servicio (veh. 730)</t>
  </si>
  <si>
    <t>R_CostoOp (veh. 730)</t>
  </si>
  <si>
    <t>R_TiempoLleg (veh. 730)</t>
  </si>
  <si>
    <t>R_Tipo (veh. 731)</t>
  </si>
  <si>
    <t>R_Volumen (veh. 731)</t>
  </si>
  <si>
    <t>R_Servicio (veh. 731)</t>
  </si>
  <si>
    <t>R_CostoOp (veh. 731)</t>
  </si>
  <si>
    <t>R_TiempoLleg (veh. 731)</t>
  </si>
  <si>
    <t>R_Tipo (veh. 732)</t>
  </si>
  <si>
    <t>R_Volumen (veh. 732)</t>
  </si>
  <si>
    <t>R_Servicio (veh. 732)</t>
  </si>
  <si>
    <t>R_CostoOp (veh. 732)</t>
  </si>
  <si>
    <t>R_TiempoLleg (veh. 732)</t>
  </si>
  <si>
    <t>R_Tipo (veh. 733)</t>
  </si>
  <si>
    <t>R_Volumen (veh. 733)</t>
  </si>
  <si>
    <t>R_Servicio (veh. 733)</t>
  </si>
  <si>
    <t>R_CostoOp (veh. 733)</t>
  </si>
  <si>
    <t>R_TiempoLleg (veh. 733)</t>
  </si>
  <si>
    <t>R_Tipo (veh. 734)</t>
  </si>
  <si>
    <t>R_Volumen (veh. 734)</t>
  </si>
  <si>
    <t>R_Servicio (veh. 734)</t>
  </si>
  <si>
    <t>R_CostoOp (veh. 734)</t>
  </si>
  <si>
    <t>R_TiempoLleg (veh. 734)</t>
  </si>
  <si>
    <t>R_Tipo (veh. 735)</t>
  </si>
  <si>
    <t>R_Volumen (veh. 735)</t>
  </si>
  <si>
    <t>R_Servicio (veh. 735)</t>
  </si>
  <si>
    <t>R_CostoOp (veh. 735)</t>
  </si>
  <si>
    <t>R_TiempoLleg (veh. 735)</t>
  </si>
  <si>
    <t>R_Tipo (veh. 736)</t>
  </si>
  <si>
    <t>R_Volumen (veh. 736)</t>
  </si>
  <si>
    <t>R_Servicio (veh. 736)</t>
  </si>
  <si>
    <t>R_CostoOp (veh. 736)</t>
  </si>
  <si>
    <t>R_TiempoLleg (veh. 736)</t>
  </si>
  <si>
    <t>R_Tipo (veh. 737)</t>
  </si>
  <si>
    <t>R_Volumen (veh. 737)</t>
  </si>
  <si>
    <t>R_Servicio (veh. 737)</t>
  </si>
  <si>
    <t>R_CostoOp (veh. 737)</t>
  </si>
  <si>
    <t>R_TiempoLleg (veh. 737)</t>
  </si>
  <si>
    <t>R_Tipo (veh. 738)</t>
  </si>
  <si>
    <t>R_Volumen (veh. 738)</t>
  </si>
  <si>
    <t>R_Servicio (veh. 738)</t>
  </si>
  <si>
    <t>R_CostoOp (veh. 738)</t>
  </si>
  <si>
    <t>R_TiempoLleg (veh. 738)</t>
  </si>
  <si>
    <t>R_Tipo (veh. 739)</t>
  </si>
  <si>
    <t>R_Volumen (veh. 739)</t>
  </si>
  <si>
    <t>R_Servicio (veh. 739)</t>
  </si>
  <si>
    <t>R_CostoOp (veh. 739)</t>
  </si>
  <si>
    <t>R_TiempoLleg (veh. 739)</t>
  </si>
  <si>
    <t>R_Tipo (veh. 740)</t>
  </si>
  <si>
    <t>R_Volumen (veh. 740)</t>
  </si>
  <si>
    <t>R_Servicio (veh. 740)</t>
  </si>
  <si>
    <t>R_CostoOp (veh. 740)</t>
  </si>
  <si>
    <t>R_TiempoLleg (veh. 740)</t>
  </si>
  <si>
    <t>R_Tipo (veh. 741)</t>
  </si>
  <si>
    <t>R_Volumen (veh. 741)</t>
  </si>
  <si>
    <t>R_Servicio (veh. 741)</t>
  </si>
  <si>
    <t>R_CostoOp (veh. 741)</t>
  </si>
  <si>
    <t>R_TiempoLleg (veh. 741)</t>
  </si>
  <si>
    <t>R_Tipo (veh. 742)</t>
  </si>
  <si>
    <t>R_Volumen (veh. 742)</t>
  </si>
  <si>
    <t>R_Servicio (veh. 742)</t>
  </si>
  <si>
    <t>R_CostoOp (veh. 742)</t>
  </si>
  <si>
    <t>R_TiempoLleg (veh. 742)</t>
  </si>
  <si>
    <t>R_Tipo (veh. 743)</t>
  </si>
  <si>
    <t>R_Volumen (veh. 743)</t>
  </si>
  <si>
    <t>R_Servicio (veh. 743)</t>
  </si>
  <si>
    <t>R_CostoOp (veh. 743)</t>
  </si>
  <si>
    <t>R_TiempoLleg (veh. 743)</t>
  </si>
  <si>
    <t>R_Tipo (veh. 744)</t>
  </si>
  <si>
    <t>R_Volumen (veh. 744)</t>
  </si>
  <si>
    <t>R_Servicio (veh. 744)</t>
  </si>
  <si>
    <t>R_CostoOp (veh. 744)</t>
  </si>
  <si>
    <t>R_TiempoLleg (veh. 744)</t>
  </si>
  <si>
    <t>R_Tipo (veh. 745)</t>
  </si>
  <si>
    <t>R_Volumen (veh. 745)</t>
  </si>
  <si>
    <t>R_Servicio (veh. 745)</t>
  </si>
  <si>
    <t>R_CostoOp (veh. 745)</t>
  </si>
  <si>
    <t>R_TiempoLleg (veh. 745)</t>
  </si>
  <si>
    <t>R_Tipo (veh. 746)</t>
  </si>
  <si>
    <t>R_Volumen (veh. 746)</t>
  </si>
  <si>
    <t>R_Servicio (veh. 746)</t>
  </si>
  <si>
    <t>R_CostoOp (veh. 746)</t>
  </si>
  <si>
    <t>R_TiempoLleg (veh. 746)</t>
  </si>
  <si>
    <t>R_Tipo (veh. 747)</t>
  </si>
  <si>
    <t>R_Volumen (veh. 747)</t>
  </si>
  <si>
    <t>R_Servicio (veh. 747)</t>
  </si>
  <si>
    <t>R_CostoOp (veh. 747)</t>
  </si>
  <si>
    <t>R_TiempoLleg (veh. 747)</t>
  </si>
  <si>
    <t>R_Tipo (veh. 748)</t>
  </si>
  <si>
    <t>R_Volumen (veh. 748)</t>
  </si>
  <si>
    <t>R_Servicio (veh. 748)</t>
  </si>
  <si>
    <t>R_CostoOp (veh. 748)</t>
  </si>
  <si>
    <t>R_TiempoLleg (veh. 748)</t>
  </si>
  <si>
    <t>R_Tipo (veh. 749)</t>
  </si>
  <si>
    <t>R_Volumen (veh. 749)</t>
  </si>
  <si>
    <t>R_Servicio (veh. 749)</t>
  </si>
  <si>
    <t>R_CostoOp (veh. 749)</t>
  </si>
  <si>
    <t>R_TiempoLleg (veh. 749)</t>
  </si>
  <si>
    <t>R_Tipo (veh. 750)</t>
  </si>
  <si>
    <t>R_Volumen (veh. 750)</t>
  </si>
  <si>
    <t>R_Servicio (veh. 750)</t>
  </si>
  <si>
    <t>R_CostoOp (veh. 750)</t>
  </si>
  <si>
    <t>R_TiempoLleg (veh. 750)</t>
  </si>
  <si>
    <t>R_Tipo (veh. 751)</t>
  </si>
  <si>
    <t>R_Volumen (veh. 751)</t>
  </si>
  <si>
    <t>R_Servicio (veh. 751)</t>
  </si>
  <si>
    <t>R_CostoOp (veh. 751)</t>
  </si>
  <si>
    <t>R_TiempoLleg (veh. 751)</t>
  </si>
  <si>
    <t>R_Tipo (veh. 752)</t>
  </si>
  <si>
    <t>R_Volumen (veh. 752)</t>
  </si>
  <si>
    <t>R_Servicio (veh. 752)</t>
  </si>
  <si>
    <t>R_CostoOp (veh. 752)</t>
  </si>
  <si>
    <t>R_TiempoLleg (veh. 752)</t>
  </si>
  <si>
    <t>R_Tipo (veh. 753)</t>
  </si>
  <si>
    <t>R_Volumen (veh. 753)</t>
  </si>
  <si>
    <t>R_Servicio (veh. 753)</t>
  </si>
  <si>
    <t>R_CostoOp (veh. 753)</t>
  </si>
  <si>
    <t>R_TiempoLleg (veh. 753)</t>
  </si>
  <si>
    <t>R_Tipo (veh. 754)</t>
  </si>
  <si>
    <t>R_Volumen (veh. 754)</t>
  </si>
  <si>
    <t>R_Servicio (veh. 754)</t>
  </si>
  <si>
    <t>R_CostoOp (veh. 754)</t>
  </si>
  <si>
    <t>R_TiempoLleg (veh. 754)</t>
  </si>
  <si>
    <t>R_Tipo (veh. 755)</t>
  </si>
  <si>
    <t>R_Volumen (veh. 755)</t>
  </si>
  <si>
    <t>R_Servicio (veh. 755)</t>
  </si>
  <si>
    <t>R_CostoOp (veh. 755)</t>
  </si>
  <si>
    <t>R_TiempoLleg (veh. 755)</t>
  </si>
  <si>
    <t>R_Tipo (veh. 756)</t>
  </si>
  <si>
    <t>R_Volumen (veh. 756)</t>
  </si>
  <si>
    <t>R_Servicio (veh. 756)</t>
  </si>
  <si>
    <t>R_CostoOp (veh. 756)</t>
  </si>
  <si>
    <t>R_TiempoLleg (veh. 756)</t>
  </si>
  <si>
    <t>R_Tipo (veh. 757)</t>
  </si>
  <si>
    <t>R_Volumen (veh. 757)</t>
  </si>
  <si>
    <t>R_Servicio (veh. 757)</t>
  </si>
  <si>
    <t>R_CostoOp (veh. 757)</t>
  </si>
  <si>
    <t>R_TiempoLleg (veh. 757)</t>
  </si>
  <si>
    <t>R_Tipo (veh. 758)</t>
  </si>
  <si>
    <t>R_Volumen (veh. 758)</t>
  </si>
  <si>
    <t>R_Servicio (veh. 758)</t>
  </si>
  <si>
    <t>R_CostoOp (veh. 758)</t>
  </si>
  <si>
    <t>R_TiempoLleg (veh. 758)</t>
  </si>
  <si>
    <t>R_Tipo (veh. 759)</t>
  </si>
  <si>
    <t>R_Volumen (veh. 759)</t>
  </si>
  <si>
    <t>R_Servicio (veh. 759)</t>
  </si>
  <si>
    <t>R_CostoOp (veh. 759)</t>
  </si>
  <si>
    <t>R_TiempoLleg (veh. 759)</t>
  </si>
  <si>
    <t>R_Tipo (veh. 760)</t>
  </si>
  <si>
    <t>R_Volumen (veh. 760)</t>
  </si>
  <si>
    <t>R_Servicio (veh. 760)</t>
  </si>
  <si>
    <t>R_CostoOp (veh. 760)</t>
  </si>
  <si>
    <t>R_TiempoLleg (veh. 760)</t>
  </si>
  <si>
    <t>R_Tipo (veh. 761)</t>
  </si>
  <si>
    <t>R_Volumen (veh. 761)</t>
  </si>
  <si>
    <t>R_Servicio (veh. 761)</t>
  </si>
  <si>
    <t>R_CostoOp (veh. 761)</t>
  </si>
  <si>
    <t>R_TiempoLleg (veh. 761)</t>
  </si>
  <si>
    <t>R_Tipo (veh. 762)</t>
  </si>
  <si>
    <t>R_Volumen (veh. 762)</t>
  </si>
  <si>
    <t>R_Servicio (veh. 762)</t>
  </si>
  <si>
    <t>R_CostoOp (veh. 762)</t>
  </si>
  <si>
    <t>R_TiempoLleg (veh. 762)</t>
  </si>
  <si>
    <t>R_Tipo (veh. 763)</t>
  </si>
  <si>
    <t>R_Volumen (veh. 763)</t>
  </si>
  <si>
    <t>R_Servicio (veh. 763)</t>
  </si>
  <si>
    <t>R_CostoOp (veh. 763)</t>
  </si>
  <si>
    <t>R_TiempoLleg (veh. 763)</t>
  </si>
  <si>
    <t>R_Tipo (veh. 764)</t>
  </si>
  <si>
    <t>R_Volumen (veh. 764)</t>
  </si>
  <si>
    <t>R_Servicio (veh. 764)</t>
  </si>
  <si>
    <t>R_CostoOp (veh. 764)</t>
  </si>
  <si>
    <t>R_TiempoLleg (veh. 764)</t>
  </si>
  <si>
    <t>R_Tipo (veh. 765)</t>
  </si>
  <si>
    <t>R_Volumen (veh. 765)</t>
  </si>
  <si>
    <t>R_Servicio (veh. 765)</t>
  </si>
  <si>
    <t>R_CostoOp (veh. 765)</t>
  </si>
  <si>
    <t>R_TiempoLleg (veh. 765)</t>
  </si>
  <si>
    <t>R_Tipo (veh. 766)</t>
  </si>
  <si>
    <t>R_Volumen (veh. 766)</t>
  </si>
  <si>
    <t>R_Servicio (veh. 766)</t>
  </si>
  <si>
    <t>R_CostoOp (veh. 766)</t>
  </si>
  <si>
    <t>R_TiempoLleg (veh. 766)</t>
  </si>
  <si>
    <t>R_Tipo (veh. 767)</t>
  </si>
  <si>
    <t>R_Volumen (veh. 767)</t>
  </si>
  <si>
    <t>R_Servicio (veh. 767)</t>
  </si>
  <si>
    <t>R_CostoOp (veh. 767)</t>
  </si>
  <si>
    <t>R_TiempoLleg (veh. 767)</t>
  </si>
  <si>
    <t>R_Tipo (veh. 768)</t>
  </si>
  <si>
    <t>R_Volumen (veh. 768)</t>
  </si>
  <si>
    <t>R_Servicio (veh. 768)</t>
  </si>
  <si>
    <t>R_CostoOp (veh. 768)</t>
  </si>
  <si>
    <t>R_TiempoLleg (veh. 768)</t>
  </si>
  <si>
    <t>R_Tipo (veh. 769)</t>
  </si>
  <si>
    <t>R_Volumen (veh. 769)</t>
  </si>
  <si>
    <t>R_Servicio (veh. 769)</t>
  </si>
  <si>
    <t>R_CostoOp (veh. 769)</t>
  </si>
  <si>
    <t>R_TiempoLleg (veh. 769)</t>
  </si>
  <si>
    <t>R_Tipo (veh. 770)</t>
  </si>
  <si>
    <t>R_Volumen (veh. 770)</t>
  </si>
  <si>
    <t>R_Servicio (veh. 770)</t>
  </si>
  <si>
    <t>R_CostoOp (veh. 770)</t>
  </si>
  <si>
    <t>R_TiempoLleg (veh. 770)</t>
  </si>
  <si>
    <t>R_Tipo (veh. 771)</t>
  </si>
  <si>
    <t>R_Volumen (veh. 771)</t>
  </si>
  <si>
    <t>R_Servicio (veh. 771)</t>
  </si>
  <si>
    <t>R_CostoOp (veh. 771)</t>
  </si>
  <si>
    <t>R_TiempoLleg (veh. 771)</t>
  </si>
  <si>
    <t>R_Tipo (veh. 772)</t>
  </si>
  <si>
    <t>R_Volumen (veh. 772)</t>
  </si>
  <si>
    <t>R_Servicio (veh. 772)</t>
  </si>
  <si>
    <t>R_CostoOp (veh. 772)</t>
  </si>
  <si>
    <t>R_TiempoLleg (veh. 772)</t>
  </si>
  <si>
    <t>R_Tipo (veh. 773)</t>
  </si>
  <si>
    <t>R_Volumen (veh. 773)</t>
  </si>
  <si>
    <t>R_Servicio (veh. 773)</t>
  </si>
  <si>
    <t>R_CostoOp (veh. 773)</t>
  </si>
  <si>
    <t>R_TiempoLleg (veh. 773)</t>
  </si>
  <si>
    <t>R_Tipo (veh. 774)</t>
  </si>
  <si>
    <t>R_Volumen (veh. 774)</t>
  </si>
  <si>
    <t>R_Servicio (veh. 774)</t>
  </si>
  <si>
    <t>R_CostoOp (veh. 774)</t>
  </si>
  <si>
    <t>R_TiempoLleg (veh. 774)</t>
  </si>
  <si>
    <t>R_Tipo (veh. 775)</t>
  </si>
  <si>
    <t>R_Volumen (veh. 775)</t>
  </si>
  <si>
    <t>R_Servicio (veh. 775)</t>
  </si>
  <si>
    <t>R_CostoOp (veh. 775)</t>
  </si>
  <si>
    <t>R_TiempoLleg (veh. 775)</t>
  </si>
  <si>
    <t>R_Tipo (veh. 776)</t>
  </si>
  <si>
    <t>R_Volumen (veh. 776)</t>
  </si>
  <si>
    <t>R_Servicio (veh. 776)</t>
  </si>
  <si>
    <t>R_CostoOp (veh. 776)</t>
  </si>
  <si>
    <t>R_TiempoLleg (veh. 776)</t>
  </si>
  <si>
    <t>R_Tipo (veh. 777)</t>
  </si>
  <si>
    <t>R_Volumen (veh. 777)</t>
  </si>
  <si>
    <t>R_Servicio (veh. 777)</t>
  </si>
  <si>
    <t>R_CostoOp (veh. 777)</t>
  </si>
  <si>
    <t>R_TiempoLleg (veh. 777)</t>
  </si>
  <si>
    <t>R_Tipo (veh. 778)</t>
  </si>
  <si>
    <t>R_Volumen (veh. 778)</t>
  </si>
  <si>
    <t>R_Servicio (veh. 778)</t>
  </si>
  <si>
    <t>R_CostoOp (veh. 778)</t>
  </si>
  <si>
    <t>R_TiempoLleg (veh. 778)</t>
  </si>
  <si>
    <t>R_Tipo (veh. 779)</t>
  </si>
  <si>
    <t>R_Volumen (veh. 779)</t>
  </si>
  <si>
    <t>R_Servicio (veh. 779)</t>
  </si>
  <si>
    <t>R_CostoOp (veh. 779)</t>
  </si>
  <si>
    <t>R_TiempoLleg (veh. 779)</t>
  </si>
  <si>
    <t>R_Tipo (veh. 780)</t>
  </si>
  <si>
    <t>R_Volumen (veh. 780)</t>
  </si>
  <si>
    <t>R_Servicio (veh. 780)</t>
  </si>
  <si>
    <t>R_CostoOp (veh. 780)</t>
  </si>
  <si>
    <t>R_TiempoLleg (veh. 780)</t>
  </si>
  <si>
    <t>R_Tipo (veh. 781)</t>
  </si>
  <si>
    <t>R_Volumen (veh. 781)</t>
  </si>
  <si>
    <t>R_Servicio (veh. 781)</t>
  </si>
  <si>
    <t>R_CostoOp (veh. 781)</t>
  </si>
  <si>
    <t>R_TiempoLleg (veh. 781)</t>
  </si>
  <si>
    <t>R_Tipo (veh. 782)</t>
  </si>
  <si>
    <t>R_Volumen (veh. 782)</t>
  </si>
  <si>
    <t>R_Servicio (veh. 782)</t>
  </si>
  <si>
    <t>R_CostoOp (veh. 782)</t>
  </si>
  <si>
    <t>R_TiempoLleg (veh. 782)</t>
  </si>
  <si>
    <t>R_Tipo (veh. 783)</t>
  </si>
  <si>
    <t>R_Volumen (veh. 783)</t>
  </si>
  <si>
    <t>R_Servicio (veh. 783)</t>
  </si>
  <si>
    <t>R_CostoOp (veh. 783)</t>
  </si>
  <si>
    <t>R_TiempoLleg (veh. 783)</t>
  </si>
  <si>
    <t>R_Tipo (veh. 784)</t>
  </si>
  <si>
    <t>R_Volumen (veh. 784)</t>
  </si>
  <si>
    <t>R_Servicio (veh. 784)</t>
  </si>
  <si>
    <t>R_CostoOp (veh. 784)</t>
  </si>
  <si>
    <t>R_TiempoLleg (veh. 784)</t>
  </si>
  <si>
    <t>R_Tipo (veh. 785)</t>
  </si>
  <si>
    <t>R_Volumen (veh. 785)</t>
  </si>
  <si>
    <t>R_Servicio (veh. 785)</t>
  </si>
  <si>
    <t>R_CostoOp (veh. 785)</t>
  </si>
  <si>
    <t>R_TiempoLleg (veh. 785)</t>
  </si>
  <si>
    <t>R_Tipo (veh. 786)</t>
  </si>
  <si>
    <t>R_Volumen (veh. 786)</t>
  </si>
  <si>
    <t>R_Servicio (veh. 786)</t>
  </si>
  <si>
    <t>R_CostoOp (veh. 786)</t>
  </si>
  <si>
    <t>R_TiempoLleg (veh. 786)</t>
  </si>
  <si>
    <t>R_Tipo (veh. 787)</t>
  </si>
  <si>
    <t>R_Volumen (veh. 787)</t>
  </si>
  <si>
    <t>R_Servicio (veh. 787)</t>
  </si>
  <si>
    <t>R_CostoOp (veh. 787)</t>
  </si>
  <si>
    <t>R_TiempoLleg (veh. 787)</t>
  </si>
  <si>
    <t>R_Tipo (veh. 788)</t>
  </si>
  <si>
    <t>R_Volumen (veh. 788)</t>
  </si>
  <si>
    <t>R_Servicio (veh. 788)</t>
  </si>
  <si>
    <t>R_CostoOp (veh. 788)</t>
  </si>
  <si>
    <t>R_TiempoLleg (veh. 788)</t>
  </si>
  <si>
    <t>R_Tipo (veh. 789)</t>
  </si>
  <si>
    <t>R_Volumen (veh. 789)</t>
  </si>
  <si>
    <t>R_Servicio (veh. 789)</t>
  </si>
  <si>
    <t>R_CostoOp (veh. 789)</t>
  </si>
  <si>
    <t>R_TiempoLleg (veh. 789)</t>
  </si>
  <si>
    <t>R_Tipo (veh. 790)</t>
  </si>
  <si>
    <t>R_Volumen (veh. 790)</t>
  </si>
  <si>
    <t>R_Servicio (veh. 790)</t>
  </si>
  <si>
    <t>R_CostoOp (veh. 790)</t>
  </si>
  <si>
    <t>R_TiempoLleg (veh. 790)</t>
  </si>
  <si>
    <t>R_Tipo (veh. 791)</t>
  </si>
  <si>
    <t>R_Volumen (veh. 791)</t>
  </si>
  <si>
    <t>R_Servicio (veh. 791)</t>
  </si>
  <si>
    <t>R_CostoOp (veh. 791)</t>
  </si>
  <si>
    <t>R_TiempoLleg (veh. 791)</t>
  </si>
  <si>
    <t>R_Tipo (veh. 792)</t>
  </si>
  <si>
    <t>R_Volumen (veh. 792)</t>
  </si>
  <si>
    <t>R_Servicio (veh. 792)</t>
  </si>
  <si>
    <t>R_CostoOp (veh. 792)</t>
  </si>
  <si>
    <t>R_TiempoLleg (veh. 792)</t>
  </si>
  <si>
    <t>R_Tipo (veh. 793)</t>
  </si>
  <si>
    <t>R_Volumen (veh. 793)</t>
  </si>
  <si>
    <t>R_Servicio (veh. 793)</t>
  </si>
  <si>
    <t>R_CostoOp (veh. 793)</t>
  </si>
  <si>
    <t>R_TiempoLleg (veh. 793)</t>
  </si>
  <si>
    <t>R_Tipo (veh. 794)</t>
  </si>
  <si>
    <t>R_Volumen (veh. 794)</t>
  </si>
  <si>
    <t>R_Servicio (veh. 794)</t>
  </si>
  <si>
    <t>R_CostoOp (veh. 794)</t>
  </si>
  <si>
    <t>R_TiempoLleg (veh. 794)</t>
  </si>
  <si>
    <t>R_Tipo (veh. 795)</t>
  </si>
  <si>
    <t>R_Volumen (veh. 795)</t>
  </si>
  <si>
    <t>R_Servicio (veh. 795)</t>
  </si>
  <si>
    <t>R_CostoOp (veh. 795)</t>
  </si>
  <si>
    <t>R_TiempoLleg (veh. 795)</t>
  </si>
  <si>
    <t>R_Tipo (veh. 796)</t>
  </si>
  <si>
    <t>R_Volumen (veh. 796)</t>
  </si>
  <si>
    <t>R_Servicio (veh. 796)</t>
  </si>
  <si>
    <t>R_CostoOp (veh. 796)</t>
  </si>
  <si>
    <t>R_TiempoLleg (veh. 796)</t>
  </si>
  <si>
    <t>R_Tipo (veh. 797)</t>
  </si>
  <si>
    <t>R_Volumen (veh. 797)</t>
  </si>
  <si>
    <t>R_Servicio (veh. 797)</t>
  </si>
  <si>
    <t>R_CostoOp (veh. 797)</t>
  </si>
  <si>
    <t>R_TiempoLleg (veh. 797)</t>
  </si>
  <si>
    <t>R_Tipo (veh. 798)</t>
  </si>
  <si>
    <t>R_Volumen (veh. 798)</t>
  </si>
  <si>
    <t>R_Servicio (veh. 798)</t>
  </si>
  <si>
    <t>R_CostoOp (veh. 798)</t>
  </si>
  <si>
    <t>R_TiempoLleg (veh. 798)</t>
  </si>
  <si>
    <t>R_Tipo (veh. 799)</t>
  </si>
  <si>
    <t>R_Volumen (veh. 799)</t>
  </si>
  <si>
    <t>R_Servicio (veh. 799)</t>
  </si>
  <si>
    <t>R_CostoOp (veh. 799)</t>
  </si>
  <si>
    <t>R_TiempoLleg (veh. 799)</t>
  </si>
  <si>
    <t>R_Tipo (veh. 800)</t>
  </si>
  <si>
    <t>R_Volumen (veh. 800)</t>
  </si>
  <si>
    <t>R_Servicio (veh. 800)</t>
  </si>
  <si>
    <t>R_CostoOp (veh. 800)</t>
  </si>
  <si>
    <t>R_TiempoLleg (veh. 800)</t>
  </si>
  <si>
    <t>R_Tipo (veh. 801)</t>
  </si>
  <si>
    <t>R_Volumen (veh. 801)</t>
  </si>
  <si>
    <t>R_Servicio (veh. 801)</t>
  </si>
  <si>
    <t>R_CostoOp (veh. 801)</t>
  </si>
  <si>
    <t>R_TiempoLleg (veh. 801)</t>
  </si>
  <si>
    <t>R_Tipo (veh. 802)</t>
  </si>
  <si>
    <t>R_Volumen (veh. 802)</t>
  </si>
  <si>
    <t>R_Servicio (veh. 802)</t>
  </si>
  <si>
    <t>R_CostoOp (veh. 802)</t>
  </si>
  <si>
    <t>R_TiempoLleg (veh. 802)</t>
  </si>
  <si>
    <t>R_Tipo (veh. 803)</t>
  </si>
  <si>
    <t>R_Volumen (veh. 803)</t>
  </si>
  <si>
    <t>R_Servicio (veh. 803)</t>
  </si>
  <si>
    <t>R_CostoOp (veh. 803)</t>
  </si>
  <si>
    <t>R_TiempoLleg (veh. 803)</t>
  </si>
  <si>
    <t>R_Tipo (veh. 804)</t>
  </si>
  <si>
    <t>R_Volumen (veh. 804)</t>
  </si>
  <si>
    <t>R_Servicio (veh. 804)</t>
  </si>
  <si>
    <t>R_CostoOp (veh. 804)</t>
  </si>
  <si>
    <t>R_TiempoLleg (veh. 804)</t>
  </si>
  <si>
    <t>R_Tipo (veh. 805)</t>
  </si>
  <si>
    <t>R_Volumen (veh. 805)</t>
  </si>
  <si>
    <t>R_Servicio (veh. 805)</t>
  </si>
  <si>
    <t>R_CostoOp (veh. 805)</t>
  </si>
  <si>
    <t>R_TiempoLleg (veh. 805)</t>
  </si>
  <si>
    <t>R_Tipo (veh. 806)</t>
  </si>
  <si>
    <t>R_Volumen (veh. 806)</t>
  </si>
  <si>
    <t>R_Servicio (veh. 806)</t>
  </si>
  <si>
    <t>R_CostoOp (veh. 806)</t>
  </si>
  <si>
    <t>R_TiempoLleg (veh. 806)</t>
  </si>
  <si>
    <t>R_Tipo (veh. 807)</t>
  </si>
  <si>
    <t>R_Volumen (veh. 807)</t>
  </si>
  <si>
    <t>R_Servicio (veh. 807)</t>
  </si>
  <si>
    <t>R_CostoOp (veh. 807)</t>
  </si>
  <si>
    <t>R_TiempoLleg (veh. 807)</t>
  </si>
  <si>
    <t>R_Tipo (veh. 808)</t>
  </si>
  <si>
    <t>R_Volumen (veh. 808)</t>
  </si>
  <si>
    <t>R_Servicio (veh. 808)</t>
  </si>
  <si>
    <t>R_CostoOp (veh. 808)</t>
  </si>
  <si>
    <t>R_TiempoLleg (veh. 808)</t>
  </si>
  <si>
    <t>R_Tipo (veh. 809)</t>
  </si>
  <si>
    <t>R_Volumen (veh. 809)</t>
  </si>
  <si>
    <t>R_Servicio (veh. 809)</t>
  </si>
  <si>
    <t>R_CostoOp (veh. 809)</t>
  </si>
  <si>
    <t>R_TiempoLleg (veh. 809)</t>
  </si>
  <si>
    <t>R_Tipo (veh. 810)</t>
  </si>
  <si>
    <t>R_Volumen (veh. 810)</t>
  </si>
  <si>
    <t>R_Servicio (veh. 810)</t>
  </si>
  <si>
    <t>R_CostoOp (veh. 810)</t>
  </si>
  <si>
    <t>R_TiempoLleg (veh. 810)</t>
  </si>
  <si>
    <t>R_Tipo (veh. 811)</t>
  </si>
  <si>
    <t>R_Volumen (veh. 811)</t>
  </si>
  <si>
    <t>R_Servicio (veh. 811)</t>
  </si>
  <si>
    <t>R_CostoOp (veh. 811)</t>
  </si>
  <si>
    <t>R_TiempoLleg (veh. 811)</t>
  </si>
  <si>
    <t>R_Tipo (veh. 812)</t>
  </si>
  <si>
    <t>R_Volumen (veh. 812)</t>
  </si>
  <si>
    <t>R_Servicio (veh. 812)</t>
  </si>
  <si>
    <t>R_CostoOp (veh. 812)</t>
  </si>
  <si>
    <t>R_TiempoLleg (veh. 812)</t>
  </si>
  <si>
    <t>R_Tipo (veh. 813)</t>
  </si>
  <si>
    <t>R_Volumen (veh. 813)</t>
  </si>
  <si>
    <t>R_Servicio (veh. 813)</t>
  </si>
  <si>
    <t>R_CostoOp (veh. 813)</t>
  </si>
  <si>
    <t>R_TiempoLleg (veh. 813)</t>
  </si>
  <si>
    <t>R_Tipo (veh. 814)</t>
  </si>
  <si>
    <t>R_Volumen (veh. 814)</t>
  </si>
  <si>
    <t>R_Servicio (veh. 814)</t>
  </si>
  <si>
    <t>R_CostoOp (veh. 814)</t>
  </si>
  <si>
    <t>R_TiempoLleg (veh. 814)</t>
  </si>
  <si>
    <t>R_Tipo (veh. 815)</t>
  </si>
  <si>
    <t>R_Volumen (veh. 815)</t>
  </si>
  <si>
    <t>R_Servicio (veh. 815)</t>
  </si>
  <si>
    <t>R_CostoOp (veh. 815)</t>
  </si>
  <si>
    <t>R_TiempoLleg (veh. 815)</t>
  </si>
  <si>
    <t>R_Tipo (veh. 816)</t>
  </si>
  <si>
    <t>R_Volumen (veh. 816)</t>
  </si>
  <si>
    <t>R_Servicio (veh. 816)</t>
  </si>
  <si>
    <t>R_CostoOp (veh. 816)</t>
  </si>
  <si>
    <t>R_TiempoLleg (veh. 816)</t>
  </si>
  <si>
    <t>R_Tipo (veh. 817)</t>
  </si>
  <si>
    <t>R_Volumen (veh. 817)</t>
  </si>
  <si>
    <t>R_Servicio (veh. 817)</t>
  </si>
  <si>
    <t>R_CostoOp (veh. 817)</t>
  </si>
  <si>
    <t>R_TiempoLleg (veh. 817)</t>
  </si>
  <si>
    <t>R_Tipo (veh. 818)</t>
  </si>
  <si>
    <t>R_Volumen (veh. 818)</t>
  </si>
  <si>
    <t>R_Servicio (veh. 818)</t>
  </si>
  <si>
    <t>R_CostoOp (veh. 818)</t>
  </si>
  <si>
    <t>R_TiempoLleg (veh. 818)</t>
  </si>
  <si>
    <t>R_Tipo (veh. 819)</t>
  </si>
  <si>
    <t>R_Volumen (veh. 819)</t>
  </si>
  <si>
    <t>R_Servicio (veh. 819)</t>
  </si>
  <si>
    <t>R_CostoOp (veh. 819)</t>
  </si>
  <si>
    <t>R_TiempoLleg (veh. 819)</t>
  </si>
  <si>
    <t>R_Tipo (veh. 820)</t>
  </si>
  <si>
    <t>R_Volumen (veh. 820)</t>
  </si>
  <si>
    <t>R_Servicio (veh. 820)</t>
  </si>
  <si>
    <t>R_CostoOp (veh. 820)</t>
  </si>
  <si>
    <t>R_TiempoLleg (veh. 820)</t>
  </si>
  <si>
    <t>R_Tipo (veh. 821)</t>
  </si>
  <si>
    <t>R_Volumen (veh. 821)</t>
  </si>
  <si>
    <t>R_Servicio (veh. 821)</t>
  </si>
  <si>
    <t>R_CostoOp (veh. 821)</t>
  </si>
  <si>
    <t>R_TiempoLleg (veh. 821)</t>
  </si>
  <si>
    <t>R_Tipo (veh. 822)</t>
  </si>
  <si>
    <t>R_Volumen (veh. 822)</t>
  </si>
  <si>
    <t>R_Servicio (veh. 822)</t>
  </si>
  <si>
    <t>R_CostoOp (veh. 822)</t>
  </si>
  <si>
    <t>R_TiempoLleg (veh. 822)</t>
  </si>
  <si>
    <t>R_Tipo (veh. 823)</t>
  </si>
  <si>
    <t>R_Volumen (veh. 823)</t>
  </si>
  <si>
    <t>R_Servicio (veh. 823)</t>
  </si>
  <si>
    <t>R_CostoOp (veh. 823)</t>
  </si>
  <si>
    <t>R_TiempoLleg (veh. 823)</t>
  </si>
  <si>
    <t>R_Tipo (veh. 824)</t>
  </si>
  <si>
    <t>R_Volumen (veh. 824)</t>
  </si>
  <si>
    <t>R_Servicio (veh. 824)</t>
  </si>
  <si>
    <t>R_CostoOp (veh. 824)</t>
  </si>
  <si>
    <t>R_TiempoLleg (veh. 824)</t>
  </si>
  <si>
    <t>R_Tipo (veh. 825)</t>
  </si>
  <si>
    <t>R_Volumen (veh. 825)</t>
  </si>
  <si>
    <t>R_Servicio (veh. 825)</t>
  </si>
  <si>
    <t>R_CostoOp (veh. 825)</t>
  </si>
  <si>
    <t>R_TiempoLleg (veh. 825)</t>
  </si>
  <si>
    <t>R_Tipo (veh. 826)</t>
  </si>
  <si>
    <t>R_Volumen (veh. 826)</t>
  </si>
  <si>
    <t>R_Servicio (veh. 826)</t>
  </si>
  <si>
    <t>R_CostoOp (veh. 826)</t>
  </si>
  <si>
    <t>R_TiempoLleg (veh. 826)</t>
  </si>
  <si>
    <t>R_Tipo (veh. 827)</t>
  </si>
  <si>
    <t>R_Volumen (veh. 827)</t>
  </si>
  <si>
    <t>R_Servicio (veh. 827)</t>
  </si>
  <si>
    <t>R_CostoOp (veh. 827)</t>
  </si>
  <si>
    <t>R_TiempoLleg (veh. 827)</t>
  </si>
  <si>
    <t>R_Tipo (veh. 828)</t>
  </si>
  <si>
    <t>R_Volumen (veh. 828)</t>
  </si>
  <si>
    <t>R_Servicio (veh. 828)</t>
  </si>
  <si>
    <t>R_CostoOp (veh. 828)</t>
  </si>
  <si>
    <t>R_TiempoLleg (veh. 828)</t>
  </si>
  <si>
    <t>R_Tipo (veh. 829)</t>
  </si>
  <si>
    <t>R_Volumen (veh. 829)</t>
  </si>
  <si>
    <t>R_Servicio (veh. 829)</t>
  </si>
  <si>
    <t>R_CostoOp (veh. 829)</t>
  </si>
  <si>
    <t>R_TiempoLleg (veh. 829)</t>
  </si>
  <si>
    <t>R_Tipo (veh. 830)</t>
  </si>
  <si>
    <t>R_Volumen (veh. 830)</t>
  </si>
  <si>
    <t>R_Servicio (veh. 830)</t>
  </si>
  <si>
    <t>R_CostoOp (veh. 830)</t>
  </si>
  <si>
    <t>R_TiempoLleg (veh. 830)</t>
  </si>
  <si>
    <t>R_Tipo (veh. 831)</t>
  </si>
  <si>
    <t>R_Volumen (veh. 831)</t>
  </si>
  <si>
    <t>R_Servicio (veh. 831)</t>
  </si>
  <si>
    <t>R_CostoOp (veh. 831)</t>
  </si>
  <si>
    <t>R_TiempoLleg (veh. 831)</t>
  </si>
  <si>
    <t>R_Tipo (veh. 832)</t>
  </si>
  <si>
    <t>R_Volumen (veh. 832)</t>
  </si>
  <si>
    <t>R_Servicio (veh. 832)</t>
  </si>
  <si>
    <t>R_CostoOp (veh. 832)</t>
  </si>
  <si>
    <t>R_TiempoLleg (veh. 832)</t>
  </si>
  <si>
    <t>R_Tipo (veh. 833)</t>
  </si>
  <si>
    <t>R_Volumen (veh. 833)</t>
  </si>
  <si>
    <t>R_Servicio (veh. 833)</t>
  </si>
  <si>
    <t>R_CostoOp (veh. 833)</t>
  </si>
  <si>
    <t>R_TiempoLleg (veh. 833)</t>
  </si>
  <si>
    <t>R_Tipo (veh. 834)</t>
  </si>
  <si>
    <t>R_Volumen (veh. 834)</t>
  </si>
  <si>
    <t>R_Servicio (veh. 834)</t>
  </si>
  <si>
    <t>R_CostoOp (veh. 834)</t>
  </si>
  <si>
    <t>R_TiempoLleg (veh. 834)</t>
  </si>
  <si>
    <t>R_Tipo (veh. 835)</t>
  </si>
  <si>
    <t>R_Volumen (veh. 835)</t>
  </si>
  <si>
    <t>R_Servicio (veh. 835)</t>
  </si>
  <si>
    <t>R_CostoOp (veh. 835)</t>
  </si>
  <si>
    <t>R_TiempoLleg (veh. 835)</t>
  </si>
  <si>
    <t>R_Tipo (veh. 836)</t>
  </si>
  <si>
    <t>R_Volumen (veh. 836)</t>
  </si>
  <si>
    <t>R_Servicio (veh. 836)</t>
  </si>
  <si>
    <t>R_CostoOp (veh. 836)</t>
  </si>
  <si>
    <t>R_TiempoLleg (veh. 836)</t>
  </si>
  <si>
    <t>R_Tipo (veh. 837)</t>
  </si>
  <si>
    <t>R_Volumen (veh. 837)</t>
  </si>
  <si>
    <t>R_Servicio (veh. 837)</t>
  </si>
  <si>
    <t>R_CostoOp (veh. 837)</t>
  </si>
  <si>
    <t>R_TiempoLleg (veh. 837)</t>
  </si>
  <si>
    <t>R_Tipo (veh. 838)</t>
  </si>
  <si>
    <t>R_Volumen (veh. 838)</t>
  </si>
  <si>
    <t>R_Servicio (veh. 838)</t>
  </si>
  <si>
    <t>R_CostoOp (veh. 838)</t>
  </si>
  <si>
    <t>R_TiempoLleg (veh. 838)</t>
  </si>
  <si>
    <t>R_Tipo (veh. 839)</t>
  </si>
  <si>
    <t>R_Volumen (veh. 839)</t>
  </si>
  <si>
    <t>R_Servicio (veh. 839)</t>
  </si>
  <si>
    <t>R_CostoOp (veh. 839)</t>
  </si>
  <si>
    <t>R_TiempoLleg (veh. 839)</t>
  </si>
  <si>
    <t>R_Tipo (veh. 840)</t>
  </si>
  <si>
    <t>R_Volumen (veh. 840)</t>
  </si>
  <si>
    <t>R_Servicio (veh. 840)</t>
  </si>
  <si>
    <t>R_CostoOp (veh. 840)</t>
  </si>
  <si>
    <t>R_TiempoLleg (veh. 840)</t>
  </si>
  <si>
    <t>R_Tipo (veh. 841)</t>
  </si>
  <si>
    <t>R_Volumen (veh. 841)</t>
  </si>
  <si>
    <t>R_Servicio (veh. 841)</t>
  </si>
  <si>
    <t>R_CostoOp (veh. 841)</t>
  </si>
  <si>
    <t>R_TiempoLleg (veh. 841)</t>
  </si>
  <si>
    <t>R_Tipo (veh. 842)</t>
  </si>
  <si>
    <t>R_Volumen (veh. 842)</t>
  </si>
  <si>
    <t>R_Servicio (veh. 842)</t>
  </si>
  <si>
    <t>R_CostoOp (veh. 842)</t>
  </si>
  <si>
    <t>R_TiempoLleg (veh. 842)</t>
  </si>
  <si>
    <t>R_Tipo (veh. 843)</t>
  </si>
  <si>
    <t>R_Volumen (veh. 843)</t>
  </si>
  <si>
    <t>R_Servicio (veh. 843)</t>
  </si>
  <si>
    <t>R_CostoOp (veh. 843)</t>
  </si>
  <si>
    <t>R_TiempoLleg (veh. 843)</t>
  </si>
  <si>
    <t>R_Tipo (veh. 844)</t>
  </si>
  <si>
    <t>R_Volumen (veh. 844)</t>
  </si>
  <si>
    <t>R_Servicio (veh. 844)</t>
  </si>
  <si>
    <t>R_CostoOp (veh. 844)</t>
  </si>
  <si>
    <t>R_TiempoLleg (veh. 844)</t>
  </si>
  <si>
    <t>R_Tipo (veh. 845)</t>
  </si>
  <si>
    <t>R_Volumen (veh. 845)</t>
  </si>
  <si>
    <t>R_Servicio (veh. 845)</t>
  </si>
  <si>
    <t>R_CostoOp (veh. 845)</t>
  </si>
  <si>
    <t>R_TiempoLleg (veh. 845)</t>
  </si>
  <si>
    <t>R_Tipo (veh. 846)</t>
  </si>
  <si>
    <t>R_Volumen (veh. 846)</t>
  </si>
  <si>
    <t>R_Servicio (veh. 846)</t>
  </si>
  <si>
    <t>R_CostoOp (veh. 846)</t>
  </si>
  <si>
    <t>R_TiempoLleg (veh. 846)</t>
  </si>
  <si>
    <t>R_Tipo (veh. 847)</t>
  </si>
  <si>
    <t>R_Volumen (veh. 847)</t>
  </si>
  <si>
    <t>R_Servicio (veh. 847)</t>
  </si>
  <si>
    <t>R_CostoOp (veh. 847)</t>
  </si>
  <si>
    <t>R_TiempoLleg (veh. 847)</t>
  </si>
  <si>
    <t>R_Tipo (veh. 848)</t>
  </si>
  <si>
    <t>R_Volumen (veh. 848)</t>
  </si>
  <si>
    <t>R_Servicio (veh. 848)</t>
  </si>
  <si>
    <t>R_CostoOp (veh. 848)</t>
  </si>
  <si>
    <t>R_TiempoLleg (veh. 848)</t>
  </si>
  <si>
    <t>R_Tipo (veh. 849)</t>
  </si>
  <si>
    <t>R_Volumen (veh. 849)</t>
  </si>
  <si>
    <t>R_Servicio (veh. 849)</t>
  </si>
  <si>
    <t>R_CostoOp (veh. 849)</t>
  </si>
  <si>
    <t>R_TiempoLleg (veh. 849)</t>
  </si>
  <si>
    <t>R_Tipo (veh. 850)</t>
  </si>
  <si>
    <t>R_Volumen (veh. 850)</t>
  </si>
  <si>
    <t>R_Servicio (veh. 850)</t>
  </si>
  <si>
    <t>R_CostoOp (veh. 850)</t>
  </si>
  <si>
    <t>R_TiempoLleg (veh. 850)</t>
  </si>
  <si>
    <t>R_Tipo (veh. 851)</t>
  </si>
  <si>
    <t>R_Volumen (veh. 851)</t>
  </si>
  <si>
    <t>R_Servicio (veh. 851)</t>
  </si>
  <si>
    <t>R_CostoOp (veh. 851)</t>
  </si>
  <si>
    <t>R_TiempoLleg (veh. 851)</t>
  </si>
  <si>
    <t>R_Tipo (veh. 852)</t>
  </si>
  <si>
    <t>R_Volumen (veh. 852)</t>
  </si>
  <si>
    <t>R_Servicio (veh. 852)</t>
  </si>
  <si>
    <t>R_CostoOp (veh. 852)</t>
  </si>
  <si>
    <t>R_TiempoLleg (veh. 852)</t>
  </si>
  <si>
    <t>R_Tipo (veh. 853)</t>
  </si>
  <si>
    <t>R_Volumen (veh. 853)</t>
  </si>
  <si>
    <t>R_Servicio (veh. 853)</t>
  </si>
  <si>
    <t>R_CostoOp (veh. 853)</t>
  </si>
  <si>
    <t>R_TiempoLleg (veh. 853)</t>
  </si>
  <si>
    <t>R_Tipo (veh. 854)</t>
  </si>
  <si>
    <t>R_Volumen (veh. 854)</t>
  </si>
  <si>
    <t>R_Servicio (veh. 854)</t>
  </si>
  <si>
    <t>R_CostoOp (veh. 854)</t>
  </si>
  <si>
    <t>R_TiempoLleg (veh. 854)</t>
  </si>
  <si>
    <t>R_Tipo (veh. 855)</t>
  </si>
  <si>
    <t>R_Volumen (veh. 855)</t>
  </si>
  <si>
    <t>R_Servicio (veh. 855)</t>
  </si>
  <si>
    <t>R_CostoOp (veh. 855)</t>
  </si>
  <si>
    <t>R_TiempoLleg (veh. 855)</t>
  </si>
  <si>
    <t>R_Tipo (veh. 856)</t>
  </si>
  <si>
    <t>R_Volumen (veh. 856)</t>
  </si>
  <si>
    <t>R_Servicio (veh. 856)</t>
  </si>
  <si>
    <t>R_CostoOp (veh. 856)</t>
  </si>
  <si>
    <t>R_TiempoLleg (veh. 856)</t>
  </si>
  <si>
    <t>R_Tipo (veh. 857)</t>
  </si>
  <si>
    <t>R_Volumen (veh. 857)</t>
  </si>
  <si>
    <t>R_Servicio (veh. 857)</t>
  </si>
  <si>
    <t>R_CostoOp (veh. 857)</t>
  </si>
  <si>
    <t>R_TiempoLleg (veh. 857)</t>
  </si>
  <si>
    <t>R_Tipo (veh. 858)</t>
  </si>
  <si>
    <t>R_Volumen (veh. 858)</t>
  </si>
  <si>
    <t>R_Servicio (veh. 858)</t>
  </si>
  <si>
    <t>R_CostoOp (veh. 858)</t>
  </si>
  <si>
    <t>R_TiempoLleg (veh. 858)</t>
  </si>
  <si>
    <t>R_Tipo (veh. 859)</t>
  </si>
  <si>
    <t>R_Volumen (veh. 859)</t>
  </si>
  <si>
    <t>R_Servicio (veh. 859)</t>
  </si>
  <si>
    <t>R_CostoOp (veh. 859)</t>
  </si>
  <si>
    <t>R_TiempoLleg (veh. 859)</t>
  </si>
  <si>
    <t>R_Tipo (veh. 860)</t>
  </si>
  <si>
    <t>R_Volumen (veh. 860)</t>
  </si>
  <si>
    <t>R_Servicio (veh. 860)</t>
  </si>
  <si>
    <t>R_CostoOp (veh. 860)</t>
  </si>
  <si>
    <t>R_TiempoLleg (veh. 860)</t>
  </si>
  <si>
    <t>R_Tipo (veh. 861)</t>
  </si>
  <si>
    <t>R_Volumen (veh. 861)</t>
  </si>
  <si>
    <t>R_Servicio (veh. 861)</t>
  </si>
  <si>
    <t>R_CostoOp (veh. 861)</t>
  </si>
  <si>
    <t>R_TiempoLleg (veh. 861)</t>
  </si>
  <si>
    <t>R_Tipo (veh. 862)</t>
  </si>
  <si>
    <t>R_Volumen (veh. 862)</t>
  </si>
  <si>
    <t>R_Servicio (veh. 862)</t>
  </si>
  <si>
    <t>R_CostoOp (veh. 862)</t>
  </si>
  <si>
    <t>R_TiempoLleg (veh. 862)</t>
  </si>
  <si>
    <t>R_Tipo (veh. 863)</t>
  </si>
  <si>
    <t>R_Volumen (veh. 863)</t>
  </si>
  <si>
    <t>R_Servicio (veh. 863)</t>
  </si>
  <si>
    <t>R_CostoOp (veh. 863)</t>
  </si>
  <si>
    <t>R_TiempoLleg (veh. 863)</t>
  </si>
  <si>
    <t>R_Tipo (veh. 864)</t>
  </si>
  <si>
    <t>R_Volumen (veh. 864)</t>
  </si>
  <si>
    <t>R_Servicio (veh. 864)</t>
  </si>
  <si>
    <t>R_CostoOp (veh. 864)</t>
  </si>
  <si>
    <t>R_TiempoLleg (veh. 864)</t>
  </si>
  <si>
    <t>R_Tipo (veh. 865)</t>
  </si>
  <si>
    <t>R_Volumen (veh. 865)</t>
  </si>
  <si>
    <t>R_Servicio (veh. 865)</t>
  </si>
  <si>
    <t>R_CostoOp (veh. 865)</t>
  </si>
  <si>
    <t>R_TiempoLleg (veh. 865)</t>
  </si>
  <si>
    <t>R_Tipo (veh. 866)</t>
  </si>
  <si>
    <t>R_Volumen (veh. 866)</t>
  </si>
  <si>
    <t>R_Servicio (veh. 866)</t>
  </si>
  <si>
    <t>R_CostoOp (veh. 866)</t>
  </si>
  <si>
    <t>R_TiempoLleg (veh. 866)</t>
  </si>
  <si>
    <t>R_Tipo (veh. 867)</t>
  </si>
  <si>
    <t>R_Volumen (veh. 867)</t>
  </si>
  <si>
    <t>R_Servicio (veh. 867)</t>
  </si>
  <si>
    <t>R_CostoOp (veh. 867)</t>
  </si>
  <si>
    <t>R_TiempoLleg (veh. 867)</t>
  </si>
  <si>
    <t>R_Tipo (veh. 868)</t>
  </si>
  <si>
    <t>R_Volumen (veh. 868)</t>
  </si>
  <si>
    <t>R_Servicio (veh. 868)</t>
  </si>
  <si>
    <t>R_CostoOp (veh. 868)</t>
  </si>
  <si>
    <t>R_TiempoLleg (veh. 868)</t>
  </si>
  <si>
    <t>R_Tipo (veh. 869)</t>
  </si>
  <si>
    <t>R_Volumen (veh. 869)</t>
  </si>
  <si>
    <t>R_Servicio (veh. 869)</t>
  </si>
  <si>
    <t>R_CostoOp (veh. 869)</t>
  </si>
  <si>
    <t>R_TiempoLleg (veh. 869)</t>
  </si>
  <si>
    <t>R_Tipo (veh. 870)</t>
  </si>
  <si>
    <t>R_Volumen (veh. 870)</t>
  </si>
  <si>
    <t>R_Servicio (veh. 870)</t>
  </si>
  <si>
    <t>R_CostoOp (veh. 870)</t>
  </si>
  <si>
    <t>R_TiempoLleg (veh. 870)</t>
  </si>
  <si>
    <t>R_Tipo (veh. 871)</t>
  </si>
  <si>
    <t>R_Volumen (veh. 871)</t>
  </si>
  <si>
    <t>R_Servicio (veh. 871)</t>
  </si>
  <si>
    <t>R_CostoOp (veh. 871)</t>
  </si>
  <si>
    <t>R_TiempoLleg (veh. 871)</t>
  </si>
  <si>
    <t>R_Tipo (veh. 872)</t>
  </si>
  <si>
    <t>R_Volumen (veh. 872)</t>
  </si>
  <si>
    <t>R_Servicio (veh. 872)</t>
  </si>
  <si>
    <t>R_CostoOp (veh. 872)</t>
  </si>
  <si>
    <t>R_TiempoLleg (veh. 872)</t>
  </si>
  <si>
    <t>R_Tipo (veh. 873)</t>
  </si>
  <si>
    <t>R_Volumen (veh. 873)</t>
  </si>
  <si>
    <t>R_Servicio (veh. 873)</t>
  </si>
  <si>
    <t>R_CostoOp (veh. 873)</t>
  </si>
  <si>
    <t>R_TiempoLleg (veh. 873)</t>
  </si>
  <si>
    <t>R_Tipo (veh. 874)</t>
  </si>
  <si>
    <t>R_Volumen (veh. 874)</t>
  </si>
  <si>
    <t>R_Servicio (veh. 874)</t>
  </si>
  <si>
    <t>R_CostoOp (veh. 874)</t>
  </si>
  <si>
    <t>R_TiempoLleg (veh. 874)</t>
  </si>
  <si>
    <t>R_Tipo (veh. 875)</t>
  </si>
  <si>
    <t>R_Volumen (veh. 875)</t>
  </si>
  <si>
    <t>R_Servicio (veh. 875)</t>
  </si>
  <si>
    <t>R_CostoOp (veh. 875)</t>
  </si>
  <si>
    <t>R_TiempoLleg (veh. 875)</t>
  </si>
  <si>
    <t>R_Tipo (veh. 876)</t>
  </si>
  <si>
    <t>R_Volumen (veh. 876)</t>
  </si>
  <si>
    <t>R_Servicio (veh. 876)</t>
  </si>
  <si>
    <t>R_CostoOp (veh. 876)</t>
  </si>
  <si>
    <t>R_TiempoLleg (veh. 876)</t>
  </si>
  <si>
    <t>R_Tipo (veh. 877)</t>
  </si>
  <si>
    <t>R_Volumen (veh. 877)</t>
  </si>
  <si>
    <t>R_Servicio (veh. 877)</t>
  </si>
  <si>
    <t>R_CostoOp (veh. 877)</t>
  </si>
  <si>
    <t>R_TiempoLleg (veh. 877)</t>
  </si>
  <si>
    <t>R_Tipo (veh. 878)</t>
  </si>
  <si>
    <t>R_Volumen (veh. 878)</t>
  </si>
  <si>
    <t>R_Servicio (veh. 878)</t>
  </si>
  <si>
    <t>R_CostoOp (veh. 878)</t>
  </si>
  <si>
    <t>R_TiempoLleg (veh. 878)</t>
  </si>
  <si>
    <t>R_Tipo (veh. 879)</t>
  </si>
  <si>
    <t>R_Volumen (veh. 879)</t>
  </si>
  <si>
    <t>R_Servicio (veh. 879)</t>
  </si>
  <si>
    <t>R_CostoOp (veh. 879)</t>
  </si>
  <si>
    <t>R_TiempoLleg (veh. 879)</t>
  </si>
  <si>
    <t>R_Tipo (veh. 880)</t>
  </si>
  <si>
    <t>R_Volumen (veh. 880)</t>
  </si>
  <si>
    <t>R_Servicio (veh. 880)</t>
  </si>
  <si>
    <t>R_CostoOp (veh. 880)</t>
  </si>
  <si>
    <t>R_TiempoLleg (veh. 880)</t>
  </si>
  <si>
    <t>R_Tipo (veh. 881)</t>
  </si>
  <si>
    <t>R_Volumen (veh. 881)</t>
  </si>
  <si>
    <t>R_Servicio (veh. 881)</t>
  </si>
  <si>
    <t>R_CostoOp (veh. 881)</t>
  </si>
  <si>
    <t>R_TiempoLleg (veh. 881)</t>
  </si>
  <si>
    <t>R_Tipo (veh. 882)</t>
  </si>
  <si>
    <t>R_Volumen (veh. 882)</t>
  </si>
  <si>
    <t>R_Servicio (veh. 882)</t>
  </si>
  <si>
    <t>R_CostoOp (veh. 882)</t>
  </si>
  <si>
    <t>R_TiempoLleg (veh. 882)</t>
  </si>
  <si>
    <t>R_Tipo (veh. 883)</t>
  </si>
  <si>
    <t>R_Volumen (veh. 883)</t>
  </si>
  <si>
    <t>R_Servicio (veh. 883)</t>
  </si>
  <si>
    <t>R_CostoOp (veh. 883)</t>
  </si>
  <si>
    <t>R_TiempoLleg (veh. 883)</t>
  </si>
  <si>
    <t>R_Tipo (veh. 884)</t>
  </si>
  <si>
    <t>R_Volumen (veh. 884)</t>
  </si>
  <si>
    <t>R_Servicio (veh. 884)</t>
  </si>
  <si>
    <t>R_CostoOp (veh. 884)</t>
  </si>
  <si>
    <t>R_TiempoLleg (veh. 884)</t>
  </si>
  <si>
    <t>R_Tipo (veh. 885)</t>
  </si>
  <si>
    <t>R_Volumen (veh. 885)</t>
  </si>
  <si>
    <t>R_Servicio (veh. 885)</t>
  </si>
  <si>
    <t>R_CostoOp (veh. 885)</t>
  </si>
  <si>
    <t>R_TiempoLleg (veh. 885)</t>
  </si>
  <si>
    <t>R_Tipo (veh. 886)</t>
  </si>
  <si>
    <t>R_Volumen (veh. 886)</t>
  </si>
  <si>
    <t>R_Servicio (veh. 886)</t>
  </si>
  <si>
    <t>R_CostoOp (veh. 886)</t>
  </si>
  <si>
    <t>R_TiempoLleg (veh. 886)</t>
  </si>
  <si>
    <t>R_Tipo (veh. 887)</t>
  </si>
  <si>
    <t>R_Volumen (veh. 887)</t>
  </si>
  <si>
    <t>R_Servicio (veh. 887)</t>
  </si>
  <si>
    <t>R_CostoOp (veh. 887)</t>
  </si>
  <si>
    <t>R_TiempoLleg (veh. 887)</t>
  </si>
  <si>
    <t>R_Tipo (veh. 888)</t>
  </si>
  <si>
    <t>R_Volumen (veh. 888)</t>
  </si>
  <si>
    <t>R_Servicio (veh. 888)</t>
  </si>
  <si>
    <t>R_CostoOp (veh. 888)</t>
  </si>
  <si>
    <t>R_TiempoLleg (veh. 888)</t>
  </si>
  <si>
    <t>R_Tipo (veh. 889)</t>
  </si>
  <si>
    <t>R_Volumen (veh. 889)</t>
  </si>
  <si>
    <t>R_Servicio (veh. 889)</t>
  </si>
  <si>
    <t>R_CostoOp (veh. 889)</t>
  </si>
  <si>
    <t>R_TiempoLleg (veh. 889)</t>
  </si>
  <si>
    <t>R_Tipo (veh. 890)</t>
  </si>
  <si>
    <t>R_Volumen (veh. 890)</t>
  </si>
  <si>
    <t>R_Servicio (veh. 890)</t>
  </si>
  <si>
    <t>R_CostoOp (veh. 890)</t>
  </si>
  <si>
    <t>R_TiempoLleg (veh. 890)</t>
  </si>
  <si>
    <t>R_Tipo (veh. 891)</t>
  </si>
  <si>
    <t>R_Volumen (veh. 891)</t>
  </si>
  <si>
    <t>R_Servicio (veh. 891)</t>
  </si>
  <si>
    <t>R_CostoOp (veh. 891)</t>
  </si>
  <si>
    <t>R_TiempoLleg (veh. 891)</t>
  </si>
  <si>
    <t>R_Tipo (veh. 892)</t>
  </si>
  <si>
    <t>R_Volumen (veh. 892)</t>
  </si>
  <si>
    <t>R_Servicio (veh. 892)</t>
  </si>
  <si>
    <t>R_CostoOp (veh. 892)</t>
  </si>
  <si>
    <t>R_TiempoLleg (veh. 892)</t>
  </si>
  <si>
    <t>R_Tipo (veh. 893)</t>
  </si>
  <si>
    <t>R_Volumen (veh. 893)</t>
  </si>
  <si>
    <t>R_Servicio (veh. 893)</t>
  </si>
  <si>
    <t>R_CostoOp (veh. 893)</t>
  </si>
  <si>
    <t>R_TiempoLleg (veh. 893)</t>
  </si>
  <si>
    <t>R_Tipo (veh. 894)</t>
  </si>
  <si>
    <t>R_Volumen (veh. 894)</t>
  </si>
  <si>
    <t>R_Servicio (veh. 894)</t>
  </si>
  <si>
    <t>R_CostoOp (veh. 894)</t>
  </si>
  <si>
    <t>R_TiempoLleg (veh. 894)</t>
  </si>
  <si>
    <t>R_Tipo (veh. 895)</t>
  </si>
  <si>
    <t>R_Volumen (veh. 895)</t>
  </si>
  <si>
    <t>R_Servicio (veh. 895)</t>
  </si>
  <si>
    <t>R_CostoOp (veh. 895)</t>
  </si>
  <si>
    <t>R_TiempoLleg (veh. 895)</t>
  </si>
  <si>
    <t>R_Tipo (veh. 896)</t>
  </si>
  <si>
    <t>R_Volumen (veh. 896)</t>
  </si>
  <si>
    <t>R_Servicio (veh. 896)</t>
  </si>
  <si>
    <t>R_CostoOp (veh. 896)</t>
  </si>
  <si>
    <t>R_TiempoLleg (veh. 896)</t>
  </si>
  <si>
    <t>R_Tipo (veh. 897)</t>
  </si>
  <si>
    <t>R_Volumen (veh. 897)</t>
  </si>
  <si>
    <t>R_Servicio (veh. 897)</t>
  </si>
  <si>
    <t>R_CostoOp (veh. 897)</t>
  </si>
  <si>
    <t>R_TiempoLleg (veh. 897)</t>
  </si>
  <si>
    <t>R_Tipo (veh. 898)</t>
  </si>
  <si>
    <t>R_Volumen (veh. 898)</t>
  </si>
  <si>
    <t>R_Servicio (veh. 898)</t>
  </si>
  <si>
    <t>R_CostoOp (veh. 898)</t>
  </si>
  <si>
    <t>R_TiempoLleg (veh. 898)</t>
  </si>
  <si>
    <t>R_Tipo (veh. 899)</t>
  </si>
  <si>
    <t>R_Volumen (veh. 899)</t>
  </si>
  <si>
    <t>R_Servicio (veh. 899)</t>
  </si>
  <si>
    <t>R_CostoOp (veh. 899)</t>
  </si>
  <si>
    <t>R_TiempoLleg (veh. 899)</t>
  </si>
  <si>
    <t>R_Tipo (veh. 900)</t>
  </si>
  <si>
    <t>R_Volumen (veh. 900)</t>
  </si>
  <si>
    <t>R_Servicio (veh. 900)</t>
  </si>
  <si>
    <t>R_CostoOp (veh. 900)</t>
  </si>
  <si>
    <t>R_TiempoLleg (veh. 900)</t>
  </si>
  <si>
    <t>R_Tipo (veh. 901)</t>
  </si>
  <si>
    <t>R_Volumen (veh. 901)</t>
  </si>
  <si>
    <t>R_Servicio (veh. 901)</t>
  </si>
  <si>
    <t>R_CostoOp (veh. 901)</t>
  </si>
  <si>
    <t>R_TiempoLleg (veh. 901)</t>
  </si>
  <si>
    <t>R_Tipo (veh. 902)</t>
  </si>
  <si>
    <t>R_Volumen (veh. 902)</t>
  </si>
  <si>
    <t>R_Servicio (veh. 902)</t>
  </si>
  <si>
    <t>R_CostoOp (veh. 902)</t>
  </si>
  <si>
    <t>R_TiempoLleg (veh. 902)</t>
  </si>
  <si>
    <t>R_Tipo (veh. 903)</t>
  </si>
  <si>
    <t>R_Volumen (veh. 903)</t>
  </si>
  <si>
    <t>R_Servicio (veh. 903)</t>
  </si>
  <si>
    <t>R_CostoOp (veh. 903)</t>
  </si>
  <si>
    <t>R_TiempoLleg (veh. 903)</t>
  </si>
  <si>
    <t>R_Tipo (veh. 904)</t>
  </si>
  <si>
    <t>R_Volumen (veh. 904)</t>
  </si>
  <si>
    <t>R_Servicio (veh. 904)</t>
  </si>
  <si>
    <t>R_CostoOp (veh. 904)</t>
  </si>
  <si>
    <t>R_TiempoLleg (veh. 904)</t>
  </si>
  <si>
    <t>R_Tipo (veh. 905)</t>
  </si>
  <si>
    <t>R_Volumen (veh. 905)</t>
  </si>
  <si>
    <t>R_Servicio (veh. 905)</t>
  </si>
  <si>
    <t>R_CostoOp (veh. 905)</t>
  </si>
  <si>
    <t>R_TiempoLleg (veh. 905)</t>
  </si>
  <si>
    <t>R_Tipo (veh. 906)</t>
  </si>
  <si>
    <t>R_Volumen (veh. 906)</t>
  </si>
  <si>
    <t>R_Servicio (veh. 906)</t>
  </si>
  <si>
    <t>R_CostoOp (veh. 906)</t>
  </si>
  <si>
    <t>R_TiempoLleg (veh. 906)</t>
  </si>
  <si>
    <t>R_Tipo (veh. 907)</t>
  </si>
  <si>
    <t>R_Volumen (veh. 907)</t>
  </si>
  <si>
    <t>R_Servicio (veh. 907)</t>
  </si>
  <si>
    <t>R_CostoOp (veh. 907)</t>
  </si>
  <si>
    <t>R_TiempoLleg (veh. 907)</t>
  </si>
  <si>
    <t>R_Tipo (veh. 908)</t>
  </si>
  <si>
    <t>R_Volumen (veh. 908)</t>
  </si>
  <si>
    <t>R_Servicio (veh. 908)</t>
  </si>
  <si>
    <t>R_CostoOp (veh. 908)</t>
  </si>
  <si>
    <t>R_TiempoLleg (veh. 908)</t>
  </si>
  <si>
    <t>R_Tipo (veh. 909)</t>
  </si>
  <si>
    <t>R_Volumen (veh. 909)</t>
  </si>
  <si>
    <t>R_Servicio (veh. 909)</t>
  </si>
  <si>
    <t>R_CostoOp (veh. 909)</t>
  </si>
  <si>
    <t>R_TiempoLleg (veh. 909)</t>
  </si>
  <si>
    <t>R_Tipo (veh. 910)</t>
  </si>
  <si>
    <t>R_Volumen (veh. 910)</t>
  </si>
  <si>
    <t>R_Servicio (veh. 910)</t>
  </si>
  <si>
    <t>R_CostoOp (veh. 910)</t>
  </si>
  <si>
    <t>R_TiempoLleg (veh. 910)</t>
  </si>
  <si>
    <t>R_Tipo (veh. 911)</t>
  </si>
  <si>
    <t>R_Volumen (veh. 911)</t>
  </si>
  <si>
    <t>R_Servicio (veh. 911)</t>
  </si>
  <si>
    <t>R_CostoOp (veh. 911)</t>
  </si>
  <si>
    <t>R_TiempoLleg (veh. 911)</t>
  </si>
  <si>
    <t>R_Tipo (veh. 912)</t>
  </si>
  <si>
    <t>R_Volumen (veh. 912)</t>
  </si>
  <si>
    <t>R_Servicio (veh. 912)</t>
  </si>
  <si>
    <t>R_CostoOp (veh. 912)</t>
  </si>
  <si>
    <t>R_TiempoLleg (veh. 912)</t>
  </si>
  <si>
    <t>R_Tipo (veh. 913)</t>
  </si>
  <si>
    <t>R_Volumen (veh. 913)</t>
  </si>
  <si>
    <t>R_Servicio (veh. 913)</t>
  </si>
  <si>
    <t>R_CostoOp (veh. 913)</t>
  </si>
  <si>
    <t>R_TiempoLleg (veh. 913)</t>
  </si>
  <si>
    <t>R_Tipo (veh. 914)</t>
  </si>
  <si>
    <t>R_Volumen (veh. 914)</t>
  </si>
  <si>
    <t>R_Servicio (veh. 914)</t>
  </si>
  <si>
    <t>R_CostoOp (veh. 914)</t>
  </si>
  <si>
    <t>R_TiempoLleg (veh. 914)</t>
  </si>
  <si>
    <t>R_Tipo (veh. 915)</t>
  </si>
  <si>
    <t>R_Volumen (veh. 915)</t>
  </si>
  <si>
    <t>R_Servicio (veh. 915)</t>
  </si>
  <si>
    <t>R_CostoOp (veh. 915)</t>
  </si>
  <si>
    <t>R_TiempoLleg (veh. 915)</t>
  </si>
  <si>
    <t>R_Tipo (veh. 916)</t>
  </si>
  <si>
    <t>R_Volumen (veh. 916)</t>
  </si>
  <si>
    <t>R_Servicio (veh. 916)</t>
  </si>
  <si>
    <t>R_CostoOp (veh. 916)</t>
  </si>
  <si>
    <t>R_TiempoLleg (veh. 916)</t>
  </si>
  <si>
    <t>R_Tipo (veh. 917)</t>
  </si>
  <si>
    <t>R_Volumen (veh. 917)</t>
  </si>
  <si>
    <t>R_Servicio (veh. 917)</t>
  </si>
  <si>
    <t>R_CostoOp (veh. 917)</t>
  </si>
  <si>
    <t>R_TiempoLleg (veh. 917)</t>
  </si>
  <si>
    <t>R_Tipo (veh. 918)</t>
  </si>
  <si>
    <t>R_Volumen (veh. 918)</t>
  </si>
  <si>
    <t>R_Servicio (veh. 918)</t>
  </si>
  <si>
    <t>R_CostoOp (veh. 918)</t>
  </si>
  <si>
    <t>R_TiempoLleg (veh. 918)</t>
  </si>
  <si>
    <t>R_Tipo (veh. 919)</t>
  </si>
  <si>
    <t>R_Volumen (veh. 919)</t>
  </si>
  <si>
    <t>R_Servicio (veh. 919)</t>
  </si>
  <si>
    <t>R_CostoOp (veh. 919)</t>
  </si>
  <si>
    <t>R_TiempoLleg (veh. 919)</t>
  </si>
  <si>
    <t>R_Tipo (veh. 920)</t>
  </si>
  <si>
    <t>R_Volumen (veh. 920)</t>
  </si>
  <si>
    <t>R_Servicio (veh. 920)</t>
  </si>
  <si>
    <t>R_CostoOp (veh. 920)</t>
  </si>
  <si>
    <t>R_TiempoLleg (veh. 920)</t>
  </si>
  <si>
    <t>R_Tipo (veh. 921)</t>
  </si>
  <si>
    <t>R_Volumen (veh. 921)</t>
  </si>
  <si>
    <t>R_Servicio (veh. 921)</t>
  </si>
  <si>
    <t>R_CostoOp (veh. 921)</t>
  </si>
  <si>
    <t>R_TiempoLleg (veh. 921)</t>
  </si>
  <si>
    <t>R_Tipo (veh. 922)</t>
  </si>
  <si>
    <t>R_Volumen (veh. 922)</t>
  </si>
  <si>
    <t>R_Servicio (veh. 922)</t>
  </si>
  <si>
    <t>R_CostoOp (veh. 922)</t>
  </si>
  <si>
    <t>R_TiempoLleg (veh. 922)</t>
  </si>
  <si>
    <t>R_Tipo (veh. 923)</t>
  </si>
  <si>
    <t>R_Volumen (veh. 923)</t>
  </si>
  <si>
    <t>R_Servicio (veh. 923)</t>
  </si>
  <si>
    <t>R_CostoOp (veh. 923)</t>
  </si>
  <si>
    <t>R_TiempoLleg (veh. 923)</t>
  </si>
  <si>
    <t>R_Tipo (veh. 924)</t>
  </si>
  <si>
    <t>R_Volumen (veh. 924)</t>
  </si>
  <si>
    <t>R_Servicio (veh. 924)</t>
  </si>
  <si>
    <t>R_CostoOp (veh. 924)</t>
  </si>
  <si>
    <t>R_TiempoLleg (veh. 924)</t>
  </si>
  <si>
    <t>R_Tipo (veh. 925)</t>
  </si>
  <si>
    <t>R_Volumen (veh. 925)</t>
  </si>
  <si>
    <t>R_Servicio (veh. 925)</t>
  </si>
  <si>
    <t>R_CostoOp (veh. 925)</t>
  </si>
  <si>
    <t>R_TiempoLleg (veh. 925)</t>
  </si>
  <si>
    <t>R_Tipo (veh. 926)</t>
  </si>
  <si>
    <t>R_Volumen (veh. 926)</t>
  </si>
  <si>
    <t>R_Servicio (veh. 926)</t>
  </si>
  <si>
    <t>R_CostoOp (veh. 926)</t>
  </si>
  <si>
    <t>R_TiempoLleg (veh. 926)</t>
  </si>
  <si>
    <t>R_Tipo (veh. 927)</t>
  </si>
  <si>
    <t>R_Volumen (veh. 927)</t>
  </si>
  <si>
    <t>R_Servicio (veh. 927)</t>
  </si>
  <si>
    <t>R_CostoOp (veh. 927)</t>
  </si>
  <si>
    <t>R_TiempoLleg (veh. 927)</t>
  </si>
  <si>
    <t>R_Tipo (veh. 928)</t>
  </si>
  <si>
    <t>R_Volumen (veh. 928)</t>
  </si>
  <si>
    <t>R_Servicio (veh. 928)</t>
  </si>
  <si>
    <t>R_CostoOp (veh. 928)</t>
  </si>
  <si>
    <t>R_TiempoLleg (veh. 928)</t>
  </si>
  <si>
    <t>R_Tipo (veh. 929)</t>
  </si>
  <si>
    <t>R_Volumen (veh. 929)</t>
  </si>
  <si>
    <t>R_Servicio (veh. 929)</t>
  </si>
  <si>
    <t>R_CostoOp (veh. 929)</t>
  </si>
  <si>
    <t>R_TiempoLleg (veh. 929)</t>
  </si>
  <si>
    <t>R_Tipo (veh. 930)</t>
  </si>
  <si>
    <t>R_Volumen (veh. 930)</t>
  </si>
  <si>
    <t>R_Servicio (veh. 930)</t>
  </si>
  <si>
    <t>R_CostoOp (veh. 930)</t>
  </si>
  <si>
    <t>R_TiempoLleg (veh. 930)</t>
  </si>
  <si>
    <t>R_Tipo (veh. 931)</t>
  </si>
  <si>
    <t>R_Volumen (veh. 931)</t>
  </si>
  <si>
    <t>R_Servicio (veh. 931)</t>
  </si>
  <si>
    <t>R_CostoOp (veh. 931)</t>
  </si>
  <si>
    <t>R_TiempoLleg (veh. 931)</t>
  </si>
  <si>
    <t>R_Tipo (veh. 932)</t>
  </si>
  <si>
    <t>R_Volumen (veh. 932)</t>
  </si>
  <si>
    <t>R_Servicio (veh. 932)</t>
  </si>
  <si>
    <t>R_CostoOp (veh. 932)</t>
  </si>
  <si>
    <t>R_TiempoLleg (veh. 932)</t>
  </si>
  <si>
    <t>R_Tipo (veh. 933)</t>
  </si>
  <si>
    <t>R_Volumen (veh. 933)</t>
  </si>
  <si>
    <t>R_Servicio (veh. 933)</t>
  </si>
  <si>
    <t>R_CostoOp (veh. 933)</t>
  </si>
  <si>
    <t>R_TiempoLleg (veh. 933)</t>
  </si>
  <si>
    <t>R_Tipo (veh. 934)</t>
  </si>
  <si>
    <t>R_Volumen (veh. 934)</t>
  </si>
  <si>
    <t>R_Servicio (veh. 934)</t>
  </si>
  <si>
    <t>R_CostoOp (veh. 934)</t>
  </si>
  <si>
    <t>R_TiempoLleg (veh. 934)</t>
  </si>
  <si>
    <t>R_Tipo (veh. 935)</t>
  </si>
  <si>
    <t>R_Volumen (veh. 935)</t>
  </si>
  <si>
    <t>R_Servicio (veh. 935)</t>
  </si>
  <si>
    <t>R_CostoOp (veh. 935)</t>
  </si>
  <si>
    <t>R_TiempoLleg (veh. 935)</t>
  </si>
  <si>
    <t>R_Tipo (veh. 936)</t>
  </si>
  <si>
    <t>R_Volumen (veh. 936)</t>
  </si>
  <si>
    <t>R_Servicio (veh. 936)</t>
  </si>
  <si>
    <t>R_CostoOp (veh. 936)</t>
  </si>
  <si>
    <t>R_TiempoLleg (veh. 936)</t>
  </si>
  <si>
    <t>R_Tipo (veh. 937)</t>
  </si>
  <si>
    <t>R_Volumen (veh. 937)</t>
  </si>
  <si>
    <t>R_Servicio (veh. 937)</t>
  </si>
  <si>
    <t>R_CostoOp (veh. 937)</t>
  </si>
  <si>
    <t>R_TiempoLleg (veh. 937)</t>
  </si>
  <si>
    <t>R_Tipo (veh. 938)</t>
  </si>
  <si>
    <t>R_Volumen (veh. 938)</t>
  </si>
  <si>
    <t>R_Servicio (veh. 938)</t>
  </si>
  <si>
    <t>R_CostoOp (veh. 938)</t>
  </si>
  <si>
    <t>R_TiempoLleg (veh. 938)</t>
  </si>
  <si>
    <t>R_Tipo (veh. 939)</t>
  </si>
  <si>
    <t>R_Volumen (veh. 939)</t>
  </si>
  <si>
    <t>R_Servicio (veh. 939)</t>
  </si>
  <si>
    <t>R_CostoOp (veh. 939)</t>
  </si>
  <si>
    <t>R_TiempoLleg (veh. 939)</t>
  </si>
  <si>
    <t>R_Tipo (veh. 940)</t>
  </si>
  <si>
    <t>R_Volumen (veh. 940)</t>
  </si>
  <si>
    <t>R_Servicio (veh. 940)</t>
  </si>
  <si>
    <t>R_CostoOp (veh. 940)</t>
  </si>
  <si>
    <t>R_TiempoLleg (veh. 940)</t>
  </si>
  <si>
    <t>R_Tipo (veh. 941)</t>
  </si>
  <si>
    <t>R_Volumen (veh. 941)</t>
  </si>
  <si>
    <t>R_Servicio (veh. 941)</t>
  </si>
  <si>
    <t>R_CostoOp (veh. 941)</t>
  </si>
  <si>
    <t>R_TiempoLleg (veh. 941)</t>
  </si>
  <si>
    <t>R_Tipo (veh. 942)</t>
  </si>
  <si>
    <t>R_Volumen (veh. 942)</t>
  </si>
  <si>
    <t>R_Servicio (veh. 942)</t>
  </si>
  <si>
    <t>R_CostoOp (veh. 942)</t>
  </si>
  <si>
    <t>R_TiempoLleg (veh. 942)</t>
  </si>
  <si>
    <t>R_Tipo (veh. 943)</t>
  </si>
  <si>
    <t>R_Volumen (veh. 943)</t>
  </si>
  <si>
    <t>R_Servicio (veh. 943)</t>
  </si>
  <si>
    <t>R_CostoOp (veh. 943)</t>
  </si>
  <si>
    <t>R_TiempoLleg (veh. 943)</t>
  </si>
  <si>
    <t>R_Tipo (veh. 944)</t>
  </si>
  <si>
    <t>R_Volumen (veh. 944)</t>
  </si>
  <si>
    <t>R_Servicio (veh. 944)</t>
  </si>
  <si>
    <t>R_CostoOp (veh. 944)</t>
  </si>
  <si>
    <t>R_TiempoLleg (veh. 944)</t>
  </si>
  <si>
    <t>R_Tipo (veh. 945)</t>
  </si>
  <si>
    <t>R_Volumen (veh. 945)</t>
  </si>
  <si>
    <t>R_Servicio (veh. 945)</t>
  </si>
  <si>
    <t>R_CostoOp (veh. 945)</t>
  </si>
  <si>
    <t>R_TiempoLleg (veh. 945)</t>
  </si>
  <si>
    <t>R_Tipo (veh. 946)</t>
  </si>
  <si>
    <t>R_Volumen (veh. 946)</t>
  </si>
  <si>
    <t>R_Servicio (veh. 946)</t>
  </si>
  <si>
    <t>R_CostoOp (veh. 946)</t>
  </si>
  <si>
    <t>R_TiempoLleg (veh. 946)</t>
  </si>
  <si>
    <t>R_Tipo (veh. 947)</t>
  </si>
  <si>
    <t>R_Volumen (veh. 947)</t>
  </si>
  <si>
    <t>R_Servicio (veh. 947)</t>
  </si>
  <si>
    <t>R_CostoOp (veh. 947)</t>
  </si>
  <si>
    <t>R_TiempoLleg (veh. 947)</t>
  </si>
  <si>
    <t>R_Tipo (veh. 948)</t>
  </si>
  <si>
    <t>R_Volumen (veh. 948)</t>
  </si>
  <si>
    <t>R_Servicio (veh. 948)</t>
  </si>
  <si>
    <t>R_CostoOp (veh. 948)</t>
  </si>
  <si>
    <t>R_TiempoLleg (veh. 948)</t>
  </si>
  <si>
    <t>R_Tipo (veh. 949)</t>
  </si>
  <si>
    <t>R_Volumen (veh. 949)</t>
  </si>
  <si>
    <t>R_Servicio (veh. 949)</t>
  </si>
  <si>
    <t>R_CostoOp (veh. 949)</t>
  </si>
  <si>
    <t>R_TiempoLleg (veh. 949)</t>
  </si>
  <si>
    <t>R_Tipo (veh. 950)</t>
  </si>
  <si>
    <t>R_Volumen (veh. 950)</t>
  </si>
  <si>
    <t>R_Servicio (veh. 950)</t>
  </si>
  <si>
    <t>R_CostoOp (veh. 950)</t>
  </si>
  <si>
    <t>R_TiempoLleg (veh. 950)</t>
  </si>
  <si>
    <t>R_Tipo (veh. 951)</t>
  </si>
  <si>
    <t>R_Volumen (veh. 951)</t>
  </si>
  <si>
    <t>R_Servicio (veh. 951)</t>
  </si>
  <si>
    <t>R_CostoOp (veh. 951)</t>
  </si>
  <si>
    <t>R_TiempoLleg (veh. 951)</t>
  </si>
  <si>
    <t>R_Tipo (veh. 952)</t>
  </si>
  <si>
    <t>R_Volumen (veh. 952)</t>
  </si>
  <si>
    <t>R_Servicio (veh. 952)</t>
  </si>
  <si>
    <t>R_CostoOp (veh. 952)</t>
  </si>
  <si>
    <t>R_TiempoLleg (veh. 952)</t>
  </si>
  <si>
    <t>R_Tipo (veh. 953)</t>
  </si>
  <si>
    <t>R_Volumen (veh. 953)</t>
  </si>
  <si>
    <t>R_Servicio (veh. 953)</t>
  </si>
  <si>
    <t>R_CostoOp (veh. 953)</t>
  </si>
  <si>
    <t>R_TiempoLleg (veh. 953)</t>
  </si>
  <si>
    <t>R_Tipo (veh. 954)</t>
  </si>
  <si>
    <t>R_Volumen (veh. 954)</t>
  </si>
  <si>
    <t>R_Servicio (veh. 954)</t>
  </si>
  <si>
    <t>R_CostoOp (veh. 954)</t>
  </si>
  <si>
    <t>R_TiempoLleg (veh. 954)</t>
  </si>
  <si>
    <t>R_Tipo (veh. 955)</t>
  </si>
  <si>
    <t>R_Volumen (veh. 955)</t>
  </si>
  <si>
    <t>R_Servicio (veh. 955)</t>
  </si>
  <si>
    <t>R_CostoOp (veh. 955)</t>
  </si>
  <si>
    <t>R_TiempoLleg (veh. 955)</t>
  </si>
  <si>
    <t>R_Tipo (veh. 956)</t>
  </si>
  <si>
    <t>R_Volumen (veh. 956)</t>
  </si>
  <si>
    <t>R_Servicio (veh. 956)</t>
  </si>
  <si>
    <t>R_CostoOp (veh. 956)</t>
  </si>
  <si>
    <t>R_TiempoLleg (veh. 956)</t>
  </si>
  <si>
    <t>R_Tipo (veh. 957)</t>
  </si>
  <si>
    <t>R_Volumen (veh. 957)</t>
  </si>
  <si>
    <t>R_Servicio (veh. 957)</t>
  </si>
  <si>
    <t>R_CostoOp (veh. 957)</t>
  </si>
  <si>
    <t>R_TiempoLleg (veh. 957)</t>
  </si>
  <si>
    <t>R_Tipo (veh. 958)</t>
  </si>
  <si>
    <t>R_Volumen (veh. 958)</t>
  </si>
  <si>
    <t>R_Servicio (veh. 958)</t>
  </si>
  <si>
    <t>R_CostoOp (veh. 958)</t>
  </si>
  <si>
    <t>R_TiempoLleg (veh. 958)</t>
  </si>
  <si>
    <t>R_Tipo (veh. 959)</t>
  </si>
  <si>
    <t>R_Volumen (veh. 959)</t>
  </si>
  <si>
    <t>R_Servicio (veh. 959)</t>
  </si>
  <si>
    <t>R_CostoOp (veh. 959)</t>
  </si>
  <si>
    <t>R_TiempoLleg (veh. 959)</t>
  </si>
  <si>
    <t>R_Tipo (veh. 960)</t>
  </si>
  <si>
    <t>R_Volumen (veh. 960)</t>
  </si>
  <si>
    <t>R_Servicio (veh. 960)</t>
  </si>
  <si>
    <t>R_CostoOp (veh. 960)</t>
  </si>
  <si>
    <t>R_TiempoLleg (veh. 960)</t>
  </si>
  <si>
    <t>R_Tipo (veh. 961)</t>
  </si>
  <si>
    <t>R_Volumen (veh. 961)</t>
  </si>
  <si>
    <t>R_Servicio (veh. 961)</t>
  </si>
  <si>
    <t>R_CostoOp (veh. 961)</t>
  </si>
  <si>
    <t>R_TiempoLleg (veh. 961)</t>
  </si>
  <si>
    <t>R_Tipo (veh. 962)</t>
  </si>
  <si>
    <t>R_Volumen (veh. 962)</t>
  </si>
  <si>
    <t>R_Servicio (veh. 962)</t>
  </si>
  <si>
    <t>R_CostoOp (veh. 962)</t>
  </si>
  <si>
    <t>R_TiempoLleg (veh. 962)</t>
  </si>
  <si>
    <t>R_Tipo (veh. 963)</t>
  </si>
  <si>
    <t>R_Volumen (veh. 963)</t>
  </si>
  <si>
    <t>R_Servicio (veh. 963)</t>
  </si>
  <si>
    <t>R_CostoOp (veh. 963)</t>
  </si>
  <si>
    <t>R_TiempoLleg (veh. 963)</t>
  </si>
  <si>
    <t>R_Tipo (veh. 964)</t>
  </si>
  <si>
    <t>R_Volumen (veh. 964)</t>
  </si>
  <si>
    <t>R_Servicio (veh. 964)</t>
  </si>
  <si>
    <t>R_CostoOp (veh. 964)</t>
  </si>
  <si>
    <t>R_TiempoLleg (veh. 964)</t>
  </si>
  <si>
    <t>R_Tipo (veh. 965)</t>
  </si>
  <si>
    <t>R_Volumen (veh. 965)</t>
  </si>
  <si>
    <t>R_Servicio (veh. 965)</t>
  </si>
  <si>
    <t>R_CostoOp (veh. 965)</t>
  </si>
  <si>
    <t>R_TiempoLleg (veh. 965)</t>
  </si>
  <si>
    <t>R_Tipo (veh. 966)</t>
  </si>
  <si>
    <t>R_Volumen (veh. 966)</t>
  </si>
  <si>
    <t>R_Servicio (veh. 966)</t>
  </si>
  <si>
    <t>R_CostoOp (veh. 966)</t>
  </si>
  <si>
    <t>R_TiempoLleg (veh. 966)</t>
  </si>
  <si>
    <t>R_Tipo (veh. 967)</t>
  </si>
  <si>
    <t>R_Volumen (veh. 967)</t>
  </si>
  <si>
    <t>R_Servicio (veh. 967)</t>
  </si>
  <si>
    <t>R_CostoOp (veh. 967)</t>
  </si>
  <si>
    <t>R_TiempoLleg (veh. 967)</t>
  </si>
  <si>
    <t>R_Tipo (veh. 968)</t>
  </si>
  <si>
    <t>R_Volumen (veh. 968)</t>
  </si>
  <si>
    <t>R_Servicio (veh. 968)</t>
  </si>
  <si>
    <t>R_CostoOp (veh. 968)</t>
  </si>
  <si>
    <t>R_TiempoLleg (veh. 968)</t>
  </si>
  <si>
    <t>R_Tipo (veh. 969)</t>
  </si>
  <si>
    <t>R_Volumen (veh. 969)</t>
  </si>
  <si>
    <t>R_Servicio (veh. 969)</t>
  </si>
  <si>
    <t>R_CostoOp (veh. 969)</t>
  </si>
  <si>
    <t>R_TiempoLleg (veh. 969)</t>
  </si>
  <si>
    <t>R_Tipo (veh. 970)</t>
  </si>
  <si>
    <t>R_Volumen (veh. 970)</t>
  </si>
  <si>
    <t>R_Servicio (veh. 970)</t>
  </si>
  <si>
    <t>R_CostoOp (veh. 970)</t>
  </si>
  <si>
    <t>R_TiempoLleg (veh. 970)</t>
  </si>
  <si>
    <t>R_Tipo (veh. 971)</t>
  </si>
  <si>
    <t>R_Volumen (veh. 971)</t>
  </si>
  <si>
    <t>R_Servicio (veh. 971)</t>
  </si>
  <si>
    <t>R_CostoOp (veh. 971)</t>
  </si>
  <si>
    <t>R_TiempoLleg (veh. 971)</t>
  </si>
  <si>
    <t>R_Tipo (veh. 972)</t>
  </si>
  <si>
    <t>R_Volumen (veh. 972)</t>
  </si>
  <si>
    <t>R_Servicio (veh. 972)</t>
  </si>
  <si>
    <t>R_CostoOp (veh. 972)</t>
  </si>
  <si>
    <t>R_TiempoLleg (veh. 972)</t>
  </si>
  <si>
    <t>R_Tipo (veh. 973)</t>
  </si>
  <si>
    <t>R_Volumen (veh. 973)</t>
  </si>
  <si>
    <t>R_Servicio (veh. 973)</t>
  </si>
  <si>
    <t>R_CostoOp (veh. 973)</t>
  </si>
  <si>
    <t>R_TiempoLleg (veh. 973)</t>
  </si>
  <si>
    <t>R_Tipo (veh. 974)</t>
  </si>
  <si>
    <t>R_Volumen (veh. 974)</t>
  </si>
  <si>
    <t>R_Servicio (veh. 974)</t>
  </si>
  <si>
    <t>R_CostoOp (veh. 974)</t>
  </si>
  <si>
    <t>R_TiempoLleg (veh. 974)</t>
  </si>
  <si>
    <t>R_Tipo (veh. 975)</t>
  </si>
  <si>
    <t>R_Volumen (veh. 975)</t>
  </si>
  <si>
    <t>R_Servicio (veh. 975)</t>
  </si>
  <si>
    <t>R_CostoOp (veh. 975)</t>
  </si>
  <si>
    <t>R_TiempoLleg (veh. 975)</t>
  </si>
  <si>
    <t>R_Tipo (veh. 976)</t>
  </si>
  <si>
    <t>R_Volumen (veh. 976)</t>
  </si>
  <si>
    <t>R_Servicio (veh. 976)</t>
  </si>
  <si>
    <t>R_CostoOp (veh. 976)</t>
  </si>
  <si>
    <t>R_TiempoLleg (veh. 976)</t>
  </si>
  <si>
    <t>R_Tipo (veh. 977)</t>
  </si>
  <si>
    <t>R_Volumen (veh. 977)</t>
  </si>
  <si>
    <t>R_Servicio (veh. 977)</t>
  </si>
  <si>
    <t>R_CostoOp (veh. 977)</t>
  </si>
  <si>
    <t>R_TiempoLleg (veh. 977)</t>
  </si>
  <si>
    <t>R_Tipo (veh. 978)</t>
  </si>
  <si>
    <t>R_Volumen (veh. 978)</t>
  </si>
  <si>
    <t>R_Servicio (veh. 978)</t>
  </si>
  <si>
    <t>R_CostoOp (veh. 978)</t>
  </si>
  <si>
    <t>R_TiempoLleg (veh. 978)</t>
  </si>
  <si>
    <t>R_Tipo (veh. 979)</t>
  </si>
  <si>
    <t>R_Volumen (veh. 979)</t>
  </si>
  <si>
    <t>R_Servicio (veh. 979)</t>
  </si>
  <si>
    <t>R_CostoOp (veh. 979)</t>
  </si>
  <si>
    <t>R_TiempoLleg (veh. 979)</t>
  </si>
  <si>
    <t>R_Tipo (veh. 980)</t>
  </si>
  <si>
    <t>R_Volumen (veh. 980)</t>
  </si>
  <si>
    <t>R_Servicio (veh. 980)</t>
  </si>
  <si>
    <t>R_CostoOp (veh. 980)</t>
  </si>
  <si>
    <t>R_TiempoLleg (veh. 980)</t>
  </si>
  <si>
    <t>R_Tipo (veh. 981)</t>
  </si>
  <si>
    <t>R_Volumen (veh. 981)</t>
  </si>
  <si>
    <t>R_Servicio (veh. 981)</t>
  </si>
  <si>
    <t>R_CostoOp (veh. 981)</t>
  </si>
  <si>
    <t>R_TiempoLleg (veh. 981)</t>
  </si>
  <si>
    <t>R_Tipo (veh. 982)</t>
  </si>
  <si>
    <t>R_Volumen (veh. 982)</t>
  </si>
  <si>
    <t>R_Servicio (veh. 982)</t>
  </si>
  <si>
    <t>R_CostoOp (veh. 982)</t>
  </si>
  <si>
    <t>R_TiempoLleg (veh. 982)</t>
  </si>
  <si>
    <t>R_Tipo (veh. 983)</t>
  </si>
  <si>
    <t>R_Volumen (veh. 983)</t>
  </si>
  <si>
    <t>R_Servicio (veh. 983)</t>
  </si>
  <si>
    <t>R_CostoOp (veh. 983)</t>
  </si>
  <si>
    <t>R_TiempoLleg (veh. 983)</t>
  </si>
  <si>
    <t>R_Tipo (veh. 984)</t>
  </si>
  <si>
    <t>R_Volumen (veh. 984)</t>
  </si>
  <si>
    <t>R_Servicio (veh. 984)</t>
  </si>
  <si>
    <t>R_CostoOp (veh. 984)</t>
  </si>
  <si>
    <t>R_TiempoLleg (veh. 984)</t>
  </si>
  <si>
    <t>R_Tipo (veh. 985)</t>
  </si>
  <si>
    <t>R_Volumen (veh. 985)</t>
  </si>
  <si>
    <t>R_Servicio (veh. 985)</t>
  </si>
  <si>
    <t>R_CostoOp (veh. 985)</t>
  </si>
  <si>
    <t>R_TiempoLleg (veh. 985)</t>
  </si>
  <si>
    <t>R_Tipo (veh. 986)</t>
  </si>
  <si>
    <t>R_Volumen (veh. 986)</t>
  </si>
  <si>
    <t>R_Servicio (veh. 986)</t>
  </si>
  <si>
    <t>R_CostoOp (veh. 986)</t>
  </si>
  <si>
    <t>R_TiempoLleg (veh. 986)</t>
  </si>
  <si>
    <t>R_Tipo (veh. 987)</t>
  </si>
  <si>
    <t>R_Volumen (veh. 987)</t>
  </si>
  <si>
    <t>R_Servicio (veh. 987)</t>
  </si>
  <si>
    <t>R_CostoOp (veh. 987)</t>
  </si>
  <si>
    <t>R_TiempoLleg (veh. 987)</t>
  </si>
  <si>
    <t>R_Tipo (veh. 988)</t>
  </si>
  <si>
    <t>R_Volumen (veh. 988)</t>
  </si>
  <si>
    <t>R_Servicio (veh. 988)</t>
  </si>
  <si>
    <t>R_CostoOp (veh. 988)</t>
  </si>
  <si>
    <t>R_TiempoLleg (veh. 988)</t>
  </si>
  <si>
    <t>R_Tipo (veh. 989)</t>
  </si>
  <si>
    <t>R_Volumen (veh. 989)</t>
  </si>
  <si>
    <t>R_Servicio (veh. 989)</t>
  </si>
  <si>
    <t>R_CostoOp (veh. 989)</t>
  </si>
  <si>
    <t>R_TiempoLleg (veh. 989)</t>
  </si>
  <si>
    <t>R_Tipo (veh. 990)</t>
  </si>
  <si>
    <t>R_Volumen (veh. 990)</t>
  </si>
  <si>
    <t>R_Servicio (veh. 990)</t>
  </si>
  <si>
    <t>R_CostoOp (veh. 990)</t>
  </si>
  <si>
    <t>R_TiempoLleg (veh. 990)</t>
  </si>
  <si>
    <t>R_Tipo (veh. 991)</t>
  </si>
  <si>
    <t>R_Volumen (veh. 991)</t>
  </si>
  <si>
    <t>R_Servicio (veh. 991)</t>
  </si>
  <si>
    <t>R_CostoOp (veh. 991)</t>
  </si>
  <si>
    <t>R_TiempoLleg (veh. 991)</t>
  </si>
  <si>
    <t>R_Tipo (veh. 992)</t>
  </si>
  <si>
    <t>R_Volumen (veh. 992)</t>
  </si>
  <si>
    <t>R_Servicio (veh. 992)</t>
  </si>
  <si>
    <t>R_CostoOp (veh. 992)</t>
  </si>
  <si>
    <t>R_TiempoLleg (veh. 992)</t>
  </si>
  <si>
    <t>R_Tipo (veh. 993)</t>
  </si>
  <si>
    <t>R_Volumen (veh. 993)</t>
  </si>
  <si>
    <t>R_Servicio (veh. 993)</t>
  </si>
  <si>
    <t>R_CostoOp (veh. 993)</t>
  </si>
  <si>
    <t>R_TiempoLleg (veh. 993)</t>
  </si>
  <si>
    <t>R_Tipo (veh. 994)</t>
  </si>
  <si>
    <t>R_Volumen (veh. 994)</t>
  </si>
  <si>
    <t>R_Servicio (veh. 994)</t>
  </si>
  <si>
    <t>R_CostoOp (veh. 994)</t>
  </si>
  <si>
    <t>R_TiempoLleg (veh. 994)</t>
  </si>
  <si>
    <t>R_Tipo (veh. 995)</t>
  </si>
  <si>
    <t>R_Volumen (veh. 995)</t>
  </si>
  <si>
    <t>R_Servicio (veh. 995)</t>
  </si>
  <si>
    <t>R_CostoOp (veh. 995)</t>
  </si>
  <si>
    <t>R_TiempoLleg (veh. 995)</t>
  </si>
  <si>
    <t>R_Tipo (veh. 996)</t>
  </si>
  <si>
    <t>R_Volumen (veh. 996)</t>
  </si>
  <si>
    <t>R_Servicio (veh. 996)</t>
  </si>
  <si>
    <t>R_CostoOp (veh. 996)</t>
  </si>
  <si>
    <t>R_TiempoLleg (veh. 996)</t>
  </si>
  <si>
    <t>R_Tipo (veh. 997)</t>
  </si>
  <si>
    <t>R_Volumen (veh. 997)</t>
  </si>
  <si>
    <t>R_Servicio (veh. 997)</t>
  </si>
  <si>
    <t>R_CostoOp (veh. 997)</t>
  </si>
  <si>
    <t>R_TiempoLleg (veh. 997)</t>
  </si>
  <si>
    <t>R_Tipo (veh. 998)</t>
  </si>
  <si>
    <t>R_Volumen (veh. 998)</t>
  </si>
  <si>
    <t>R_Servicio (veh. 998)</t>
  </si>
  <si>
    <t>R_CostoOp (veh. 998)</t>
  </si>
  <si>
    <t>R_TiempoLleg (veh. 998)</t>
  </si>
  <si>
    <t>R_Tipo (veh. 999)</t>
  </si>
  <si>
    <t>R_Volumen (veh. 999)</t>
  </si>
  <si>
    <t>R_Servicio (veh. 999)</t>
  </si>
  <si>
    <t>R_CostoOp (veh. 999)</t>
  </si>
  <si>
    <t>R_TiempoLleg (veh. 999)</t>
  </si>
  <si>
    <t>R_Tipo (veh. 1000)</t>
  </si>
  <si>
    <t>R_Volumen (veh. 1000)</t>
  </si>
  <si>
    <t>R_Servicio (veh. 1000)</t>
  </si>
  <si>
    <t>R_CostoOp (veh. 1000)</t>
  </si>
  <si>
    <t>R_TiempoLleg (veh. 1000)</t>
  </si>
  <si>
    <t>R_Tipo (veh. 1001)</t>
  </si>
  <si>
    <t>R_Volumen (veh. 1001)</t>
  </si>
  <si>
    <t>R_Servicio (veh. 1001)</t>
  </si>
  <si>
    <t>R_CostoOp (veh. 1001)</t>
  </si>
  <si>
    <t>R_TiempoLleg (veh. 1001)</t>
  </si>
  <si>
    <t>TABLA DE SIMULACIÓN - ESTACIÓN DE COMBUSTIBLES | 1000 Vehículos | Escenario activo: ver Parámetros!B6</t>
  </si>
  <si>
    <t>ID
Veh.</t>
  </si>
  <si>
    <t>R_Tipo</t>
  </si>
  <si>
    <t>Tipo Vehículo</t>
  </si>
  <si>
    <t>R_Vol</t>
  </si>
  <si>
    <t>Volumen
(L)</t>
  </si>
  <si>
    <t>R_Serv</t>
  </si>
  <si>
    <t>T.Servicio
(min)</t>
  </si>
  <si>
    <t>R_CostoOp</t>
  </si>
  <si>
    <t>Costo Op.
(Bs/min)</t>
  </si>
  <si>
    <t>R_TLleg</t>
  </si>
  <si>
    <t>T.e/Llegadas
(min)</t>
  </si>
  <si>
    <t>Hora
Llegada</t>
  </si>
  <si>
    <t>Costo
Estim.SUBV</t>
  </si>
  <si>
    <t>Costo
Estim.INT</t>
  </si>
  <si>
    <t>Decisión</t>
  </si>
  <si>
    <t>Surtidor
Asig.</t>
  </si>
  <si>
    <t>Inicio
Servicio</t>
  </si>
  <si>
    <t>Fin
Servicio</t>
  </si>
  <si>
    <t>T.Espera
(min)</t>
  </si>
  <si>
    <t>Fin.S1</t>
  </si>
  <si>
    <t>Fin.S2</t>
  </si>
  <si>
    <t>Fin.S3</t>
  </si>
  <si>
    <t>Fin.S4</t>
  </si>
  <si>
    <t>Trans. Pesado</t>
  </si>
  <si>
    <t>SUBV</t>
  </si>
  <si>
    <t>Cisterna</t>
  </si>
  <si>
    <t>Auto Particular</t>
  </si>
  <si>
    <t>Minibús</t>
  </si>
  <si>
    <t>Volqueta</t>
  </si>
  <si>
    <t>Motocicleta</t>
  </si>
  <si>
    <t>Camión Med.</t>
  </si>
  <si>
    <t>Flota Interdep.</t>
  </si>
  <si>
    <t>ESTADÍSTICAS DEL ESCENARIO ACTIVO</t>
  </si>
  <si>
    <t>Los valores se calculan automáticamente desde la hoja Simulación</t>
  </si>
  <si>
    <t>PARÁMETROS DEL ESCENARIO ACTIVO</t>
  </si>
  <si>
    <t>Escenario N°</t>
  </si>
  <si>
    <t>Factor Costo Oport.</t>
  </si>
  <si>
    <t>mult.</t>
  </si>
  <si>
    <t>Precio Internacional</t>
  </si>
  <si>
    <t>Surtidores Subv.</t>
  </si>
  <si>
    <t>unid.</t>
  </si>
  <si>
    <t>MÉTRICAS DE DESEMPEÑO</t>
  </si>
  <si>
    <t>Métrica</t>
  </si>
  <si>
    <t>Interpretación</t>
  </si>
  <si>
    <t>Total Vehículos Simulados</t>
  </si>
  <si>
    <t>vehículos</t>
  </si>
  <si>
    <t>Número total de vehículos en la simulación</t>
  </si>
  <si>
    <t>Vehículos Canal Subvencionado</t>
  </si>
  <si>
    <t>Eligieron el surtidor subvencionado</t>
  </si>
  <si>
    <t>Vehículos Canal Internacional</t>
  </si>
  <si>
    <t>Fueron redirigidos al canal internacional</t>
  </si>
  <si>
    <t>% de Vehículos Redirigidos</t>
  </si>
  <si>
    <t>%</t>
  </si>
  <si>
    <t>Porcentaje que eligió canal internacional</t>
  </si>
  <si>
    <t>Tiempo Promedio de Espera</t>
  </si>
  <si>
    <t>Promedio de tiempo en cola (todos los vehículos)</t>
  </si>
  <si>
    <t>Tiempo Máximo de Espera</t>
  </si>
  <si>
    <t>El mayor tiempo de espera registrado</t>
  </si>
  <si>
    <t>Tiempo Promedio de Espera (solo SUBV)</t>
  </si>
  <si>
    <t>Espera promedio en canal subvencionado</t>
  </si>
  <si>
    <t>Volumen Total Cargado</t>
  </si>
  <si>
    <t>Total de combustible despachado</t>
  </si>
  <si>
    <t>Volumen Promedio por Vehículo</t>
  </si>
  <si>
    <t>Litros/veh</t>
  </si>
  <si>
    <t>Promedio de litros por atención</t>
  </si>
  <si>
    <t>Costo Promedio Op. (Bs/min)</t>
  </si>
  <si>
    <t>Bs/min</t>
  </si>
  <si>
    <t>Valor del tiempo del conductor (promedio)</t>
  </si>
  <si>
    <t>Tiempo Total de Simulación</t>
  </si>
  <si>
    <t>Duración total del período simulado</t>
  </si>
  <si>
    <t>Utilización Prom. Surtidores (aprox.)</t>
  </si>
  <si>
    <t>fracción</t>
  </si>
  <si>
    <t>Fracción del tiempo que los surtidores estuvieron ocupados</t>
  </si>
  <si>
    <t>DISTRIBUCIÓN POR TIPO DE VEHÍCULO</t>
  </si>
  <si>
    <t>Tipo de Vehículo</t>
  </si>
  <si>
    <t>Frec. Observada</t>
  </si>
  <si>
    <t>% del Total</t>
  </si>
  <si>
    <t>T.Espera Prom.</t>
  </si>
  <si>
    <t>Volumen Prom.</t>
  </si>
  <si>
    <t>Costo Op. Prom.</t>
  </si>
  <si>
    <t>Instrucciones:</t>
  </si>
  <si>
    <t>Escenario Activo (1-16):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</si>
</sst>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quot;Bs&quot;#,##0.00"/>
    <numFmt numFmtId="167" formatCode="0.00&quot;%&quot;"/>
  </numFmts>
  <fonts count="25" x14ac:knownFonts="1">
    <font>
      <sz val="10"/>
      <color rgb="FF000000"/>
      <name val="Arial"/>
      <scheme val="minor"/>
    </font>
    <font>
      <b/>
      <sz val="14"/>
      <color rgb="FFFFFFFF"/>
      <name val="Arial"/>
      <scheme val="minor"/>
    </font>
    <font>
      <sz val="10"/>
      <color rgb="FFFFFFFF"/>
      <name val="Arial"/>
      <scheme val="minor"/>
    </font>
    <font>
      <b/>
      <sz val="12"/>
      <color rgb="FF1E3A5F"/>
      <name val="Arial"/>
      <scheme val="minor"/>
    </font>
    <font>
      <sz val="10"/>
      <color theme="1"/>
      <name val="Arial"/>
      <scheme val="minor"/>
    </font>
    <font>
      <b/>
      <sz val="11"/>
      <color rgb="FF1E3A5F"/>
      <name val="Arial"/>
      <scheme val="minor"/>
    </font>
    <font>
      <sz val="10"/>
      <name val="Arial"/>
    </font>
    <font>
      <b/>
      <sz val="10"/>
      <color rgb="FFFFFFFF"/>
      <name val="Arial"/>
      <scheme val="minor"/>
    </font>
    <font>
      <b/>
      <sz val="10"/>
      <color theme="1"/>
      <name val="Arial"/>
      <scheme val="minor"/>
    </font>
    <font>
      <b/>
      <sz val="14"/>
      <color theme="1"/>
      <name val="Arial"/>
      <scheme val="minor"/>
    </font>
    <font>
      <i/>
      <sz val="10"/>
      <color rgb="FF888888"/>
      <name val="Arial"/>
      <scheme val="minor"/>
    </font>
    <font>
      <b/>
      <sz val="10"/>
      <color theme="1"/>
      <name val="Arial"/>
    </font>
    <font>
      <b/>
      <sz val="11"/>
      <color theme="0"/>
      <name val="Arial"/>
      <scheme val="minor"/>
    </font>
    <font>
      <b/>
      <sz val="10"/>
      <color rgb="FF1E3A5F"/>
      <name val="Arial"/>
      <scheme val="minor"/>
    </font>
    <font>
      <b/>
      <sz val="10"/>
      <color rgb="FF000000"/>
      <name val="Arial"/>
      <scheme val="minor"/>
    </font>
    <font>
      <sz val="10"/>
      <color rgb="FF000000"/>
      <name val="Arial"/>
      <scheme val="minor"/>
    </font>
    <font>
      <b/>
      <sz val="10"/>
      <color rgb="FF2E7D32"/>
      <name val="Arial"/>
      <scheme val="minor"/>
    </font>
    <font>
      <sz val="10"/>
      <color rgb="FF2E7D32"/>
      <name val="Arial"/>
      <scheme val="minor"/>
    </font>
    <font>
      <b/>
      <sz val="11"/>
      <color rgb="FFFFFFFF"/>
      <name val="Arial"/>
    </font>
    <font>
      <b/>
      <sz val="10"/>
      <color rgb="FFFFFFFF"/>
      <name val="Arial"/>
    </font>
    <font>
      <b/>
      <sz val="11"/>
      <color rgb="FFFFFFFF"/>
      <name val="Arial"/>
      <scheme val="minor"/>
    </font>
    <font>
      <sz val="10"/>
      <color rgb="FF666666"/>
      <name val="Arial"/>
      <scheme val="minor"/>
    </font>
    <font>
      <sz val="10"/>
      <color rgb="FF7B1FA2"/>
      <name val="Arial"/>
      <scheme val="minor"/>
    </font>
    <font>
      <b/>
      <sz val="13"/>
      <color rgb="FFFFFFFF"/>
      <name val="Arial"/>
      <scheme val="minor"/>
    </font>
    <font>
      <i/>
      <sz val="10"/>
      <color rgb="FF1E3A5F"/>
      <name val="Arial"/>
      <scheme val="minor"/>
    </font>
  </fonts>
  <fills count="18">
    <fill>
      <patternFill patternType="none"/>
    </fill>
    <fill>
      <patternFill patternType="gray125"/>
    </fill>
    <fill>
      <patternFill patternType="solid">
        <fgColor rgb="FF1E3A5F"/>
        <bgColor rgb="FF1E3A5F"/>
      </patternFill>
    </fill>
    <fill>
      <patternFill patternType="solid">
        <fgColor rgb="FF2E5F8F"/>
        <bgColor rgb="FF2E5F8F"/>
      </patternFill>
    </fill>
    <fill>
      <patternFill patternType="solid">
        <fgColor rgb="FFDCE6F1"/>
        <bgColor rgb="FFDCE6F1"/>
      </patternFill>
    </fill>
    <fill>
      <patternFill patternType="solid">
        <fgColor rgb="FF00FF00"/>
        <bgColor rgb="FF00FF00"/>
      </patternFill>
    </fill>
    <fill>
      <patternFill patternType="solid">
        <fgColor rgb="FFF0F7FF"/>
        <bgColor rgb="FFF0F7FF"/>
      </patternFill>
    </fill>
    <fill>
      <patternFill patternType="solid">
        <fgColor rgb="FFFFFFFF"/>
        <bgColor rgb="FFFFFFFF"/>
      </patternFill>
    </fill>
    <fill>
      <patternFill patternType="solid">
        <fgColor rgb="FF4472C4"/>
        <bgColor rgb="FF4472C4"/>
      </patternFill>
    </fill>
    <fill>
      <patternFill patternType="solid">
        <fgColor rgb="FFF8F9FA"/>
        <bgColor rgb="FFF8F9FA"/>
      </patternFill>
    </fill>
    <fill>
      <patternFill patternType="solid">
        <fgColor rgb="FFFFF3E0"/>
        <bgColor rgb="FFFFF3E0"/>
      </patternFill>
    </fill>
    <fill>
      <patternFill patternType="solid">
        <fgColor rgb="FFE8F5E9"/>
        <bgColor rgb="FFE8F5E9"/>
      </patternFill>
    </fill>
    <fill>
      <patternFill patternType="solid">
        <fgColor rgb="FF7B1FA2"/>
        <bgColor rgb="FF7B1FA2"/>
      </patternFill>
    </fill>
    <fill>
      <patternFill patternType="solid">
        <fgColor rgb="FFF0F0F0"/>
        <bgColor rgb="FFF0F0F0"/>
      </patternFill>
    </fill>
    <fill>
      <patternFill patternType="solid">
        <fgColor rgb="FFFAFAFA"/>
        <bgColor rgb="FFFAFAFA"/>
      </patternFill>
    </fill>
    <fill>
      <patternFill patternType="solid">
        <fgColor rgb="FFF3E5F5"/>
        <bgColor rgb="FFF3E5F5"/>
      </patternFill>
    </fill>
    <fill>
      <patternFill patternType="solid">
        <fgColor rgb="FFE8EAF6"/>
        <bgColor rgb="FFE8EAF6"/>
      </patternFill>
    </fill>
    <fill>
      <patternFill patternType="solid">
        <fgColor rgb="FF3949AB"/>
        <bgColor rgb="FF3949AB"/>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97">
    <xf numFmtId="0" fontId="0" fillId="0" borderId="0" xfId="0" applyFont="1" applyAlignment="1"/>
    <xf numFmtId="0" fontId="5" fillId="0" borderId="0" xfId="0" applyFont="1" applyAlignment="1"/>
    <xf numFmtId="0" fontId="7" fillId="2" borderId="4" xfId="0" applyFont="1" applyFill="1" applyBorder="1" applyAlignment="1"/>
    <xf numFmtId="0" fontId="8" fillId="0" borderId="4" xfId="0" applyFont="1" applyBorder="1" applyAlignment="1">
      <alignment horizontal="center" vertical="center" wrapText="1"/>
    </xf>
    <xf numFmtId="0" fontId="9" fillId="5" borderId="4" xfId="0" applyFont="1" applyFill="1" applyBorder="1" applyAlignment="1">
      <alignment horizontal="center" vertical="center" wrapText="1"/>
    </xf>
    <xf numFmtId="0" fontId="8" fillId="6" borderId="4" xfId="0" applyFont="1" applyFill="1" applyBorder="1" applyAlignment="1">
      <alignment horizontal="center"/>
    </xf>
    <xf numFmtId="0" fontId="4" fillId="6" borderId="4" xfId="0" applyFont="1" applyFill="1" applyBorder="1" applyAlignment="1">
      <alignment horizontal="center"/>
    </xf>
    <xf numFmtId="0" fontId="8" fillId="7" borderId="4" xfId="0" applyFont="1" applyFill="1" applyBorder="1" applyAlignment="1">
      <alignment horizontal="center"/>
    </xf>
    <xf numFmtId="0" fontId="4" fillId="7" borderId="4" xfId="0" applyFont="1" applyFill="1" applyBorder="1" applyAlignment="1">
      <alignment horizontal="center"/>
    </xf>
    <xf numFmtId="0" fontId="7" fillId="8" borderId="4" xfId="0" applyFont="1" applyFill="1" applyBorder="1" applyAlignment="1">
      <alignment horizontal="center"/>
    </xf>
    <xf numFmtId="0" fontId="8" fillId="9" borderId="4" xfId="0" applyFont="1" applyFill="1" applyBorder="1" applyAlignment="1">
      <alignment horizontal="center"/>
    </xf>
    <xf numFmtId="164" fontId="4" fillId="5" borderId="4" xfId="0" applyNumberFormat="1" applyFont="1" applyFill="1" applyBorder="1" applyAlignment="1">
      <alignment horizontal="center"/>
    </xf>
    <xf numFmtId="0" fontId="4" fillId="9" borderId="4" xfId="0" applyFont="1" applyFill="1" applyBorder="1" applyAlignment="1">
      <alignment horizontal="center"/>
    </xf>
    <xf numFmtId="0" fontId="8" fillId="0" borderId="4" xfId="0" applyFont="1" applyBorder="1" applyAlignment="1">
      <alignment horizontal="center"/>
    </xf>
    <xf numFmtId="0" fontId="4" fillId="0" borderId="4" xfId="0" applyFont="1" applyBorder="1" applyAlignment="1">
      <alignment horizontal="center"/>
    </xf>
    <xf numFmtId="0" fontId="11" fillId="10" borderId="4" xfId="0" applyFont="1" applyFill="1" applyBorder="1" applyAlignment="1">
      <alignment horizontal="center"/>
    </xf>
    <xf numFmtId="164" fontId="11" fillId="10" borderId="4" xfId="0" applyNumberFormat="1" applyFont="1" applyFill="1" applyBorder="1" applyAlignment="1">
      <alignment horizontal="center"/>
    </xf>
    <xf numFmtId="0" fontId="4" fillId="10" borderId="4" xfId="0" applyFont="1" applyFill="1" applyBorder="1" applyAlignment="1">
      <alignment horizontal="center"/>
    </xf>
    <xf numFmtId="0" fontId="4" fillId="0" borderId="0" xfId="0" applyFont="1" applyAlignment="1">
      <alignment horizontal="center"/>
    </xf>
    <xf numFmtId="0" fontId="8" fillId="0" borderId="0" xfId="0" applyFont="1" applyAlignment="1">
      <alignment horizontal="center"/>
    </xf>
    <xf numFmtId="0" fontId="4" fillId="0" borderId="0" xfId="0" applyFont="1" applyAlignment="1">
      <alignment horizontal="center"/>
    </xf>
    <xf numFmtId="0" fontId="13" fillId="7" borderId="0" xfId="0" applyFont="1" applyFill="1" applyAlignment="1"/>
    <xf numFmtId="0" fontId="4" fillId="7" borderId="0" xfId="0" applyFont="1" applyFill="1"/>
    <xf numFmtId="0" fontId="14" fillId="4" borderId="4" xfId="0" applyFont="1" applyFill="1" applyBorder="1" applyAlignment="1">
      <alignment horizontal="center"/>
    </xf>
    <xf numFmtId="0" fontId="15" fillId="4" borderId="4" xfId="0" applyFont="1" applyFill="1" applyBorder="1" applyAlignment="1">
      <alignment horizontal="center"/>
    </xf>
    <xf numFmtId="0" fontId="16" fillId="7" borderId="0" xfId="0" applyFont="1" applyFill="1" applyAlignment="1">
      <alignment horizontal="center" wrapText="1"/>
    </xf>
    <xf numFmtId="0" fontId="14" fillId="7" borderId="4" xfId="0" applyFont="1" applyFill="1" applyBorder="1" applyAlignment="1">
      <alignment horizontal="center" wrapText="1"/>
    </xf>
    <xf numFmtId="0" fontId="15" fillId="7" borderId="4" xfId="0" applyFont="1" applyFill="1" applyBorder="1" applyAlignment="1">
      <alignment horizontal="center" wrapText="1"/>
    </xf>
    <xf numFmtId="0" fontId="15" fillId="7" borderId="4" xfId="0" applyFont="1" applyFill="1" applyBorder="1" applyAlignment="1">
      <alignment horizontal="center"/>
    </xf>
    <xf numFmtId="0" fontId="16" fillId="7" borderId="8" xfId="0" applyFont="1" applyFill="1" applyBorder="1" applyAlignment="1">
      <alignment horizontal="center" wrapText="1"/>
    </xf>
    <xf numFmtId="0" fontId="8" fillId="0" borderId="0" xfId="0" applyFont="1" applyAlignment="1">
      <alignment horizontal="center" wrapText="1"/>
    </xf>
    <xf numFmtId="0" fontId="19" fillId="8" borderId="4" xfId="0" applyFont="1" applyFill="1" applyBorder="1" applyAlignment="1">
      <alignment horizontal="center"/>
    </xf>
    <xf numFmtId="0" fontId="8" fillId="6" borderId="4" xfId="0" applyFont="1" applyFill="1" applyBorder="1" applyAlignment="1">
      <alignment horizontal="center"/>
    </xf>
    <xf numFmtId="0" fontId="4" fillId="9" borderId="4" xfId="0" applyFont="1" applyFill="1" applyBorder="1" applyAlignment="1">
      <alignment horizontal="center"/>
    </xf>
    <xf numFmtId="1" fontId="4" fillId="9" borderId="4" xfId="0" applyNumberFormat="1" applyFont="1" applyFill="1" applyBorder="1" applyAlignment="1">
      <alignment horizontal="center"/>
    </xf>
    <xf numFmtId="165" fontId="4" fillId="9" borderId="4" xfId="0" applyNumberFormat="1" applyFont="1" applyFill="1" applyBorder="1" applyAlignment="1">
      <alignment horizontal="center"/>
    </xf>
    <xf numFmtId="0" fontId="4" fillId="0" borderId="4" xfId="0" applyFont="1" applyBorder="1" applyAlignment="1">
      <alignment horizontal="center"/>
    </xf>
    <xf numFmtId="1" fontId="4" fillId="0" borderId="4" xfId="0" applyNumberFormat="1" applyFont="1" applyBorder="1" applyAlignment="1">
      <alignment horizontal="center"/>
    </xf>
    <xf numFmtId="165" fontId="4" fillId="0" borderId="4" xfId="0" applyNumberFormat="1" applyFont="1" applyBorder="1" applyAlignment="1">
      <alignment horizontal="center"/>
    </xf>
    <xf numFmtId="0" fontId="7" fillId="8" borderId="4" xfId="0" applyFont="1" applyFill="1" applyBorder="1" applyAlignment="1">
      <alignment horizontal="center" vertical="center" wrapText="1"/>
    </xf>
    <xf numFmtId="0" fontId="7" fillId="12" borderId="4" xfId="0" applyFont="1" applyFill="1" applyBorder="1" applyAlignment="1">
      <alignment horizontal="center" vertical="center" wrapText="1"/>
    </xf>
    <xf numFmtId="0" fontId="8" fillId="13" borderId="4" xfId="0" applyFont="1" applyFill="1" applyBorder="1" applyAlignment="1">
      <alignment horizontal="center"/>
    </xf>
    <xf numFmtId="164" fontId="21" fillId="14" borderId="4" xfId="0" applyNumberFormat="1" applyFont="1" applyFill="1" applyBorder="1" applyAlignment="1">
      <alignment horizontal="center"/>
    </xf>
    <xf numFmtId="2" fontId="4" fillId="0" borderId="4" xfId="0" applyNumberFormat="1" applyFont="1" applyBorder="1" applyAlignment="1">
      <alignment horizontal="center"/>
    </xf>
    <xf numFmtId="166" fontId="4" fillId="0" borderId="4" xfId="0" applyNumberFormat="1" applyFont="1" applyBorder="1" applyAlignment="1">
      <alignment horizontal="center"/>
    </xf>
    <xf numFmtId="0" fontId="16" fillId="11" borderId="4" xfId="0" applyFont="1" applyFill="1" applyBorder="1" applyAlignment="1">
      <alignment horizontal="center"/>
    </xf>
    <xf numFmtId="0" fontId="8" fillId="0" borderId="4" xfId="0" applyFont="1" applyBorder="1" applyAlignment="1">
      <alignment horizontal="center"/>
    </xf>
    <xf numFmtId="2" fontId="4" fillId="11" borderId="4" xfId="0" applyNumberFormat="1" applyFont="1" applyFill="1" applyBorder="1" applyAlignment="1">
      <alignment horizontal="center"/>
    </xf>
    <xf numFmtId="2" fontId="22" fillId="15" borderId="4" xfId="0" applyNumberFormat="1" applyFont="1" applyFill="1" applyBorder="1" applyAlignment="1">
      <alignment horizontal="center"/>
    </xf>
    <xf numFmtId="0" fontId="4" fillId="6" borderId="4" xfId="0" applyFont="1" applyFill="1" applyBorder="1" applyAlignment="1">
      <alignment horizontal="center" vertical="center" wrapText="1"/>
    </xf>
    <xf numFmtId="164" fontId="4" fillId="6" borderId="4" xfId="0" applyNumberFormat="1" applyFont="1" applyFill="1" applyBorder="1" applyAlignment="1">
      <alignment horizontal="center" vertical="center" wrapText="1"/>
    </xf>
    <xf numFmtId="0" fontId="4" fillId="0" borderId="4" xfId="0" applyFont="1" applyBorder="1" applyAlignment="1">
      <alignment horizontal="center" vertical="center" wrapText="1"/>
    </xf>
    <xf numFmtId="0" fontId="7" fillId="17" borderId="4" xfId="0" applyFont="1" applyFill="1" applyBorder="1" applyAlignment="1">
      <alignment horizontal="center" vertical="center" wrapText="1"/>
    </xf>
    <xf numFmtId="0" fontId="4" fillId="9" borderId="4" xfId="0" applyFont="1" applyFill="1" applyBorder="1" applyAlignment="1">
      <alignment horizontal="center" vertical="center" wrapText="1"/>
    </xf>
    <xf numFmtId="0" fontId="8" fillId="9" borderId="4" xfId="0" applyFont="1" applyFill="1" applyBorder="1" applyAlignment="1">
      <alignment horizontal="center" vertical="center" wrapText="1"/>
    </xf>
    <xf numFmtId="0" fontId="8" fillId="0" borderId="4" xfId="0" applyFont="1" applyBorder="1" applyAlignment="1">
      <alignment horizontal="center" vertical="center" wrapText="1"/>
    </xf>
    <xf numFmtId="167" fontId="8" fillId="0" borderId="4" xfId="0" applyNumberFormat="1" applyFont="1" applyBorder="1" applyAlignment="1">
      <alignment horizontal="center" vertical="center" wrapText="1"/>
    </xf>
    <xf numFmtId="2" fontId="8" fillId="9" borderId="4" xfId="0" applyNumberFormat="1" applyFont="1" applyFill="1" applyBorder="1" applyAlignment="1">
      <alignment horizontal="center" vertical="center" wrapText="1"/>
    </xf>
    <xf numFmtId="2" fontId="8" fillId="0" borderId="4" xfId="0" applyNumberFormat="1" applyFont="1" applyBorder="1" applyAlignment="1">
      <alignment horizontal="center" vertical="center" wrapText="1"/>
    </xf>
    <xf numFmtId="4" fontId="8" fillId="0" borderId="4" xfId="0" applyNumberFormat="1" applyFont="1" applyBorder="1" applyAlignment="1">
      <alignment horizontal="center" vertical="center" wrapText="1"/>
    </xf>
    <xf numFmtId="164" fontId="8" fillId="0" borderId="4" xfId="0" applyNumberFormat="1" applyFont="1" applyBorder="1" applyAlignment="1">
      <alignment horizontal="center" vertical="center" wrapText="1"/>
    </xf>
    <xf numFmtId="4" fontId="8" fillId="9" borderId="4" xfId="0" applyNumberFormat="1" applyFont="1" applyFill="1" applyBorder="1" applyAlignment="1">
      <alignment horizontal="center" vertical="center" wrapText="1"/>
    </xf>
    <xf numFmtId="0" fontId="7" fillId="17" borderId="4" xfId="0" applyFont="1" applyFill="1" applyBorder="1" applyAlignment="1">
      <alignment horizontal="center"/>
    </xf>
    <xf numFmtId="0" fontId="8" fillId="9" borderId="4" xfId="0" applyFont="1" applyFill="1" applyBorder="1" applyAlignment="1">
      <alignment horizontal="center"/>
    </xf>
    <xf numFmtId="167" fontId="4" fillId="9" borderId="4" xfId="0" applyNumberFormat="1" applyFont="1" applyFill="1" applyBorder="1" applyAlignment="1">
      <alignment horizontal="center"/>
    </xf>
    <xf numFmtId="2" fontId="4" fillId="9" borderId="4" xfId="0" applyNumberFormat="1" applyFont="1" applyFill="1" applyBorder="1" applyAlignment="1">
      <alignment horizontal="center"/>
    </xf>
    <xf numFmtId="0" fontId="8" fillId="0" borderId="4" xfId="0" applyFont="1" applyBorder="1" applyAlignment="1">
      <alignment horizontal="center"/>
    </xf>
    <xf numFmtId="167" fontId="4" fillId="0" borderId="4" xfId="0" applyNumberFormat="1" applyFont="1" applyBorder="1" applyAlignment="1">
      <alignment horizontal="center"/>
    </xf>
    <xf numFmtId="2" fontId="4" fillId="0" borderId="4" xfId="0" applyNumberFormat="1" applyFont="1" applyBorder="1" applyAlignment="1">
      <alignment horizontal="center"/>
    </xf>
    <xf numFmtId="0" fontId="16" fillId="11" borderId="1" xfId="0" applyFont="1" applyFill="1" applyBorder="1" applyAlignment="1">
      <alignment horizontal="center" wrapText="1"/>
    </xf>
    <xf numFmtId="0" fontId="6" fillId="0" borderId="2" xfId="0" applyFont="1" applyBorder="1"/>
    <xf numFmtId="0" fontId="6" fillId="0" borderId="3" xfId="0" applyFont="1" applyBorder="1"/>
    <xf numFmtId="0" fontId="17" fillId="11" borderId="9" xfId="0" applyFont="1" applyFill="1" applyBorder="1" applyAlignment="1">
      <alignment horizontal="center" vertical="center" wrapText="1"/>
    </xf>
    <xf numFmtId="0" fontId="6" fillId="0" borderId="10" xfId="0" applyFont="1" applyBorder="1"/>
    <xf numFmtId="0" fontId="6" fillId="0" borderId="11" xfId="0" applyFont="1" applyBorder="1"/>
    <xf numFmtId="0" fontId="6" fillId="0" borderId="8" xfId="0" applyFont="1" applyBorder="1"/>
    <xf numFmtId="0" fontId="0" fillId="0" borderId="0" xfId="0" applyFont="1" applyAlignment="1"/>
    <xf numFmtId="0" fontId="6" fillId="0" borderId="12" xfId="0" applyFont="1" applyBorder="1"/>
    <xf numFmtId="0" fontId="6" fillId="0" borderId="13" xfId="0" applyFont="1" applyBorder="1"/>
    <xf numFmtId="0" fontId="6" fillId="0" borderId="14" xfId="0" applyFont="1" applyBorder="1"/>
    <xf numFmtId="0" fontId="6" fillId="0" borderId="15" xfId="0" applyFont="1" applyBorder="1"/>
    <xf numFmtId="0" fontId="1" fillId="2" borderId="0" xfId="0" applyFont="1" applyFill="1" applyAlignment="1">
      <alignment horizontal="center"/>
    </xf>
    <xf numFmtId="0" fontId="2" fillId="3" borderId="0" xfId="0" applyFont="1" applyFill="1" applyAlignment="1">
      <alignment horizontal="center"/>
    </xf>
    <xf numFmtId="0" fontId="5" fillId="0" borderId="1" xfId="0" applyFont="1" applyBorder="1" applyAlignment="1">
      <alignment horizontal="center"/>
    </xf>
    <xf numFmtId="0" fontId="12" fillId="8" borderId="5" xfId="0" applyFont="1" applyFill="1" applyBorder="1" applyAlignment="1">
      <alignment horizontal="center" vertical="center" wrapText="1"/>
    </xf>
    <xf numFmtId="0" fontId="6" fillId="0" borderId="6" xfId="0" applyFont="1" applyBorder="1"/>
    <xf numFmtId="0" fontId="6" fillId="0" borderId="7" xfId="0" applyFont="1" applyBorder="1"/>
    <xf numFmtId="0" fontId="18" fillId="2" borderId="1" xfId="0" applyFont="1" applyFill="1" applyBorder="1" applyAlignment="1">
      <alignment horizontal="center"/>
    </xf>
    <xf numFmtId="0" fontId="20" fillId="2" borderId="1" xfId="0" applyFont="1" applyFill="1" applyBorder="1" applyAlignment="1">
      <alignment horizontal="center"/>
    </xf>
    <xf numFmtId="0" fontId="23" fillId="2" borderId="0" xfId="0" applyFont="1" applyFill="1" applyAlignment="1">
      <alignment horizontal="center"/>
    </xf>
    <xf numFmtId="0" fontId="24" fillId="4" borderId="0" xfId="0" applyFont="1" applyFill="1" applyAlignment="1">
      <alignment horizontal="center"/>
    </xf>
    <xf numFmtId="0" fontId="5" fillId="4" borderId="1" xfId="0" applyFont="1" applyFill="1" applyBorder="1" applyAlignment="1">
      <alignment horizontal="center" vertical="center" wrapText="1"/>
    </xf>
    <xf numFmtId="0" fontId="3" fillId="16" borderId="1" xfId="0" applyFont="1" applyFill="1" applyBorder="1" applyAlignment="1">
      <alignment horizontal="center"/>
    </xf>
    <xf numFmtId="0" fontId="5" fillId="16" borderId="1" xfId="0" applyFont="1" applyFill="1" applyBorder="1" applyAlignment="1">
      <alignment horizontal="center"/>
    </xf>
    <xf numFmtId="0" fontId="0" fillId="0" borderId="0" xfId="0" applyFont="1" applyAlignment="1">
      <alignment horizontal="center"/>
    </xf>
    <xf numFmtId="0" fontId="10" fillId="0" borderId="0" xfId="0" applyFont="1" applyAlignment="1">
      <alignment horizontal="center" vertical="center"/>
    </xf>
    <xf numFmtId="0" fontId="3" fillId="4"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BO" b="0">
                <a:solidFill>
                  <a:srgbClr val="757575"/>
                </a:solidFill>
                <a:latin typeface="+mn-lt"/>
              </a:rPr>
              <a:t>Distribución de Vehículos</a:t>
            </a:r>
          </a:p>
        </c:rich>
      </c:tx>
      <c:overlay val="0"/>
    </c:title>
    <c:autoTitleDeleted val="0"/>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0706-49B2-BF79-DBFC84D8BBB5}"/>
              </c:ext>
            </c:extLst>
          </c:dPt>
          <c:dPt>
            <c:idx val="1"/>
            <c:bubble3D val="0"/>
            <c:spPr>
              <a:solidFill>
                <a:srgbClr val="EA4335"/>
              </a:solidFill>
            </c:spPr>
            <c:extLst>
              <c:ext xmlns:c16="http://schemas.microsoft.com/office/drawing/2014/chart" uri="{C3380CC4-5D6E-409C-BE32-E72D297353CC}">
                <c16:uniqueId val="{00000003-0706-49B2-BF79-DBFC84D8BBB5}"/>
              </c:ext>
            </c:extLst>
          </c:dPt>
          <c:dPt>
            <c:idx val="2"/>
            <c:bubble3D val="0"/>
            <c:spPr>
              <a:solidFill>
                <a:srgbClr val="FBBC04"/>
              </a:solidFill>
            </c:spPr>
            <c:extLst>
              <c:ext xmlns:c16="http://schemas.microsoft.com/office/drawing/2014/chart" uri="{C3380CC4-5D6E-409C-BE32-E72D297353CC}">
                <c16:uniqueId val="{00000005-0706-49B2-BF79-DBFC84D8BBB5}"/>
              </c:ext>
            </c:extLst>
          </c:dPt>
          <c:dPt>
            <c:idx val="3"/>
            <c:bubble3D val="0"/>
            <c:spPr>
              <a:solidFill>
                <a:srgbClr val="34A853"/>
              </a:solidFill>
            </c:spPr>
            <c:extLst>
              <c:ext xmlns:c16="http://schemas.microsoft.com/office/drawing/2014/chart" uri="{C3380CC4-5D6E-409C-BE32-E72D297353CC}">
                <c16:uniqueId val="{00000007-0706-49B2-BF79-DBFC84D8BBB5}"/>
              </c:ext>
            </c:extLst>
          </c:dPt>
          <c:dPt>
            <c:idx val="4"/>
            <c:bubble3D val="0"/>
            <c:spPr>
              <a:solidFill>
                <a:srgbClr val="FF6D01"/>
              </a:solidFill>
            </c:spPr>
            <c:extLst>
              <c:ext xmlns:c16="http://schemas.microsoft.com/office/drawing/2014/chart" uri="{C3380CC4-5D6E-409C-BE32-E72D297353CC}">
                <c16:uniqueId val="{00000009-0706-49B2-BF79-DBFC84D8BBB5}"/>
              </c:ext>
            </c:extLst>
          </c:dPt>
          <c:dPt>
            <c:idx val="5"/>
            <c:bubble3D val="0"/>
            <c:spPr>
              <a:solidFill>
                <a:srgbClr val="46BDC6"/>
              </a:solidFill>
            </c:spPr>
            <c:extLst>
              <c:ext xmlns:c16="http://schemas.microsoft.com/office/drawing/2014/chart" uri="{C3380CC4-5D6E-409C-BE32-E72D297353CC}">
                <c16:uniqueId val="{0000000B-0706-49B2-BF79-DBFC84D8BBB5}"/>
              </c:ext>
            </c:extLst>
          </c:dPt>
          <c:dPt>
            <c:idx val="6"/>
            <c:bubble3D val="0"/>
            <c:spPr>
              <a:solidFill>
                <a:srgbClr val="7BAAF7"/>
              </a:solidFill>
            </c:spPr>
            <c:extLst>
              <c:ext xmlns:c16="http://schemas.microsoft.com/office/drawing/2014/chart" uri="{C3380CC4-5D6E-409C-BE32-E72D297353CC}">
                <c16:uniqueId val="{0000000D-0706-49B2-BF79-DBFC84D8BBB5}"/>
              </c:ext>
            </c:extLst>
          </c:dPt>
          <c:dPt>
            <c:idx val="7"/>
            <c:bubble3D val="0"/>
            <c:spPr>
              <a:solidFill>
                <a:srgbClr val="F07B72"/>
              </a:solidFill>
            </c:spPr>
            <c:extLst>
              <c:ext xmlns:c16="http://schemas.microsoft.com/office/drawing/2014/chart" uri="{C3380CC4-5D6E-409C-BE32-E72D297353CC}">
                <c16:uniqueId val="{0000000F-0706-49B2-BF79-DBFC84D8BBB5}"/>
              </c:ext>
            </c:extLst>
          </c:dPt>
          <c:dPt>
            <c:idx val="8"/>
            <c:bubble3D val="0"/>
            <c:spPr>
              <a:solidFill>
                <a:srgbClr val="FCD04F"/>
              </a:solidFill>
            </c:spPr>
            <c:extLst>
              <c:ext xmlns:c16="http://schemas.microsoft.com/office/drawing/2014/chart" uri="{C3380CC4-5D6E-409C-BE32-E72D297353CC}">
                <c16:uniqueId val="{00000011-0706-49B2-BF79-DBFC84D8BBB5}"/>
              </c:ext>
            </c:extLst>
          </c:dPt>
          <c:cat>
            <c:strRef>
              <c:f>Estadísticas!$A$25:$A$33</c:f>
              <c:strCache>
                <c:ptCount val="9"/>
                <c:pt idx="0">
                  <c:v>DISTRIBUCIÓN POR TIPO DE VEHÍCULO</c:v>
                </c:pt>
                <c:pt idx="1">
                  <c:v>Tipo de Vehículo</c:v>
                </c:pt>
                <c:pt idx="2">
                  <c:v>Trans. Pesado</c:v>
                </c:pt>
                <c:pt idx="3">
                  <c:v>Minibús</c:v>
                </c:pt>
                <c:pt idx="4">
                  <c:v>Auto Particular</c:v>
                </c:pt>
                <c:pt idx="5">
                  <c:v>Motocicleta</c:v>
                </c:pt>
                <c:pt idx="6">
                  <c:v>Volqueta</c:v>
                </c:pt>
                <c:pt idx="7">
                  <c:v>Flota Interdep.</c:v>
                </c:pt>
                <c:pt idx="8">
                  <c:v>Cisterna</c:v>
                </c:pt>
              </c:strCache>
            </c:strRef>
          </c:cat>
          <c:val>
            <c:numRef>
              <c:f>Estadísticas!$C$25:$C$33</c:f>
              <c:numCache>
                <c:formatCode>General</c:formatCode>
                <c:ptCount val="9"/>
                <c:pt idx="1">
                  <c:v>0</c:v>
                </c:pt>
                <c:pt idx="2" formatCode="0.00&quot;%&quot;">
                  <c:v>23.200000000000003</c:v>
                </c:pt>
                <c:pt idx="3" formatCode="0.00&quot;%&quot;">
                  <c:v>26.200000000000003</c:v>
                </c:pt>
                <c:pt idx="4" formatCode="0.00&quot;%&quot;">
                  <c:v>14.2</c:v>
                </c:pt>
                <c:pt idx="5" formatCode="0.00&quot;%&quot;">
                  <c:v>13.3</c:v>
                </c:pt>
                <c:pt idx="6" formatCode="0.00&quot;%&quot;">
                  <c:v>6.9</c:v>
                </c:pt>
                <c:pt idx="7" formatCode="0.00&quot;%&quot;">
                  <c:v>3.8</c:v>
                </c:pt>
                <c:pt idx="8" formatCode="0.00&quot;%&quot;">
                  <c:v>5.5</c:v>
                </c:pt>
              </c:numCache>
            </c:numRef>
          </c:val>
          <c:extLst>
            <c:ext xmlns:c16="http://schemas.microsoft.com/office/drawing/2014/chart" uri="{C3380CC4-5D6E-409C-BE32-E72D297353CC}">
              <c16:uniqueId val="{00000012-0706-49B2-BF79-DBFC84D8BBB5}"/>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s-BO"/>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BO" b="0">
                <a:solidFill>
                  <a:srgbClr val="757575"/>
                </a:solidFill>
                <a:latin typeface="+mn-lt"/>
              </a:rPr>
              <a:t>Tiempo de Espera Promedio por Tipo</a:t>
            </a:r>
          </a:p>
        </c:rich>
      </c:tx>
      <c:overlay val="0"/>
    </c:title>
    <c:autoTitleDeleted val="0"/>
    <c:plotArea>
      <c:layout/>
      <c:barChart>
        <c:barDir val="col"/>
        <c:grouping val="clustered"/>
        <c:varyColors val="1"/>
        <c:ser>
          <c:idx val="0"/>
          <c:order val="0"/>
          <c:tx>
            <c:strRef>
              <c:f>Estadísticas!$D$25</c:f>
              <c:strCache>
                <c:ptCount val="1"/>
              </c:strCache>
            </c:strRef>
          </c:tx>
          <c:spPr>
            <a:solidFill>
              <a:srgbClr val="4285F4"/>
            </a:solidFill>
            <a:ln cmpd="sng">
              <a:noFill/>
            </a:ln>
          </c:spPr>
          <c:invertIfNegative val="1"/>
          <c:cat>
            <c:strRef>
              <c:f>Estadísticas!$A$26:$A$33</c:f>
              <c:strCache>
                <c:ptCount val="8"/>
                <c:pt idx="0">
                  <c:v>Tipo de Vehículo</c:v>
                </c:pt>
                <c:pt idx="1">
                  <c:v>Trans. Pesado</c:v>
                </c:pt>
                <c:pt idx="2">
                  <c:v>Minibús</c:v>
                </c:pt>
                <c:pt idx="3">
                  <c:v>Auto Particular</c:v>
                </c:pt>
                <c:pt idx="4">
                  <c:v>Motocicleta</c:v>
                </c:pt>
                <c:pt idx="5">
                  <c:v>Volqueta</c:v>
                </c:pt>
                <c:pt idx="6">
                  <c:v>Flota Interdep.</c:v>
                </c:pt>
                <c:pt idx="7">
                  <c:v>Cisterna</c:v>
                </c:pt>
              </c:strCache>
            </c:strRef>
          </c:cat>
          <c:val>
            <c:numRef>
              <c:f>Estadísticas!$D$26:$D$33</c:f>
              <c:numCache>
                <c:formatCode>0.00</c:formatCode>
                <c:ptCount val="8"/>
                <c:pt idx="0" formatCode="General">
                  <c:v>0</c:v>
                </c:pt>
                <c:pt idx="1">
                  <c:v>0.12994738049210747</c:v>
                </c:pt>
                <c:pt idx="2">
                  <c:v>0.22939540638846712</c:v>
                </c:pt>
                <c:pt idx="3">
                  <c:v>0.14950078809407111</c:v>
                </c:pt>
                <c:pt idx="4">
                  <c:v>0.25727098616612309</c:v>
                </c:pt>
                <c:pt idx="5">
                  <c:v>8.1703217072767689E-2</c:v>
                </c:pt>
                <c:pt idx="6">
                  <c:v>0.18102818985387689</c:v>
                </c:pt>
                <c:pt idx="7">
                  <c:v>0.16060578467611322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2D4B-414E-A102-6D71EFE74A26}"/>
            </c:ext>
          </c:extLst>
        </c:ser>
        <c:dLbls>
          <c:showLegendKey val="0"/>
          <c:showVal val="0"/>
          <c:showCatName val="0"/>
          <c:showSerName val="0"/>
          <c:showPercent val="0"/>
          <c:showBubbleSize val="0"/>
        </c:dLbls>
        <c:gapWidth val="150"/>
        <c:axId val="1422566151"/>
        <c:axId val="1421901917"/>
      </c:barChart>
      <c:catAx>
        <c:axId val="1422566151"/>
        <c:scaling>
          <c:orientation val="minMax"/>
        </c:scaling>
        <c:delete val="0"/>
        <c:axPos val="b"/>
        <c:title>
          <c:tx>
            <c:rich>
              <a:bodyPr/>
              <a:lstStyle/>
              <a:p>
                <a:pPr lvl="0">
                  <a:defRPr b="0">
                    <a:solidFill>
                      <a:srgbClr val="000000"/>
                    </a:solidFill>
                    <a:latin typeface="+mn-lt"/>
                  </a:defRPr>
                </a:pPr>
                <a:r>
                  <a:rPr lang="es-BO" b="0">
                    <a:solidFill>
                      <a:srgbClr val="000000"/>
                    </a:solidFill>
                    <a:latin typeface="+mn-lt"/>
                  </a:rPr>
                  <a:t>Tipo de Vehículo</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BO"/>
          </a:p>
        </c:txPr>
        <c:crossAx val="1421901917"/>
        <c:crosses val="autoZero"/>
        <c:auto val="1"/>
        <c:lblAlgn val="ctr"/>
        <c:lblOffset val="100"/>
        <c:noMultiLvlLbl val="1"/>
      </c:catAx>
      <c:valAx>
        <c:axId val="14219019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BO" b="0">
                    <a:solidFill>
                      <a:srgbClr val="000000"/>
                    </a:solidFill>
                    <a:latin typeface="+mn-lt"/>
                  </a:rPr>
                  <a:t>Tiempo de Espera (min)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BO"/>
          </a:p>
        </c:txPr>
        <c:crossAx val="1422566151"/>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BO" b="0">
                <a:solidFill>
                  <a:srgbClr val="757575"/>
                </a:solidFill>
                <a:latin typeface="+mn-lt"/>
              </a:rPr>
              <a:t>Volumen Promedio por Tipo</a:t>
            </a:r>
          </a:p>
        </c:rich>
      </c:tx>
      <c:overlay val="0"/>
    </c:title>
    <c:autoTitleDeleted val="0"/>
    <c:plotArea>
      <c:layout/>
      <c:barChart>
        <c:barDir val="bar"/>
        <c:grouping val="clustered"/>
        <c:varyColors val="1"/>
        <c:ser>
          <c:idx val="0"/>
          <c:order val="0"/>
          <c:tx>
            <c:strRef>
              <c:f>Estadísticas!$E$25</c:f>
              <c:strCache>
                <c:ptCount val="1"/>
              </c:strCache>
            </c:strRef>
          </c:tx>
          <c:spPr>
            <a:solidFill>
              <a:srgbClr val="4285F4"/>
            </a:solidFill>
            <a:ln cmpd="sng">
              <a:noFill/>
            </a:ln>
          </c:spPr>
          <c:invertIfNegative val="1"/>
          <c:cat>
            <c:strRef>
              <c:f>Estadísticas!$A$26:$A$33</c:f>
              <c:strCache>
                <c:ptCount val="8"/>
                <c:pt idx="0">
                  <c:v>Tipo de Vehículo</c:v>
                </c:pt>
                <c:pt idx="1">
                  <c:v>Trans. Pesado</c:v>
                </c:pt>
                <c:pt idx="2">
                  <c:v>Minibús</c:v>
                </c:pt>
                <c:pt idx="3">
                  <c:v>Auto Particular</c:v>
                </c:pt>
                <c:pt idx="4">
                  <c:v>Motocicleta</c:v>
                </c:pt>
                <c:pt idx="5">
                  <c:v>Volqueta</c:v>
                </c:pt>
                <c:pt idx="6">
                  <c:v>Flota Interdep.</c:v>
                </c:pt>
                <c:pt idx="7">
                  <c:v>Cisterna</c:v>
                </c:pt>
              </c:strCache>
            </c:strRef>
          </c:cat>
          <c:val>
            <c:numRef>
              <c:f>Estadísticas!$E$26:$E$33</c:f>
              <c:numCache>
                <c:formatCode>0.00</c:formatCode>
                <c:ptCount val="8"/>
                <c:pt idx="0" formatCode="General">
                  <c:v>0</c:v>
                </c:pt>
                <c:pt idx="1">
                  <c:v>335.64488240668129</c:v>
                </c:pt>
                <c:pt idx="2">
                  <c:v>44.72403986212737</c:v>
                </c:pt>
                <c:pt idx="3">
                  <c:v>39.810389747990968</c:v>
                </c:pt>
                <c:pt idx="4">
                  <c:v>8.4944179552997934</c:v>
                </c:pt>
                <c:pt idx="5">
                  <c:v>188.32208370536293</c:v>
                </c:pt>
                <c:pt idx="6">
                  <c:v>279.90158675577038</c:v>
                </c:pt>
                <c:pt idx="7">
                  <c:v>311.82990106991622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1A53-4745-A7E2-35EFB68FE4DC}"/>
            </c:ext>
          </c:extLst>
        </c:ser>
        <c:dLbls>
          <c:showLegendKey val="0"/>
          <c:showVal val="0"/>
          <c:showCatName val="0"/>
          <c:showSerName val="0"/>
          <c:showPercent val="0"/>
          <c:showBubbleSize val="0"/>
        </c:dLbls>
        <c:gapWidth val="150"/>
        <c:axId val="118206062"/>
        <c:axId val="547896223"/>
      </c:barChart>
      <c:catAx>
        <c:axId val="118206062"/>
        <c:scaling>
          <c:orientation val="maxMin"/>
        </c:scaling>
        <c:delete val="0"/>
        <c:axPos val="l"/>
        <c:title>
          <c:tx>
            <c:rich>
              <a:bodyPr/>
              <a:lstStyle/>
              <a:p>
                <a:pPr lvl="0">
                  <a:defRPr b="0">
                    <a:solidFill>
                      <a:srgbClr val="000000"/>
                    </a:solidFill>
                    <a:latin typeface="+mn-lt"/>
                  </a:defRPr>
                </a:pPr>
                <a:r>
                  <a:rPr lang="es-BO" b="0">
                    <a:solidFill>
                      <a:srgbClr val="000000"/>
                    </a:solidFill>
                    <a:latin typeface="+mn-lt"/>
                  </a:rPr>
                  <a:t>Tipo de Vehículo</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BO"/>
          </a:p>
        </c:txPr>
        <c:crossAx val="547896223"/>
        <c:crosses val="autoZero"/>
        <c:auto val="1"/>
        <c:lblAlgn val="ctr"/>
        <c:lblOffset val="100"/>
        <c:noMultiLvlLbl val="1"/>
      </c:catAx>
      <c:valAx>
        <c:axId val="54789622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BO" b="0">
                    <a:solidFill>
                      <a:srgbClr val="000000"/>
                    </a:solidFill>
                    <a:latin typeface="+mn-lt"/>
                  </a:rPr>
                  <a:t>Volumen (L)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BO"/>
          </a:p>
        </c:txPr>
        <c:crossAx val="118206062"/>
        <c:crosses val="max"/>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952500</xdr:colOff>
      <xdr:row>0</xdr:row>
      <xdr:rowOff>0</xdr:rowOff>
    </xdr:from>
    <xdr:ext cx="4762500" cy="2857500"/>
    <xdr:graphicFrame macro="">
      <xdr:nvGraphicFramePr>
        <xdr:cNvPr id="2" name="Chart 1" title="Distribución de Vehículos">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845820</xdr:colOff>
      <xdr:row>14</xdr:row>
      <xdr:rowOff>184785</xdr:rowOff>
    </xdr:from>
    <xdr:ext cx="4762500" cy="2857500"/>
    <xdr:graphicFrame macro="">
      <xdr:nvGraphicFramePr>
        <xdr:cNvPr id="3" name="Chart 2" title="Tiempo de Espera Promedio por Tipo">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15240</xdr:colOff>
      <xdr:row>30</xdr:row>
      <xdr:rowOff>47625</xdr:rowOff>
    </xdr:from>
    <xdr:ext cx="4762500" cy="2857500"/>
    <xdr:graphicFrame macro="">
      <xdr:nvGraphicFramePr>
        <xdr:cNvPr id="4" name="Chart 3" title="Volumen Promedio por Tipo">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7"/>
  <sheetViews>
    <sheetView workbookViewId="0">
      <selection activeCell="B19" sqref="B19"/>
    </sheetView>
  </sheetViews>
  <sheetFormatPr baseColWidth="10" defaultColWidth="12.6640625" defaultRowHeight="15.75" customHeight="1" x14ac:dyDescent="0.25"/>
  <cols>
    <col min="1" max="1" width="32.6640625" customWidth="1"/>
    <col min="2" max="2" width="12.6640625" customWidth="1"/>
    <col min="3" max="3" width="20.109375" customWidth="1"/>
    <col min="4" max="4" width="15.109375" customWidth="1"/>
    <col min="5" max="5" width="11" customWidth="1"/>
    <col min="6" max="6" width="25.109375" customWidth="1"/>
    <col min="7" max="7" width="11.33203125" customWidth="1"/>
    <col min="8" max="8" width="16.33203125" customWidth="1"/>
    <col min="9" max="9" width="11.33203125" customWidth="1"/>
    <col min="10" max="10" width="13.88671875" customWidth="1"/>
  </cols>
  <sheetData>
    <row r="1" spans="1:10" ht="17.399999999999999" x14ac:dyDescent="0.3">
      <c r="A1" s="81" t="s">
        <v>0</v>
      </c>
      <c r="B1" s="76"/>
      <c r="C1" s="76"/>
      <c r="D1" s="76"/>
      <c r="E1" s="76"/>
      <c r="F1" s="76"/>
      <c r="G1" s="76"/>
      <c r="H1" s="76"/>
      <c r="I1" s="76"/>
      <c r="J1" s="76"/>
    </row>
    <row r="2" spans="1:10" ht="13.2" x14ac:dyDescent="0.25">
      <c r="A2" s="82" t="s">
        <v>1</v>
      </c>
      <c r="B2" s="76"/>
      <c r="C2" s="76"/>
      <c r="D2" s="76"/>
      <c r="E2" s="76"/>
      <c r="F2" s="76"/>
      <c r="G2" s="76"/>
      <c r="H2" s="76"/>
      <c r="I2" s="76"/>
      <c r="J2" s="76"/>
    </row>
    <row r="4" spans="1:10" ht="15.6" x14ac:dyDescent="0.3">
      <c r="A4" s="96" t="s">
        <v>2</v>
      </c>
      <c r="B4" s="96"/>
      <c r="C4" s="96"/>
      <c r="D4" s="96"/>
      <c r="F4" s="1"/>
      <c r="G4" s="83" t="s">
        <v>3</v>
      </c>
      <c r="H4" s="70"/>
      <c r="I4" s="70"/>
      <c r="J4" s="71"/>
    </row>
    <row r="5" spans="1:10" ht="13.2" x14ac:dyDescent="0.25">
      <c r="G5" s="2" t="s">
        <v>4</v>
      </c>
      <c r="H5" s="2" t="s">
        <v>5</v>
      </c>
      <c r="I5" s="2" t="s">
        <v>6</v>
      </c>
      <c r="J5" s="2" t="s">
        <v>7</v>
      </c>
    </row>
    <row r="6" spans="1:10" ht="17.399999999999999" x14ac:dyDescent="0.25">
      <c r="A6" s="3" t="s">
        <v>5131</v>
      </c>
      <c r="B6" s="4">
        <v>9</v>
      </c>
      <c r="C6" s="95" t="s">
        <v>8</v>
      </c>
      <c r="D6" s="94"/>
      <c r="E6" s="94"/>
      <c r="G6" s="5">
        <v>1</v>
      </c>
      <c r="H6" s="6">
        <v>6.96</v>
      </c>
      <c r="I6" s="6">
        <v>0.34250000000000003</v>
      </c>
      <c r="J6" s="6">
        <v>1</v>
      </c>
    </row>
    <row r="7" spans="1:10" ht="13.2" x14ac:dyDescent="0.25">
      <c r="G7" s="7">
        <v>2</v>
      </c>
      <c r="H7" s="8">
        <v>6.96</v>
      </c>
      <c r="I7" s="8">
        <v>0.34250000000000003</v>
      </c>
      <c r="J7" s="8">
        <v>1.5</v>
      </c>
    </row>
    <row r="8" spans="1:10" ht="13.2" x14ac:dyDescent="0.25">
      <c r="A8" s="9" t="s">
        <v>9</v>
      </c>
      <c r="B8" s="9" t="s">
        <v>10</v>
      </c>
      <c r="C8" s="9" t="s">
        <v>11</v>
      </c>
      <c r="G8" s="5">
        <v>3</v>
      </c>
      <c r="H8" s="6">
        <v>6.96</v>
      </c>
      <c r="I8" s="6">
        <v>0.5</v>
      </c>
      <c r="J8" s="6">
        <v>1</v>
      </c>
    </row>
    <row r="9" spans="1:10" ht="13.2" x14ac:dyDescent="0.25">
      <c r="A9" s="10" t="s">
        <v>12</v>
      </c>
      <c r="B9" s="11">
        <f>IFERROR(VLOOKUP(B6,G6:J21,2,FALSE),"?")</f>
        <v>9.66</v>
      </c>
      <c r="C9" s="12" t="s">
        <v>13</v>
      </c>
      <c r="G9" s="7">
        <v>4</v>
      </c>
      <c r="H9" s="8">
        <v>6.96</v>
      </c>
      <c r="I9" s="8">
        <v>0.5</v>
      </c>
      <c r="J9" s="8">
        <v>1.5</v>
      </c>
    </row>
    <row r="10" spans="1:10" ht="13.2" x14ac:dyDescent="0.25">
      <c r="A10" s="13" t="s">
        <v>14</v>
      </c>
      <c r="B10" s="11">
        <f>IFERROR(VLOOKUP(B6,G6:J21,3,FALSE),"?")</f>
        <v>0.34250000000000003</v>
      </c>
      <c r="C10" s="14" t="s">
        <v>15</v>
      </c>
      <c r="G10" s="5">
        <v>5</v>
      </c>
      <c r="H10" s="6">
        <v>8.31</v>
      </c>
      <c r="I10" s="6">
        <v>0.34250000000000003</v>
      </c>
      <c r="J10" s="6">
        <v>1</v>
      </c>
    </row>
    <row r="11" spans="1:10" ht="13.2" x14ac:dyDescent="0.25">
      <c r="A11" s="10" t="s">
        <v>16</v>
      </c>
      <c r="B11" s="11">
        <f>IFERROR(VLOOKUP(B6,G6:J21,4,FALSE),"?")</f>
        <v>1</v>
      </c>
      <c r="C11" s="12" t="s">
        <v>17</v>
      </c>
      <c r="G11" s="7">
        <v>6</v>
      </c>
      <c r="H11" s="8">
        <v>8.31</v>
      </c>
      <c r="I11" s="8">
        <v>0.34250000000000003</v>
      </c>
      <c r="J11" s="8">
        <v>1.5</v>
      </c>
    </row>
    <row r="12" spans="1:10" ht="13.2" x14ac:dyDescent="0.25">
      <c r="A12" s="15" t="s">
        <v>18</v>
      </c>
      <c r="B12" s="16">
        <v>12.5</v>
      </c>
      <c r="C12" s="17" t="s">
        <v>13</v>
      </c>
      <c r="D12" s="84" t="s">
        <v>19</v>
      </c>
      <c r="G12" s="5">
        <v>7</v>
      </c>
      <c r="H12" s="6">
        <v>8.31</v>
      </c>
      <c r="I12" s="6">
        <v>0.5</v>
      </c>
      <c r="J12" s="6">
        <v>1</v>
      </c>
    </row>
    <row r="13" spans="1:10" ht="13.2" x14ac:dyDescent="0.25">
      <c r="A13" s="15" t="s">
        <v>20</v>
      </c>
      <c r="B13" s="16">
        <v>4</v>
      </c>
      <c r="C13" s="17" t="s">
        <v>21</v>
      </c>
      <c r="D13" s="85"/>
      <c r="G13" s="7">
        <v>8</v>
      </c>
      <c r="H13" s="8">
        <v>8.31</v>
      </c>
      <c r="I13" s="8">
        <v>0.5</v>
      </c>
      <c r="J13" s="8">
        <v>1.5</v>
      </c>
    </row>
    <row r="14" spans="1:10" ht="13.2" x14ac:dyDescent="0.25">
      <c r="A14" s="15" t="s">
        <v>22</v>
      </c>
      <c r="B14" s="16">
        <v>10000</v>
      </c>
      <c r="C14" s="17" t="s">
        <v>23</v>
      </c>
      <c r="D14" s="85"/>
      <c r="G14" s="5">
        <v>9</v>
      </c>
      <c r="H14" s="6">
        <v>9.66</v>
      </c>
      <c r="I14" s="6">
        <v>0.34250000000000003</v>
      </c>
      <c r="J14" s="6">
        <v>1</v>
      </c>
    </row>
    <row r="15" spans="1:10" ht="13.2" x14ac:dyDescent="0.25">
      <c r="A15" s="15" t="s">
        <v>24</v>
      </c>
      <c r="B15" s="16">
        <v>240</v>
      </c>
      <c r="C15" s="17" t="s">
        <v>25</v>
      </c>
      <c r="D15" s="85"/>
      <c r="G15" s="7">
        <v>10</v>
      </c>
      <c r="H15" s="8">
        <v>9.66</v>
      </c>
      <c r="I15" s="8">
        <v>0.34250000000000003</v>
      </c>
      <c r="J15" s="8">
        <v>1.5</v>
      </c>
    </row>
    <row r="16" spans="1:10" ht="13.2" x14ac:dyDescent="0.25">
      <c r="A16" s="15" t="s">
        <v>26</v>
      </c>
      <c r="B16" s="16">
        <v>12345</v>
      </c>
      <c r="C16" s="17" t="s">
        <v>27</v>
      </c>
      <c r="D16" s="86"/>
      <c r="G16" s="5">
        <v>11</v>
      </c>
      <c r="H16" s="6">
        <v>9.66</v>
      </c>
      <c r="I16" s="6">
        <v>0.5</v>
      </c>
      <c r="J16" s="6">
        <v>1</v>
      </c>
    </row>
    <row r="17" spans="1:10" ht="13.2" x14ac:dyDescent="0.25">
      <c r="A17" s="18"/>
      <c r="B17" s="19"/>
      <c r="C17" s="20"/>
      <c r="G17" s="7">
        <v>12</v>
      </c>
      <c r="H17" s="8">
        <v>9.66</v>
      </c>
      <c r="I17" s="8">
        <v>0.5</v>
      </c>
      <c r="J17" s="8">
        <v>1.5</v>
      </c>
    </row>
    <row r="18" spans="1:10" ht="13.2" x14ac:dyDescent="0.25">
      <c r="A18" s="18"/>
      <c r="B18" s="19"/>
      <c r="C18" s="20"/>
      <c r="G18" s="5">
        <v>13</v>
      </c>
      <c r="H18" s="6">
        <v>11.01</v>
      </c>
      <c r="I18" s="6">
        <v>0.34250000000000003</v>
      </c>
      <c r="J18" s="6">
        <v>1</v>
      </c>
    </row>
    <row r="19" spans="1:10" ht="13.2" x14ac:dyDescent="0.25">
      <c r="G19" s="7">
        <v>14</v>
      </c>
      <c r="H19" s="8">
        <v>11.01</v>
      </c>
      <c r="I19" s="8">
        <v>0.34250000000000003</v>
      </c>
      <c r="J19" s="8">
        <v>1.5</v>
      </c>
    </row>
    <row r="20" spans="1:10" ht="13.2" x14ac:dyDescent="0.25">
      <c r="A20" s="21"/>
      <c r="B20" s="22"/>
      <c r="C20" s="22"/>
      <c r="D20" s="22"/>
      <c r="E20" s="22"/>
      <c r="F20" s="22"/>
      <c r="G20" s="23">
        <v>15</v>
      </c>
      <c r="H20" s="24">
        <v>11.01</v>
      </c>
      <c r="I20" s="24">
        <v>0.5</v>
      </c>
      <c r="J20" s="24">
        <v>1</v>
      </c>
    </row>
    <row r="21" spans="1:10" ht="15.75" customHeight="1" x14ac:dyDescent="0.25">
      <c r="A21" s="25"/>
      <c r="B21" s="25"/>
      <c r="C21" s="25"/>
      <c r="D21" s="25"/>
      <c r="E21" s="25"/>
      <c r="F21" s="25"/>
      <c r="G21" s="26">
        <v>16</v>
      </c>
      <c r="H21" s="27">
        <v>11.01</v>
      </c>
      <c r="I21" s="28">
        <v>0.5</v>
      </c>
      <c r="J21" s="28">
        <v>1.5</v>
      </c>
    </row>
    <row r="22" spans="1:10" ht="13.2" x14ac:dyDescent="0.25">
      <c r="A22" s="29"/>
      <c r="B22" s="25"/>
      <c r="C22" s="25"/>
      <c r="D22" s="25"/>
      <c r="E22" s="25"/>
      <c r="F22" s="25"/>
      <c r="G22" s="30"/>
      <c r="H22" s="30"/>
    </row>
    <row r="23" spans="1:10" ht="13.2" x14ac:dyDescent="0.25">
      <c r="A23" s="69" t="s">
        <v>5130</v>
      </c>
      <c r="B23" s="70"/>
      <c r="C23" s="70"/>
      <c r="D23" s="70"/>
      <c r="E23" s="70"/>
      <c r="F23" s="70"/>
      <c r="G23" s="70"/>
      <c r="H23" s="70"/>
      <c r="I23" s="70"/>
      <c r="J23" s="71"/>
    </row>
    <row r="24" spans="1:10" ht="13.2" x14ac:dyDescent="0.25">
      <c r="A24" s="72" t="s">
        <v>28</v>
      </c>
      <c r="B24" s="73"/>
      <c r="C24" s="73"/>
      <c r="D24" s="73"/>
      <c r="E24" s="73"/>
      <c r="F24" s="73"/>
      <c r="G24" s="73"/>
      <c r="H24" s="73"/>
      <c r="I24" s="73"/>
      <c r="J24" s="74"/>
    </row>
    <row r="25" spans="1:10" ht="13.2" x14ac:dyDescent="0.25">
      <c r="A25" s="75"/>
      <c r="B25" s="76"/>
      <c r="C25" s="76"/>
      <c r="D25" s="76"/>
      <c r="E25" s="76"/>
      <c r="F25" s="76"/>
      <c r="G25" s="76"/>
      <c r="H25" s="76"/>
      <c r="I25" s="76"/>
      <c r="J25" s="77"/>
    </row>
    <row r="26" spans="1:10" ht="13.2" x14ac:dyDescent="0.25">
      <c r="A26" s="75"/>
      <c r="B26" s="76"/>
      <c r="C26" s="76"/>
      <c r="D26" s="76"/>
      <c r="E26" s="76"/>
      <c r="F26" s="76"/>
      <c r="G26" s="76"/>
      <c r="H26" s="76"/>
      <c r="I26" s="76"/>
      <c r="J26" s="77"/>
    </row>
    <row r="27" spans="1:10" ht="13.2" x14ac:dyDescent="0.25">
      <c r="A27" s="78"/>
      <c r="B27" s="79"/>
      <c r="C27" s="79"/>
      <c r="D27" s="79"/>
      <c r="E27" s="79"/>
      <c r="F27" s="79"/>
      <c r="G27" s="79"/>
      <c r="H27" s="79"/>
      <c r="I27" s="79"/>
      <c r="J27" s="80"/>
    </row>
  </sheetData>
  <mergeCells count="8">
    <mergeCell ref="A23:J23"/>
    <mergeCell ref="A24:J27"/>
    <mergeCell ref="A1:J1"/>
    <mergeCell ref="A2:J2"/>
    <mergeCell ref="G4:J4"/>
    <mergeCell ref="C6:E6"/>
    <mergeCell ref="D12:D16"/>
    <mergeCell ref="A4: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5007"/>
  <sheetViews>
    <sheetView workbookViewId="0">
      <selection activeCell="D11" sqref="D11"/>
    </sheetView>
  </sheetViews>
  <sheetFormatPr baseColWidth="10" defaultColWidth="12.6640625" defaultRowHeight="15.75" customHeight="1" x14ac:dyDescent="0.25"/>
  <cols>
    <col min="1" max="1" width="12.21875" customWidth="1"/>
    <col min="2" max="2" width="21" customWidth="1"/>
    <col min="3" max="3" width="19" customWidth="1"/>
    <col min="4" max="4" width="27.44140625" customWidth="1"/>
    <col min="5" max="5" width="41.77734375" customWidth="1"/>
    <col min="7" max="7" width="17" customWidth="1"/>
    <col min="8" max="8" width="19.33203125" customWidth="1"/>
  </cols>
  <sheetData>
    <row r="1" spans="1:8" x14ac:dyDescent="0.25">
      <c r="A1" s="87" t="s">
        <v>29</v>
      </c>
      <c r="B1" s="70"/>
      <c r="C1" s="70"/>
      <c r="D1" s="70"/>
      <c r="E1" s="71"/>
    </row>
    <row r="2" spans="1:8" x14ac:dyDescent="0.25">
      <c r="A2" s="31" t="s">
        <v>30</v>
      </c>
      <c r="B2" s="31" t="s">
        <v>31</v>
      </c>
      <c r="C2" s="31" t="s">
        <v>32</v>
      </c>
      <c r="D2" s="31" t="s">
        <v>33</v>
      </c>
      <c r="E2" s="31" t="s">
        <v>34</v>
      </c>
      <c r="G2" s="32" t="s">
        <v>35</v>
      </c>
      <c r="H2" s="6">
        <v>1664525</v>
      </c>
    </row>
    <row r="3" spans="1:8" x14ac:dyDescent="0.25">
      <c r="A3" s="33">
        <v>1</v>
      </c>
      <c r="B3" s="34">
        <v>87628878</v>
      </c>
      <c r="C3" s="35">
        <v>4.0805376153814313E-2</v>
      </c>
      <c r="D3" s="12" t="s">
        <v>36</v>
      </c>
      <c r="E3" s="12" t="s">
        <v>37</v>
      </c>
      <c r="G3" s="32" t="s">
        <v>38</v>
      </c>
      <c r="H3" s="6">
        <v>1013904223</v>
      </c>
    </row>
    <row r="4" spans="1:8" x14ac:dyDescent="0.25">
      <c r="A4" s="36">
        <v>2</v>
      </c>
      <c r="B4" s="37">
        <v>87785639</v>
      </c>
      <c r="C4" s="38">
        <v>4.0878373682907955E-2</v>
      </c>
      <c r="D4" s="14" t="s">
        <v>39</v>
      </c>
      <c r="E4" s="14" t="s">
        <v>40</v>
      </c>
      <c r="G4" s="32" t="s">
        <v>41</v>
      </c>
      <c r="H4" s="6">
        <v>2147483647</v>
      </c>
    </row>
    <row r="5" spans="1:8" x14ac:dyDescent="0.25">
      <c r="A5" s="33">
        <v>3</v>
      </c>
      <c r="B5" s="34">
        <v>1174867877</v>
      </c>
      <c r="C5" s="35">
        <v>0.54709048827508955</v>
      </c>
      <c r="D5" s="12" t="s">
        <v>42</v>
      </c>
      <c r="E5" s="12" t="s">
        <v>43</v>
      </c>
      <c r="G5" s="32" t="s">
        <v>44</v>
      </c>
      <c r="H5" s="6">
        <v>12345</v>
      </c>
    </row>
    <row r="6" spans="1:8" x14ac:dyDescent="0.25">
      <c r="A6" s="36">
        <v>4</v>
      </c>
      <c r="B6" s="37">
        <v>573661686</v>
      </c>
      <c r="C6" s="38">
        <v>0.26713203930628115</v>
      </c>
      <c r="D6" s="14" t="s">
        <v>45</v>
      </c>
      <c r="E6" s="14" t="s">
        <v>46</v>
      </c>
    </row>
    <row r="7" spans="1:8" x14ac:dyDescent="0.25">
      <c r="A7" s="33">
        <v>5</v>
      </c>
      <c r="B7" s="34">
        <v>923122117</v>
      </c>
      <c r="C7" s="35">
        <v>0.42986223354463571</v>
      </c>
      <c r="D7" s="12" t="s">
        <v>47</v>
      </c>
      <c r="E7" s="12" t="s">
        <v>48</v>
      </c>
    </row>
    <row r="8" spans="1:8" x14ac:dyDescent="0.25">
      <c r="A8" s="36">
        <v>6</v>
      </c>
      <c r="B8" s="37">
        <v>1946536796</v>
      </c>
      <c r="C8" s="38">
        <v>0.90642683063933016</v>
      </c>
      <c r="D8" s="14" t="s">
        <v>49</v>
      </c>
      <c r="E8" s="14" t="s">
        <v>37</v>
      </c>
    </row>
    <row r="9" spans="1:8" x14ac:dyDescent="0.25">
      <c r="A9" s="33">
        <v>7</v>
      </c>
      <c r="B9" s="34">
        <v>1272181933</v>
      </c>
      <c r="C9" s="35">
        <v>0.59240587688628854</v>
      </c>
      <c r="D9" s="12" t="s">
        <v>50</v>
      </c>
      <c r="E9" s="12" t="s">
        <v>40</v>
      </c>
    </row>
    <row r="10" spans="1:8" x14ac:dyDescent="0.25">
      <c r="A10" s="36">
        <v>8</v>
      </c>
      <c r="B10" s="37">
        <v>1856199170</v>
      </c>
      <c r="C10" s="38">
        <v>0.86436009540425618</v>
      </c>
      <c r="D10" s="14" t="s">
        <v>51</v>
      </c>
      <c r="E10" s="14" t="s">
        <v>43</v>
      </c>
    </row>
    <row r="11" spans="1:8" x14ac:dyDescent="0.25">
      <c r="A11" s="33">
        <v>9</v>
      </c>
      <c r="B11" s="34">
        <v>987710870</v>
      </c>
      <c r="C11" s="35">
        <v>0.45993871542622278</v>
      </c>
      <c r="D11" s="12" t="s">
        <v>52</v>
      </c>
      <c r="E11" s="12" t="s">
        <v>46</v>
      </c>
    </row>
    <row r="12" spans="1:8" x14ac:dyDescent="0.25">
      <c r="A12" s="36">
        <v>10</v>
      </c>
      <c r="B12" s="37">
        <v>2066804360</v>
      </c>
      <c r="C12" s="38">
        <v>0.96243077933901489</v>
      </c>
      <c r="D12" s="14" t="s">
        <v>53</v>
      </c>
      <c r="E12" s="14" t="s">
        <v>48</v>
      </c>
    </row>
    <row r="13" spans="1:8" x14ac:dyDescent="0.25">
      <c r="A13" s="33">
        <v>11</v>
      </c>
      <c r="B13" s="34">
        <v>1213575693</v>
      </c>
      <c r="C13" s="35">
        <v>0.56511521971091405</v>
      </c>
      <c r="D13" s="12" t="s">
        <v>54</v>
      </c>
      <c r="E13" s="12" t="s">
        <v>37</v>
      </c>
    </row>
    <row r="14" spans="1:8" x14ac:dyDescent="0.25">
      <c r="A14" s="36">
        <v>12</v>
      </c>
      <c r="B14" s="37">
        <v>1896711792</v>
      </c>
      <c r="C14" s="38">
        <v>0.88322525512577277</v>
      </c>
      <c r="D14" s="14" t="s">
        <v>55</v>
      </c>
      <c r="E14" s="14" t="s">
        <v>40</v>
      </c>
    </row>
    <row r="15" spans="1:8" x14ac:dyDescent="0.25">
      <c r="A15" s="33">
        <v>13</v>
      </c>
      <c r="B15" s="34">
        <v>2125845973</v>
      </c>
      <c r="C15" s="35">
        <v>0.98992417286612289</v>
      </c>
      <c r="D15" s="12" t="s">
        <v>56</v>
      </c>
      <c r="E15" s="12" t="s">
        <v>43</v>
      </c>
    </row>
    <row r="16" spans="1:8" x14ac:dyDescent="0.25">
      <c r="A16" s="36">
        <v>14</v>
      </c>
      <c r="B16" s="37">
        <v>12833210</v>
      </c>
      <c r="C16" s="38">
        <v>5.9759290916733118E-3</v>
      </c>
      <c r="D16" s="14" t="s">
        <v>57</v>
      </c>
      <c r="E16" s="14" t="s">
        <v>46</v>
      </c>
    </row>
    <row r="17" spans="1:5" x14ac:dyDescent="0.25">
      <c r="A17" s="33">
        <v>15</v>
      </c>
      <c r="B17" s="34">
        <v>1192942764</v>
      </c>
      <c r="C17" s="35">
        <v>0.55550726342737078</v>
      </c>
      <c r="D17" s="12" t="s">
        <v>58</v>
      </c>
      <c r="E17" s="12" t="s">
        <v>48</v>
      </c>
    </row>
    <row r="18" spans="1:5" x14ac:dyDescent="0.25">
      <c r="A18" s="36">
        <v>16</v>
      </c>
      <c r="B18" s="37">
        <v>429050891</v>
      </c>
      <c r="C18" s="38">
        <v>0.1997923903166281</v>
      </c>
      <c r="D18" s="14" t="s">
        <v>59</v>
      </c>
      <c r="E18" s="14" t="s">
        <v>37</v>
      </c>
    </row>
    <row r="19" spans="1:5" x14ac:dyDescent="0.25">
      <c r="A19" s="33">
        <v>17</v>
      </c>
      <c r="B19" s="34">
        <v>1934083325</v>
      </c>
      <c r="C19" s="35">
        <v>0.90062773129932006</v>
      </c>
      <c r="D19" s="12" t="s">
        <v>60</v>
      </c>
      <c r="E19" s="12" t="s">
        <v>40</v>
      </c>
    </row>
    <row r="20" spans="1:5" x14ac:dyDescent="0.25">
      <c r="A20" s="36">
        <v>18</v>
      </c>
      <c r="B20" s="37">
        <v>1818010149</v>
      </c>
      <c r="C20" s="38">
        <v>0.84657694671609296</v>
      </c>
      <c r="D20" s="14" t="s">
        <v>61</v>
      </c>
      <c r="E20" s="14" t="s">
        <v>43</v>
      </c>
    </row>
    <row r="21" spans="1:5" x14ac:dyDescent="0.25">
      <c r="A21" s="33">
        <v>19</v>
      </c>
      <c r="B21" s="34">
        <v>2070965692</v>
      </c>
      <c r="C21" s="35">
        <v>0.96436855055595216</v>
      </c>
      <c r="D21" s="12" t="s">
        <v>62</v>
      </c>
      <c r="E21" s="12" t="s">
        <v>46</v>
      </c>
    </row>
    <row r="22" spans="1:5" x14ac:dyDescent="0.25">
      <c r="A22" s="36">
        <v>20</v>
      </c>
      <c r="B22" s="37">
        <v>72477771</v>
      </c>
      <c r="C22" s="38">
        <v>3.3750092160771641E-2</v>
      </c>
      <c r="D22" s="14" t="s">
        <v>63</v>
      </c>
      <c r="E22" s="14" t="s">
        <v>48</v>
      </c>
    </row>
    <row r="23" spans="1:5" x14ac:dyDescent="0.25">
      <c r="A23" s="33">
        <v>21</v>
      </c>
      <c r="B23" s="34">
        <v>739356832</v>
      </c>
      <c r="C23" s="35">
        <v>0.34428985432921438</v>
      </c>
      <c r="D23" s="12" t="s">
        <v>64</v>
      </c>
      <c r="E23" s="12" t="s">
        <v>37</v>
      </c>
    </row>
    <row r="24" spans="1:5" x14ac:dyDescent="0.25">
      <c r="A24" s="36">
        <v>22</v>
      </c>
      <c r="B24" s="37">
        <v>1163749910</v>
      </c>
      <c r="C24" s="38">
        <v>0.54191328144721373</v>
      </c>
      <c r="D24" s="14" t="s">
        <v>65</v>
      </c>
      <c r="E24" s="14" t="s">
        <v>40</v>
      </c>
    </row>
    <row r="25" spans="1:5" x14ac:dyDescent="0.25">
      <c r="A25" s="33">
        <v>23</v>
      </c>
      <c r="B25" s="34">
        <v>1453710857</v>
      </c>
      <c r="C25" s="35">
        <v>0.67693686935908015</v>
      </c>
      <c r="D25" s="12" t="s">
        <v>66</v>
      </c>
      <c r="E25" s="12" t="s">
        <v>43</v>
      </c>
    </row>
    <row r="26" spans="1:5" x14ac:dyDescent="0.25">
      <c r="A26" s="36">
        <v>24</v>
      </c>
      <c r="B26" s="37">
        <v>1749352782</v>
      </c>
      <c r="C26" s="38">
        <v>0.81460586880082542</v>
      </c>
      <c r="D26" s="14" t="s">
        <v>67</v>
      </c>
      <c r="E26" s="14" t="s">
        <v>46</v>
      </c>
    </row>
    <row r="27" spans="1:5" x14ac:dyDescent="0.25">
      <c r="A27" s="33">
        <v>25</v>
      </c>
      <c r="B27" s="34">
        <v>656918769</v>
      </c>
      <c r="C27" s="35">
        <v>0.30590163977160195</v>
      </c>
      <c r="D27" s="12" t="s">
        <v>68</v>
      </c>
      <c r="E27" s="12" t="s">
        <v>48</v>
      </c>
    </row>
    <row r="28" spans="1:5" x14ac:dyDescent="0.25">
      <c r="A28" s="36">
        <v>26</v>
      </c>
      <c r="B28" s="37">
        <v>857010841</v>
      </c>
      <c r="C28" s="38">
        <v>0.39907677164258287</v>
      </c>
      <c r="D28" s="14" t="s">
        <v>69</v>
      </c>
      <c r="E28" s="14" t="s">
        <v>37</v>
      </c>
    </row>
    <row r="29" spans="1:5" x14ac:dyDescent="0.25">
      <c r="A29" s="33">
        <v>27</v>
      </c>
      <c r="B29" s="34">
        <v>1579376117</v>
      </c>
      <c r="C29" s="35">
        <v>0.73545431612779122</v>
      </c>
      <c r="D29" s="12" t="s">
        <v>70</v>
      </c>
      <c r="E29" s="12" t="s">
        <v>40</v>
      </c>
    </row>
    <row r="30" spans="1:5" x14ac:dyDescent="0.25">
      <c r="A30" s="36">
        <v>28</v>
      </c>
      <c r="B30" s="37">
        <v>1219101894</v>
      </c>
      <c r="C30" s="38">
        <v>0.56768855758369363</v>
      </c>
      <c r="D30" s="14" t="s">
        <v>71</v>
      </c>
      <c r="E30" s="14" t="s">
        <v>43</v>
      </c>
    </row>
    <row r="31" spans="1:5" x14ac:dyDescent="0.25">
      <c r="A31" s="33">
        <v>29</v>
      </c>
      <c r="B31" s="34">
        <v>576487569</v>
      </c>
      <c r="C31" s="35">
        <v>0.268447943622455</v>
      </c>
      <c r="D31" s="12" t="s">
        <v>72</v>
      </c>
      <c r="E31" s="12" t="s">
        <v>46</v>
      </c>
    </row>
    <row r="32" spans="1:5" x14ac:dyDescent="0.25">
      <c r="A32" s="36">
        <v>30</v>
      </c>
      <c r="B32" s="37">
        <v>1686835762</v>
      </c>
      <c r="C32" s="38">
        <v>0.78549411277542547</v>
      </c>
      <c r="D32" s="14" t="s">
        <v>73</v>
      </c>
      <c r="E32" s="14" t="s">
        <v>48</v>
      </c>
    </row>
    <row r="33" spans="1:5" x14ac:dyDescent="0.25">
      <c r="A33" s="33">
        <v>31</v>
      </c>
      <c r="B33" s="34">
        <v>129285948</v>
      </c>
      <c r="C33" s="35">
        <v>6.020346100451586E-2</v>
      </c>
      <c r="D33" s="12" t="s">
        <v>74</v>
      </c>
      <c r="E33" s="12" t="s">
        <v>37</v>
      </c>
    </row>
    <row r="34" spans="1:5" x14ac:dyDescent="0.25">
      <c r="A34" s="36">
        <v>32</v>
      </c>
      <c r="B34" s="37">
        <v>1370233053</v>
      </c>
      <c r="C34" s="38">
        <v>0.6380644876687156</v>
      </c>
      <c r="D34" s="14" t="s">
        <v>75</v>
      </c>
      <c r="E34" s="14" t="s">
        <v>40</v>
      </c>
    </row>
    <row r="35" spans="1:5" x14ac:dyDescent="0.25">
      <c r="A35" s="33">
        <v>33</v>
      </c>
      <c r="B35" s="34">
        <v>1639545170</v>
      </c>
      <c r="C35" s="35">
        <v>0.76347271481690593</v>
      </c>
      <c r="D35" s="12" t="s">
        <v>76</v>
      </c>
      <c r="E35" s="12" t="s">
        <v>43</v>
      </c>
    </row>
    <row r="36" spans="1:5" x14ac:dyDescent="0.25">
      <c r="A36" s="36">
        <v>34</v>
      </c>
      <c r="B36" s="37">
        <v>1917201580</v>
      </c>
      <c r="C36" s="38">
        <v>0.89276655618695844</v>
      </c>
      <c r="D36" s="14" t="s">
        <v>77</v>
      </c>
      <c r="E36" s="14" t="s">
        <v>46</v>
      </c>
    </row>
    <row r="37" spans="1:5" x14ac:dyDescent="0.25">
      <c r="A37" s="33">
        <v>35</v>
      </c>
      <c r="B37" s="34">
        <v>1554935019</v>
      </c>
      <c r="C37" s="35">
        <v>0.72407304296459674</v>
      </c>
      <c r="D37" s="12" t="s">
        <v>78</v>
      </c>
      <c r="E37" s="12" t="s">
        <v>48</v>
      </c>
    </row>
    <row r="38" spans="1:5" x14ac:dyDescent="0.25">
      <c r="A38" s="36">
        <v>36</v>
      </c>
      <c r="B38" s="37">
        <v>330662212</v>
      </c>
      <c r="C38" s="38">
        <v>0.15397659137564554</v>
      </c>
      <c r="D38" s="14" t="s">
        <v>79</v>
      </c>
      <c r="E38" s="14" t="s">
        <v>37</v>
      </c>
    </row>
    <row r="39" spans="1:5" x14ac:dyDescent="0.25">
      <c r="A39" s="33">
        <v>37</v>
      </c>
      <c r="B39" s="34">
        <v>768574717</v>
      </c>
      <c r="C39" s="35">
        <v>0.35789549227705947</v>
      </c>
      <c r="D39" s="12" t="s">
        <v>80</v>
      </c>
      <c r="E39" s="12" t="s">
        <v>40</v>
      </c>
    </row>
    <row r="40" spans="1:5" x14ac:dyDescent="0.25">
      <c r="A40" s="36">
        <v>38</v>
      </c>
      <c r="B40" s="37">
        <v>1001625926</v>
      </c>
      <c r="C40" s="38">
        <v>0.46641841831915937</v>
      </c>
      <c r="D40" s="14" t="s">
        <v>81</v>
      </c>
      <c r="E40" s="14" t="s">
        <v>43</v>
      </c>
    </row>
    <row r="41" spans="1:5" x14ac:dyDescent="0.25">
      <c r="A41" s="33">
        <v>39</v>
      </c>
      <c r="B41" s="34">
        <v>1266776218</v>
      </c>
      <c r="C41" s="35">
        <v>0.58988864467939761</v>
      </c>
      <c r="D41" s="12" t="s">
        <v>82</v>
      </c>
      <c r="E41" s="12" t="s">
        <v>46</v>
      </c>
    </row>
    <row r="42" spans="1:5" x14ac:dyDescent="0.25">
      <c r="A42" s="36">
        <v>40</v>
      </c>
      <c r="B42" s="37">
        <v>1864919725</v>
      </c>
      <c r="C42" s="38">
        <v>0.86842092027348505</v>
      </c>
      <c r="D42" s="14" t="s">
        <v>83</v>
      </c>
      <c r="E42" s="14" t="s">
        <v>48</v>
      </c>
    </row>
    <row r="43" spans="1:5" x14ac:dyDescent="0.25">
      <c r="A43" s="33">
        <v>41</v>
      </c>
      <c r="B43" s="34">
        <v>1727552172</v>
      </c>
      <c r="C43" s="35">
        <v>0.80445416867940411</v>
      </c>
      <c r="D43" s="12" t="s">
        <v>84</v>
      </c>
      <c r="E43" s="12" t="s">
        <v>37</v>
      </c>
    </row>
    <row r="44" spans="1:5" x14ac:dyDescent="0.25">
      <c r="A44" s="36">
        <v>42</v>
      </c>
      <c r="B44" s="37">
        <v>1175225525</v>
      </c>
      <c r="C44" s="38">
        <v>0.54725703110325008</v>
      </c>
      <c r="D44" s="14" t="s">
        <v>85</v>
      </c>
      <c r="E44" s="14" t="s">
        <v>40</v>
      </c>
    </row>
    <row r="45" spans="1:5" x14ac:dyDescent="0.25">
      <c r="A45" s="33">
        <v>43</v>
      </c>
      <c r="B45" s="34">
        <v>1034728667</v>
      </c>
      <c r="C45" s="35">
        <v>0.48183308331381208</v>
      </c>
      <c r="D45" s="12" t="s">
        <v>86</v>
      </c>
      <c r="E45" s="12" t="s">
        <v>43</v>
      </c>
    </row>
    <row r="46" spans="1:5" x14ac:dyDescent="0.25">
      <c r="A46" s="36">
        <v>44</v>
      </c>
      <c r="B46" s="37">
        <v>1471324517</v>
      </c>
      <c r="C46" s="38">
        <v>0.68513886895270038</v>
      </c>
      <c r="D46" s="14" t="s">
        <v>87</v>
      </c>
      <c r="E46" s="14" t="s">
        <v>46</v>
      </c>
    </row>
    <row r="47" spans="1:5" x14ac:dyDescent="0.25">
      <c r="A47" s="33">
        <v>45</v>
      </c>
      <c r="B47" s="34">
        <v>532531791</v>
      </c>
      <c r="C47" s="35">
        <v>0.24797943944483039</v>
      </c>
      <c r="D47" s="12" t="s">
        <v>88</v>
      </c>
      <c r="E47" s="12" t="s">
        <v>48</v>
      </c>
    </row>
    <row r="48" spans="1:5" x14ac:dyDescent="0.25">
      <c r="A48" s="36">
        <v>46</v>
      </c>
      <c r="B48" s="37">
        <v>963313602</v>
      </c>
      <c r="C48" s="38">
        <v>0.44857785219726054</v>
      </c>
      <c r="D48" s="14" t="s">
        <v>89</v>
      </c>
      <c r="E48" s="14" t="s">
        <v>37</v>
      </c>
    </row>
    <row r="49" spans="1:5" x14ac:dyDescent="0.25">
      <c r="A49" s="33">
        <v>47</v>
      </c>
      <c r="B49" s="34">
        <v>1120051430</v>
      </c>
      <c r="C49" s="35">
        <v>0.52156459098754659</v>
      </c>
      <c r="D49" s="12" t="s">
        <v>90</v>
      </c>
      <c r="E49" s="12" t="s">
        <v>40</v>
      </c>
    </row>
    <row r="50" spans="1:5" x14ac:dyDescent="0.25">
      <c r="A50" s="36">
        <v>48</v>
      </c>
      <c r="B50" s="37">
        <v>1659896394</v>
      </c>
      <c r="C50" s="38">
        <v>0.772949491987447</v>
      </c>
      <c r="D50" s="14" t="s">
        <v>91</v>
      </c>
      <c r="E50" s="14" t="s">
        <v>43</v>
      </c>
    </row>
    <row r="51" spans="1:5" x14ac:dyDescent="0.25">
      <c r="A51" s="33">
        <v>49</v>
      </c>
      <c r="B51" s="34">
        <v>483798755</v>
      </c>
      <c r="C51" s="35">
        <v>0.22528635115608869</v>
      </c>
      <c r="D51" s="12" t="s">
        <v>92</v>
      </c>
      <c r="E51" s="12" t="s">
        <v>46</v>
      </c>
    </row>
    <row r="52" spans="1:5" x14ac:dyDescent="0.25">
      <c r="A52" s="36">
        <v>50</v>
      </c>
      <c r="B52" s="37">
        <v>506363833</v>
      </c>
      <c r="C52" s="38">
        <v>0.23579403443066124</v>
      </c>
      <c r="D52" s="14" t="s">
        <v>93</v>
      </c>
      <c r="E52" s="14" t="s">
        <v>48</v>
      </c>
    </row>
    <row r="53" spans="1:5" x14ac:dyDescent="0.25">
      <c r="A53" s="33">
        <v>51</v>
      </c>
      <c r="B53" s="34">
        <v>1153835753</v>
      </c>
      <c r="C53" s="35">
        <v>0.53729664233387286</v>
      </c>
      <c r="D53" s="12" t="s">
        <v>94</v>
      </c>
      <c r="E53" s="12" t="s">
        <v>37</v>
      </c>
    </row>
    <row r="54" spans="1:5" x14ac:dyDescent="0.25">
      <c r="A54" s="36">
        <v>52</v>
      </c>
      <c r="B54" s="37">
        <v>355873980</v>
      </c>
      <c r="C54" s="38">
        <v>0.16571673572329651</v>
      </c>
      <c r="D54" s="14" t="s">
        <v>95</v>
      </c>
      <c r="E54" s="14" t="s">
        <v>40</v>
      </c>
    </row>
    <row r="55" spans="1:5" x14ac:dyDescent="0.25">
      <c r="A55" s="33">
        <v>53</v>
      </c>
      <c r="B55" s="34">
        <v>261275243</v>
      </c>
      <c r="C55" s="35">
        <v>0.12166576605367743</v>
      </c>
      <c r="D55" s="12" t="s">
        <v>96</v>
      </c>
      <c r="E55" s="12" t="s">
        <v>43</v>
      </c>
    </row>
    <row r="56" spans="1:5" x14ac:dyDescent="0.25">
      <c r="A56" s="36">
        <v>54</v>
      </c>
      <c r="B56" s="37">
        <v>389502946</v>
      </c>
      <c r="C56" s="38">
        <v>0.18137644332897684</v>
      </c>
      <c r="D56" s="14" t="s">
        <v>97</v>
      </c>
      <c r="E56" s="14" t="s">
        <v>46</v>
      </c>
    </row>
    <row r="57" spans="1:5" x14ac:dyDescent="0.25">
      <c r="A57" s="33">
        <v>55</v>
      </c>
      <c r="B57" s="34">
        <v>207163691</v>
      </c>
      <c r="C57" s="35">
        <v>9.6468111079404187E-2</v>
      </c>
      <c r="D57" s="12" t="s">
        <v>98</v>
      </c>
      <c r="E57" s="12" t="s">
        <v>48</v>
      </c>
    </row>
    <row r="58" spans="1:5" x14ac:dyDescent="0.25">
      <c r="A58" s="36">
        <v>56</v>
      </c>
      <c r="B58" s="37">
        <v>117532620</v>
      </c>
      <c r="C58" s="38">
        <v>5.4730391155337163E-2</v>
      </c>
      <c r="D58" s="14" t="s">
        <v>99</v>
      </c>
      <c r="E58" s="14" t="s">
        <v>37</v>
      </c>
    </row>
    <row r="59" spans="1:5" x14ac:dyDescent="0.25">
      <c r="A59" s="33">
        <v>57</v>
      </c>
      <c r="B59" s="34">
        <v>1237968023</v>
      </c>
      <c r="C59" s="35">
        <v>0.57647378350443845</v>
      </c>
      <c r="D59" s="12" t="s">
        <v>100</v>
      </c>
      <c r="E59" s="12" t="s">
        <v>40</v>
      </c>
    </row>
    <row r="60" spans="1:5" x14ac:dyDescent="0.25">
      <c r="A60" s="36">
        <v>58</v>
      </c>
      <c r="B60" s="37">
        <v>1066491213</v>
      </c>
      <c r="C60" s="38">
        <v>0.49662367137923075</v>
      </c>
      <c r="D60" s="14" t="s">
        <v>101</v>
      </c>
      <c r="E60" s="14" t="s">
        <v>43</v>
      </c>
    </row>
    <row r="61" spans="1:5" x14ac:dyDescent="0.25">
      <c r="A61" s="33">
        <v>59</v>
      </c>
      <c r="B61" s="34">
        <v>2123299674</v>
      </c>
      <c r="C61" s="35">
        <v>0.98873845999536036</v>
      </c>
      <c r="D61" s="12" t="s">
        <v>102</v>
      </c>
      <c r="E61" s="12" t="s">
        <v>46</v>
      </c>
    </row>
    <row r="62" spans="1:5" x14ac:dyDescent="0.25">
      <c r="A62" s="36">
        <v>60</v>
      </c>
      <c r="B62" s="37">
        <v>767209413</v>
      </c>
      <c r="C62" s="38">
        <v>0.35725972305855702</v>
      </c>
      <c r="D62" s="14" t="s">
        <v>103</v>
      </c>
      <c r="E62" s="14" t="s">
        <v>48</v>
      </c>
    </row>
    <row r="63" spans="1:5" x14ac:dyDescent="0.25">
      <c r="A63" s="33">
        <v>61</v>
      </c>
      <c r="B63" s="34">
        <v>456683852</v>
      </c>
      <c r="C63" s="35">
        <v>0.21265999051400461</v>
      </c>
      <c r="D63" s="12" t="s">
        <v>104</v>
      </c>
      <c r="E63" s="12" t="s">
        <v>37</v>
      </c>
    </row>
    <row r="64" spans="1:5" x14ac:dyDescent="0.25">
      <c r="A64" s="36">
        <v>62</v>
      </c>
      <c r="B64" s="37">
        <v>736256757</v>
      </c>
      <c r="C64" s="38">
        <v>0.3428462694132916</v>
      </c>
      <c r="D64" s="14" t="s">
        <v>105</v>
      </c>
      <c r="E64" s="14" t="s">
        <v>40</v>
      </c>
    </row>
    <row r="65" spans="1:5" x14ac:dyDescent="0.25">
      <c r="A65" s="33">
        <v>63</v>
      </c>
      <c r="B65" s="34">
        <v>1414614276</v>
      </c>
      <c r="C65" s="35">
        <v>0.65873110511281119</v>
      </c>
      <c r="D65" s="12" t="s">
        <v>106</v>
      </c>
      <c r="E65" s="12" t="s">
        <v>43</v>
      </c>
    </row>
    <row r="66" spans="1:5" x14ac:dyDescent="0.25">
      <c r="A66" s="36">
        <v>64</v>
      </c>
      <c r="B66" s="37">
        <v>1857302445</v>
      </c>
      <c r="C66" s="38">
        <v>0.86487384786124988</v>
      </c>
      <c r="D66" s="14" t="s">
        <v>107</v>
      </c>
      <c r="E66" s="14" t="s">
        <v>46</v>
      </c>
    </row>
    <row r="67" spans="1:5" x14ac:dyDescent="0.25">
      <c r="A67" s="33">
        <v>65</v>
      </c>
      <c r="B67" s="34">
        <v>1318012060</v>
      </c>
      <c r="C67" s="35">
        <v>0.61374719283252355</v>
      </c>
      <c r="D67" s="12" t="s">
        <v>108</v>
      </c>
      <c r="E67" s="12" t="s">
        <v>48</v>
      </c>
    </row>
    <row r="68" spans="1:5" x14ac:dyDescent="0.25">
      <c r="A68" s="36">
        <v>66</v>
      </c>
      <c r="B68" s="37">
        <v>39267817</v>
      </c>
      <c r="C68" s="38">
        <v>1.828550222249958E-2</v>
      </c>
      <c r="D68" s="14" t="s">
        <v>109</v>
      </c>
      <c r="E68" s="14" t="s">
        <v>37</v>
      </c>
    </row>
    <row r="69" spans="1:5" x14ac:dyDescent="0.25">
      <c r="A69" s="33">
        <v>67</v>
      </c>
      <c r="B69" s="34">
        <v>317232409</v>
      </c>
      <c r="C69" s="35">
        <v>0.14772285201946406</v>
      </c>
      <c r="D69" s="12" t="s">
        <v>110</v>
      </c>
      <c r="E69" s="12" t="s">
        <v>40</v>
      </c>
    </row>
    <row r="70" spans="1:5" x14ac:dyDescent="0.25">
      <c r="A70" s="36">
        <v>68</v>
      </c>
      <c r="B70" s="37">
        <v>1830501412</v>
      </c>
      <c r="C70" s="38">
        <v>0.8523936443274811</v>
      </c>
      <c r="D70" s="14" t="s">
        <v>111</v>
      </c>
      <c r="E70" s="14" t="s">
        <v>43</v>
      </c>
    </row>
    <row r="71" spans="1:5" x14ac:dyDescent="0.25">
      <c r="A71" s="33">
        <v>69</v>
      </c>
      <c r="B71" s="34">
        <v>6356866</v>
      </c>
      <c r="C71" s="35">
        <v>2.9601464061812248E-3</v>
      </c>
      <c r="D71" s="12" t="s">
        <v>112</v>
      </c>
      <c r="E71" s="12" t="s">
        <v>46</v>
      </c>
    </row>
    <row r="72" spans="1:5" x14ac:dyDescent="0.25">
      <c r="A72" s="36">
        <v>70</v>
      </c>
      <c r="B72" s="37">
        <v>1524354104</v>
      </c>
      <c r="C72" s="38">
        <v>0.70983269471201704</v>
      </c>
      <c r="D72" s="14" t="s">
        <v>113</v>
      </c>
      <c r="E72" s="14" t="s">
        <v>48</v>
      </c>
    </row>
    <row r="73" spans="1:5" x14ac:dyDescent="0.25">
      <c r="A73" s="33">
        <v>71</v>
      </c>
      <c r="B73" s="34">
        <v>1585490325</v>
      </c>
      <c r="C73" s="35">
        <v>0.73830146609726433</v>
      </c>
      <c r="D73" s="12" t="s">
        <v>114</v>
      </c>
      <c r="E73" s="12" t="s">
        <v>37</v>
      </c>
    </row>
    <row r="74" spans="1:5" x14ac:dyDescent="0.25">
      <c r="A74" s="36">
        <v>72</v>
      </c>
      <c r="B74" s="37">
        <v>1546169961</v>
      </c>
      <c r="C74" s="38">
        <v>0.71999149477108915</v>
      </c>
      <c r="D74" s="14" t="s">
        <v>115</v>
      </c>
      <c r="E74" s="14" t="s">
        <v>40</v>
      </c>
    </row>
    <row r="75" spans="1:5" x14ac:dyDescent="0.25">
      <c r="A75" s="33">
        <v>73</v>
      </c>
      <c r="B75" s="34">
        <v>676392480</v>
      </c>
      <c r="C75" s="35">
        <v>0.31496979310874351</v>
      </c>
      <c r="D75" s="12" t="s">
        <v>116</v>
      </c>
      <c r="E75" s="12" t="s">
        <v>43</v>
      </c>
    </row>
    <row r="76" spans="1:5" x14ac:dyDescent="0.25">
      <c r="A76" s="36">
        <v>74</v>
      </c>
      <c r="B76" s="37">
        <v>1217645298</v>
      </c>
      <c r="C76" s="38">
        <v>0.56701027721493047</v>
      </c>
      <c r="D76" s="14" t="s">
        <v>117</v>
      </c>
      <c r="E76" s="14" t="s">
        <v>46</v>
      </c>
    </row>
    <row r="77" spans="1:5" x14ac:dyDescent="0.25">
      <c r="A77" s="33">
        <v>75</v>
      </c>
      <c r="B77" s="34">
        <v>545068132</v>
      </c>
      <c r="C77" s="35">
        <v>0.25381712813573754</v>
      </c>
      <c r="D77" s="12" t="s">
        <v>118</v>
      </c>
      <c r="E77" s="12" t="s">
        <v>48</v>
      </c>
    </row>
    <row r="78" spans="1:5" x14ac:dyDescent="0.25">
      <c r="A78" s="36">
        <v>76</v>
      </c>
      <c r="B78" s="37">
        <v>917718728</v>
      </c>
      <c r="C78" s="38">
        <v>0.42734608446589956</v>
      </c>
      <c r="D78" s="14" t="s">
        <v>119</v>
      </c>
      <c r="E78" s="14" t="s">
        <v>37</v>
      </c>
    </row>
    <row r="79" spans="1:5" x14ac:dyDescent="0.25">
      <c r="A79" s="33">
        <v>77</v>
      </c>
      <c r="B79" s="34">
        <v>1531975207</v>
      </c>
      <c r="C79" s="35">
        <v>0.71338154734735448</v>
      </c>
      <c r="D79" s="12" t="s">
        <v>120</v>
      </c>
      <c r="E79" s="12" t="s">
        <v>40</v>
      </c>
    </row>
    <row r="80" spans="1:5" x14ac:dyDescent="0.25">
      <c r="A80" s="36">
        <v>78</v>
      </c>
      <c r="B80" s="37">
        <v>1916058571</v>
      </c>
      <c r="C80" s="38">
        <v>0.8922343011443663</v>
      </c>
      <c r="D80" s="14" t="s">
        <v>121</v>
      </c>
      <c r="E80" s="14" t="s">
        <v>43</v>
      </c>
    </row>
    <row r="81" spans="1:5" x14ac:dyDescent="0.25">
      <c r="A81" s="33">
        <v>79</v>
      </c>
      <c r="B81" s="34">
        <v>1658390536</v>
      </c>
      <c r="C81" s="35">
        <v>0.77224827221233783</v>
      </c>
      <c r="D81" s="12" t="s">
        <v>122</v>
      </c>
      <c r="E81" s="12" t="s">
        <v>46</v>
      </c>
    </row>
    <row r="82" spans="1:5" x14ac:dyDescent="0.25">
      <c r="A82" s="36">
        <v>80</v>
      </c>
      <c r="B82" s="37">
        <v>58927354</v>
      </c>
      <c r="C82" s="38">
        <v>2.7440187534056693E-2</v>
      </c>
      <c r="D82" s="14" t="s">
        <v>123</v>
      </c>
      <c r="E82" s="14" t="s">
        <v>48</v>
      </c>
    </row>
    <row r="83" spans="1:5" x14ac:dyDescent="0.25">
      <c r="A83" s="33">
        <v>81</v>
      </c>
      <c r="B83" s="34">
        <v>752244348</v>
      </c>
      <c r="C83" s="35">
        <v>0.35029107162276796</v>
      </c>
      <c r="D83" s="12" t="s">
        <v>124</v>
      </c>
      <c r="E83" s="12" t="s">
        <v>37</v>
      </c>
    </row>
    <row r="84" spans="1:5" x14ac:dyDescent="0.25">
      <c r="A84" s="36">
        <v>82</v>
      </c>
      <c r="B84" s="37">
        <v>1542169927</v>
      </c>
      <c r="C84" s="38">
        <v>0.71812883378850711</v>
      </c>
      <c r="D84" s="14" t="s">
        <v>125</v>
      </c>
      <c r="E84" s="14" t="s">
        <v>40</v>
      </c>
    </row>
    <row r="85" spans="1:5" x14ac:dyDescent="0.25">
      <c r="A85" s="33">
        <v>83</v>
      </c>
      <c r="B85" s="34">
        <v>1866587977</v>
      </c>
      <c r="C85" s="35">
        <v>0.86919776064772059</v>
      </c>
      <c r="D85" s="12" t="s">
        <v>126</v>
      </c>
      <c r="E85" s="12" t="s">
        <v>43</v>
      </c>
    </row>
    <row r="86" spans="1:5" x14ac:dyDescent="0.25">
      <c r="A86" s="36">
        <v>84</v>
      </c>
      <c r="B86" s="37">
        <v>1878356901</v>
      </c>
      <c r="C86" s="38">
        <v>0.87467809295033949</v>
      </c>
      <c r="D86" s="14" t="s">
        <v>127</v>
      </c>
      <c r="E86" s="14" t="s">
        <v>46</v>
      </c>
    </row>
    <row r="87" spans="1:5" x14ac:dyDescent="0.25">
      <c r="A87" s="33">
        <v>85</v>
      </c>
      <c r="B87" s="34">
        <v>53266420</v>
      </c>
      <c r="C87" s="35">
        <v>2.4804109719025021E-2</v>
      </c>
      <c r="D87" s="12" t="s">
        <v>128</v>
      </c>
      <c r="E87" s="12" t="s">
        <v>48</v>
      </c>
    </row>
    <row r="88" spans="1:5" x14ac:dyDescent="0.25">
      <c r="A88" s="36">
        <v>86</v>
      </c>
      <c r="B88" s="37">
        <v>1144321034</v>
      </c>
      <c r="C88" s="38">
        <v>0.53286600603389833</v>
      </c>
      <c r="D88" s="14" t="s">
        <v>129</v>
      </c>
      <c r="E88" s="14" t="s">
        <v>37</v>
      </c>
    </row>
    <row r="89" spans="1:5" x14ac:dyDescent="0.25">
      <c r="A89" s="33">
        <v>87</v>
      </c>
      <c r="B89" s="34">
        <v>560127130</v>
      </c>
      <c r="C89" s="35">
        <v>0.26082952053324765</v>
      </c>
      <c r="D89" s="12" t="s">
        <v>130</v>
      </c>
      <c r="E89" s="12" t="s">
        <v>40</v>
      </c>
    </row>
    <row r="90" spans="1:5" x14ac:dyDescent="0.25">
      <c r="A90" s="36">
        <v>88</v>
      </c>
      <c r="B90" s="37">
        <v>1567236894</v>
      </c>
      <c r="C90" s="38">
        <v>0.72980154991606327</v>
      </c>
      <c r="D90" s="14" t="s">
        <v>131</v>
      </c>
      <c r="E90" s="14" t="s">
        <v>43</v>
      </c>
    </row>
    <row r="91" spans="1:5" x14ac:dyDescent="0.25">
      <c r="A91" s="33">
        <v>89</v>
      </c>
      <c r="B91" s="34">
        <v>852572442</v>
      </c>
      <c r="C91" s="35">
        <v>0.39700998104969504</v>
      </c>
      <c r="D91" s="12" t="s">
        <v>132</v>
      </c>
      <c r="E91" s="12" t="s">
        <v>46</v>
      </c>
    </row>
    <row r="92" spans="1:5" x14ac:dyDescent="0.25">
      <c r="A92" s="36">
        <v>90</v>
      </c>
      <c r="B92" s="37">
        <v>1097026322</v>
      </c>
      <c r="C92" s="38">
        <v>0.5108426895508742</v>
      </c>
      <c r="D92" s="14" t="s">
        <v>133</v>
      </c>
      <c r="E92" s="14" t="s">
        <v>48</v>
      </c>
    </row>
    <row r="93" spans="1:5" x14ac:dyDescent="0.25">
      <c r="A93" s="33">
        <v>91</v>
      </c>
      <c r="B93" s="34">
        <v>1932650703</v>
      </c>
      <c r="C93" s="35">
        <v>0.89996061469426403</v>
      </c>
      <c r="D93" s="12" t="s">
        <v>134</v>
      </c>
      <c r="E93" s="12" t="s">
        <v>37</v>
      </c>
    </row>
    <row r="94" spans="1:5" x14ac:dyDescent="0.25">
      <c r="A94" s="36">
        <v>92</v>
      </c>
      <c r="B94" s="37">
        <v>889723769</v>
      </c>
      <c r="C94" s="38">
        <v>0.4143099158137617</v>
      </c>
      <c r="D94" s="14" t="s">
        <v>135</v>
      </c>
      <c r="E94" s="14" t="s">
        <v>40</v>
      </c>
    </row>
    <row r="95" spans="1:5" x14ac:dyDescent="0.25">
      <c r="A95" s="33">
        <v>93</v>
      </c>
      <c r="B95" s="34">
        <v>1470501985</v>
      </c>
      <c r="C95" s="35">
        <v>0.68475584764255015</v>
      </c>
      <c r="D95" s="12" t="s">
        <v>136</v>
      </c>
      <c r="E95" s="12" t="s">
        <v>43</v>
      </c>
    </row>
    <row r="96" spans="1:5" x14ac:dyDescent="0.25">
      <c r="A96" s="36">
        <v>94</v>
      </c>
      <c r="B96" s="37">
        <v>1502021277</v>
      </c>
      <c r="C96" s="38">
        <v>0.69943316173713332</v>
      </c>
      <c r="D96" s="14" t="s">
        <v>137</v>
      </c>
      <c r="E96" s="14" t="s">
        <v>46</v>
      </c>
    </row>
    <row r="97" spans="1:5" x14ac:dyDescent="0.25">
      <c r="A97" s="33">
        <v>95</v>
      </c>
      <c r="B97" s="34">
        <v>978557720</v>
      </c>
      <c r="C97" s="35">
        <v>0.45567644781231714</v>
      </c>
      <c r="D97" s="12" t="s">
        <v>138</v>
      </c>
      <c r="E97" s="12" t="s">
        <v>48</v>
      </c>
    </row>
    <row r="98" spans="1:5" x14ac:dyDescent="0.25">
      <c r="A98" s="36">
        <v>96</v>
      </c>
      <c r="B98" s="37">
        <v>668792428</v>
      </c>
      <c r="C98" s="38">
        <v>0.31143074310916974</v>
      </c>
      <c r="D98" s="14" t="s">
        <v>139</v>
      </c>
      <c r="E98" s="14" t="s">
        <v>37</v>
      </c>
    </row>
    <row r="99" spans="1:5" x14ac:dyDescent="0.25">
      <c r="A99" s="33">
        <v>97</v>
      </c>
      <c r="B99" s="34">
        <v>1567254475</v>
      </c>
      <c r="C99" s="35">
        <v>0.72980973670715921</v>
      </c>
      <c r="D99" s="12" t="s">
        <v>140</v>
      </c>
      <c r="E99" s="12" t="s">
        <v>40</v>
      </c>
    </row>
    <row r="100" spans="1:5" x14ac:dyDescent="0.25">
      <c r="A100" s="36">
        <v>98</v>
      </c>
      <c r="B100" s="37">
        <v>51815409</v>
      </c>
      <c r="C100" s="38">
        <v>2.4128430068552694E-2</v>
      </c>
      <c r="D100" s="14" t="s">
        <v>141</v>
      </c>
      <c r="E100" s="14" t="s">
        <v>43</v>
      </c>
    </row>
    <row r="101" spans="1:5" x14ac:dyDescent="0.25">
      <c r="A101" s="33">
        <v>99</v>
      </c>
      <c r="B101" s="34">
        <v>1819339134</v>
      </c>
      <c r="C101" s="35">
        <v>0.84719580358229385</v>
      </c>
      <c r="D101" s="12" t="s">
        <v>142</v>
      </c>
      <c r="E101" s="12" t="s">
        <v>46</v>
      </c>
    </row>
    <row r="102" spans="1:5" x14ac:dyDescent="0.25">
      <c r="A102" s="36">
        <v>100</v>
      </c>
      <c r="B102" s="37">
        <v>144082760</v>
      </c>
      <c r="C102" s="38">
        <v>6.7093763531695008E-2</v>
      </c>
      <c r="D102" s="14" t="s">
        <v>143</v>
      </c>
      <c r="E102" s="14" t="s">
        <v>48</v>
      </c>
    </row>
    <row r="103" spans="1:5" x14ac:dyDescent="0.25">
      <c r="A103" s="36">
        <v>101</v>
      </c>
      <c r="B103" s="37">
        <v>1543779910</v>
      </c>
      <c r="C103" s="38">
        <v>0.71887854054517975</v>
      </c>
      <c r="D103" s="14" t="s">
        <v>144</v>
      </c>
      <c r="E103" s="14" t="s">
        <v>37</v>
      </c>
    </row>
    <row r="104" spans="1:5" x14ac:dyDescent="0.25">
      <c r="A104" s="36">
        <v>102</v>
      </c>
      <c r="B104" s="37">
        <v>1663949596</v>
      </c>
      <c r="C104" s="38">
        <v>0.77483691124936427</v>
      </c>
      <c r="D104" s="14" t="s">
        <v>145</v>
      </c>
      <c r="E104" s="14" t="s">
        <v>40</v>
      </c>
    </row>
    <row r="105" spans="1:5" x14ac:dyDescent="0.25">
      <c r="A105" s="36">
        <v>103</v>
      </c>
      <c r="B105" s="37">
        <v>1893722578</v>
      </c>
      <c r="C105" s="38">
        <v>0.8818332938858463</v>
      </c>
      <c r="D105" s="14" t="s">
        <v>146</v>
      </c>
      <c r="E105" s="14" t="s">
        <v>43</v>
      </c>
    </row>
    <row r="106" spans="1:5" x14ac:dyDescent="0.25">
      <c r="A106" s="36">
        <v>104</v>
      </c>
      <c r="B106" s="37">
        <v>76539075</v>
      </c>
      <c r="C106" s="38">
        <v>3.5641284210440369E-2</v>
      </c>
      <c r="D106" s="14" t="s">
        <v>147</v>
      </c>
      <c r="E106" s="14" t="s">
        <v>46</v>
      </c>
    </row>
    <row r="107" spans="1:5" x14ac:dyDescent="0.25">
      <c r="A107" s="36">
        <v>105</v>
      </c>
      <c r="B107" s="37">
        <v>602876676</v>
      </c>
      <c r="C107" s="38">
        <v>0.28073632916469887</v>
      </c>
      <c r="D107" s="14" t="s">
        <v>148</v>
      </c>
      <c r="E107" s="14" t="s">
        <v>48</v>
      </c>
    </row>
    <row r="108" spans="1:5" x14ac:dyDescent="0.25">
      <c r="A108" s="36">
        <v>106</v>
      </c>
      <c r="B108" s="37">
        <v>237165552</v>
      </c>
      <c r="C108" s="38">
        <v>0.11043881630079766</v>
      </c>
      <c r="D108" s="14" t="s">
        <v>149</v>
      </c>
      <c r="E108" s="14" t="s">
        <v>37</v>
      </c>
    </row>
    <row r="109" spans="1:5" x14ac:dyDescent="0.25">
      <c r="A109" s="36">
        <v>107</v>
      </c>
      <c r="B109" s="37">
        <v>1380486307</v>
      </c>
      <c r="C109" s="38">
        <v>0.64283903112767216</v>
      </c>
      <c r="D109" s="14" t="s">
        <v>150</v>
      </c>
      <c r="E109" s="14" t="s">
        <v>40</v>
      </c>
    </row>
    <row r="110" spans="1:5" x14ac:dyDescent="0.25">
      <c r="A110" s="36">
        <v>108</v>
      </c>
      <c r="B110" s="37">
        <v>237133164</v>
      </c>
      <c r="C110" s="38">
        <v>0.11042373446301731</v>
      </c>
      <c r="D110" s="14" t="s">
        <v>151</v>
      </c>
      <c r="E110" s="14" t="s">
        <v>43</v>
      </c>
    </row>
    <row r="111" spans="1:5" x14ac:dyDescent="0.25">
      <c r="A111" s="36">
        <v>109</v>
      </c>
      <c r="B111" s="37">
        <v>1156941782</v>
      </c>
      <c r="C111" s="38">
        <v>0.53874299979710161</v>
      </c>
      <c r="D111" s="14" t="s">
        <v>152</v>
      </c>
      <c r="E111" s="14" t="s">
        <v>46</v>
      </c>
    </row>
    <row r="112" spans="1:5" x14ac:dyDescent="0.25">
      <c r="A112" s="36">
        <v>110</v>
      </c>
      <c r="B112" s="37">
        <v>1425656876</v>
      </c>
      <c r="C112" s="38">
        <v>0.66387321644643005</v>
      </c>
      <c r="D112" s="14" t="s">
        <v>153</v>
      </c>
      <c r="E112" s="14" t="s">
        <v>48</v>
      </c>
    </row>
    <row r="113" spans="1:5" x14ac:dyDescent="0.25">
      <c r="A113" s="36">
        <v>111</v>
      </c>
      <c r="B113" s="37">
        <v>81049125</v>
      </c>
      <c r="C113" s="38">
        <v>3.7741439900240599E-2</v>
      </c>
      <c r="D113" s="14" t="s">
        <v>154</v>
      </c>
      <c r="E113" s="14" t="s">
        <v>37</v>
      </c>
    </row>
    <row r="114" spans="1:5" x14ac:dyDescent="0.25">
      <c r="A114" s="36">
        <v>112</v>
      </c>
      <c r="B114" s="37">
        <v>91023014</v>
      </c>
      <c r="C114" s="38">
        <v>4.2385893893607841E-2</v>
      </c>
      <c r="D114" s="14" t="s">
        <v>155</v>
      </c>
      <c r="E114" s="14" t="s">
        <v>40</v>
      </c>
    </row>
    <row r="115" spans="1:5" x14ac:dyDescent="0.25">
      <c r="A115" s="36">
        <v>113</v>
      </c>
      <c r="B115" s="37">
        <v>1830019429</v>
      </c>
      <c r="C115" s="38">
        <v>0.85216920350313619</v>
      </c>
      <c r="D115" s="14" t="s">
        <v>156</v>
      </c>
      <c r="E115" s="14" t="s">
        <v>43</v>
      </c>
    </row>
    <row r="116" spans="1:5" x14ac:dyDescent="0.25">
      <c r="A116" s="36">
        <v>114</v>
      </c>
      <c r="B116" s="37">
        <v>892487769</v>
      </c>
      <c r="C116" s="38">
        <v>0.41559700361247964</v>
      </c>
      <c r="D116" s="14" t="s">
        <v>157</v>
      </c>
      <c r="E116" s="14" t="s">
        <v>46</v>
      </c>
    </row>
    <row r="117" spans="1:5" x14ac:dyDescent="0.25">
      <c r="A117" s="36">
        <v>115</v>
      </c>
      <c r="B117" s="37">
        <v>160146464</v>
      </c>
      <c r="C117" s="38">
        <v>7.4574008618748758E-2</v>
      </c>
      <c r="D117" s="14" t="s">
        <v>158</v>
      </c>
      <c r="E117" s="14" t="s">
        <v>48</v>
      </c>
    </row>
    <row r="118" spans="1:5" x14ac:dyDescent="0.25">
      <c r="A118" s="36">
        <v>116</v>
      </c>
      <c r="B118" s="37">
        <v>1661791713</v>
      </c>
      <c r="C118" s="38">
        <v>0.77383206867325682</v>
      </c>
      <c r="D118" s="14" t="s">
        <v>159</v>
      </c>
      <c r="E118" s="14" t="s">
        <v>37</v>
      </c>
    </row>
    <row r="119" spans="1:5" x14ac:dyDescent="0.25">
      <c r="A119" s="36">
        <v>117</v>
      </c>
      <c r="B119" s="37">
        <v>636179787</v>
      </c>
      <c r="C119" s="38">
        <v>0.29624429871153285</v>
      </c>
      <c r="D119" s="14" t="s">
        <v>160</v>
      </c>
      <c r="E119" s="14" t="s">
        <v>40</v>
      </c>
    </row>
    <row r="120" spans="1:5" x14ac:dyDescent="0.25">
      <c r="A120" s="36">
        <v>118</v>
      </c>
      <c r="B120" s="37">
        <v>1102622816</v>
      </c>
      <c r="C120" s="38">
        <v>0.51344876015253771</v>
      </c>
      <c r="D120" s="14" t="s">
        <v>161</v>
      </c>
      <c r="E120" s="14" t="s">
        <v>43</v>
      </c>
    </row>
    <row r="121" spans="1:5" x14ac:dyDescent="0.25">
      <c r="A121" s="36">
        <v>119</v>
      </c>
      <c r="B121" s="37">
        <v>1652765367</v>
      </c>
      <c r="C121" s="38">
        <v>0.76962884877325444</v>
      </c>
      <c r="D121" s="14" t="s">
        <v>162</v>
      </c>
      <c r="E121" s="14" t="s">
        <v>46</v>
      </c>
    </row>
    <row r="122" spans="1:5" x14ac:dyDescent="0.25">
      <c r="A122" s="36">
        <v>120</v>
      </c>
      <c r="B122" s="37">
        <v>2000682196</v>
      </c>
      <c r="C122" s="38">
        <v>0.93164024731686346</v>
      </c>
      <c r="D122" s="14" t="s">
        <v>163</v>
      </c>
      <c r="E122" s="14" t="s">
        <v>48</v>
      </c>
    </row>
    <row r="123" spans="1:5" x14ac:dyDescent="0.25">
      <c r="A123" s="36">
        <v>121</v>
      </c>
      <c r="B123" s="37">
        <v>2050419637</v>
      </c>
      <c r="C123" s="38">
        <v>0.95480104813110134</v>
      </c>
      <c r="D123" s="14" t="s">
        <v>164</v>
      </c>
      <c r="E123" s="14" t="s">
        <v>37</v>
      </c>
    </row>
    <row r="124" spans="1:5" x14ac:dyDescent="0.25">
      <c r="A124" s="36">
        <v>122</v>
      </c>
      <c r="B124" s="37">
        <v>1474841018</v>
      </c>
      <c r="C124" s="38">
        <v>0.68677636733594183</v>
      </c>
      <c r="D124" s="14" t="s">
        <v>165</v>
      </c>
      <c r="E124" s="14" t="s">
        <v>40</v>
      </c>
    </row>
    <row r="125" spans="1:5" x14ac:dyDescent="0.25">
      <c r="A125" s="36">
        <v>123</v>
      </c>
      <c r="B125" s="37">
        <v>1943420741</v>
      </c>
      <c r="C125" s="38">
        <v>0.90497580445603276</v>
      </c>
      <c r="D125" s="14" t="s">
        <v>166</v>
      </c>
      <c r="E125" s="14" t="s">
        <v>43</v>
      </c>
    </row>
    <row r="126" spans="1:5" x14ac:dyDescent="0.25">
      <c r="A126" s="36">
        <v>124</v>
      </c>
      <c r="B126" s="37">
        <v>693740563</v>
      </c>
      <c r="C126" s="38">
        <v>0.32304812377460679</v>
      </c>
      <c r="D126" s="14" t="s">
        <v>167</v>
      </c>
      <c r="E126" s="14" t="s">
        <v>46</v>
      </c>
    </row>
    <row r="127" spans="1:5" x14ac:dyDescent="0.25">
      <c r="A127" s="36">
        <v>125</v>
      </c>
      <c r="B127" s="37">
        <v>322899664</v>
      </c>
      <c r="C127" s="38">
        <v>0.15036187327949418</v>
      </c>
      <c r="D127" s="14" t="s">
        <v>168</v>
      </c>
      <c r="E127" s="14" t="s">
        <v>48</v>
      </c>
    </row>
    <row r="128" spans="1:5" x14ac:dyDescent="0.25">
      <c r="A128" s="36">
        <v>126</v>
      </c>
      <c r="B128" s="37">
        <v>1222469016</v>
      </c>
      <c r="C128" s="38">
        <v>0.56925649594946603</v>
      </c>
      <c r="D128" s="14" t="s">
        <v>169</v>
      </c>
      <c r="E128" s="14" t="s">
        <v>37</v>
      </c>
    </row>
    <row r="129" spans="1:5" x14ac:dyDescent="0.25">
      <c r="A129" s="36">
        <v>127</v>
      </c>
      <c r="B129" s="37">
        <v>302915949</v>
      </c>
      <c r="C129" s="38">
        <v>0.14105623082306992</v>
      </c>
      <c r="D129" s="14" t="s">
        <v>170</v>
      </c>
      <c r="E129" s="14" t="s">
        <v>40</v>
      </c>
    </row>
    <row r="130" spans="1:5" x14ac:dyDescent="0.25">
      <c r="A130" s="36">
        <v>128</v>
      </c>
      <c r="B130" s="37">
        <v>203467024</v>
      </c>
      <c r="C130" s="38">
        <v>9.4746716364634553E-2</v>
      </c>
      <c r="D130" s="14" t="s">
        <v>171</v>
      </c>
      <c r="E130" s="14" t="s">
        <v>43</v>
      </c>
    </row>
    <row r="131" spans="1:5" x14ac:dyDescent="0.25">
      <c r="A131" s="36">
        <v>129</v>
      </c>
      <c r="B131" s="37">
        <v>1611026747</v>
      </c>
      <c r="C131" s="38">
        <v>0.75019278924455535</v>
      </c>
      <c r="D131" s="14" t="s">
        <v>172</v>
      </c>
      <c r="E131" s="14" t="s">
        <v>46</v>
      </c>
    </row>
    <row r="132" spans="1:5" x14ac:dyDescent="0.25">
      <c r="A132" s="36">
        <v>130</v>
      </c>
      <c r="B132" s="37">
        <v>267690793</v>
      </c>
      <c r="C132" s="38">
        <v>0.12465323932685575</v>
      </c>
      <c r="D132" s="14" t="s">
        <v>173</v>
      </c>
      <c r="E132" s="14" t="s">
        <v>48</v>
      </c>
    </row>
    <row r="133" spans="1:5" x14ac:dyDescent="0.25">
      <c r="A133" s="36">
        <v>131</v>
      </c>
      <c r="B133" s="37">
        <v>1944173812</v>
      </c>
      <c r="C133" s="38">
        <v>0.90532648046749009</v>
      </c>
      <c r="D133" s="14" t="s">
        <v>174</v>
      </c>
      <c r="E133" s="14" t="s">
        <v>37</v>
      </c>
    </row>
    <row r="134" spans="1:5" x14ac:dyDescent="0.25">
      <c r="A134" s="36">
        <v>132</v>
      </c>
      <c r="B134" s="37">
        <v>68796990</v>
      </c>
      <c r="C134" s="38">
        <v>3.2036094941215634E-2</v>
      </c>
      <c r="D134" s="14" t="s">
        <v>175</v>
      </c>
      <c r="E134" s="14" t="s">
        <v>40</v>
      </c>
    </row>
    <row r="135" spans="1:5" x14ac:dyDescent="0.25">
      <c r="A135" s="36">
        <v>133</v>
      </c>
      <c r="B135" s="37">
        <v>758207698</v>
      </c>
      <c r="C135" s="38">
        <v>0.3530679728617277</v>
      </c>
      <c r="D135" s="14" t="s">
        <v>176</v>
      </c>
      <c r="E135" s="14" t="s">
        <v>43</v>
      </c>
    </row>
    <row r="136" spans="1:5" x14ac:dyDescent="0.25">
      <c r="A136" s="36">
        <v>134</v>
      </c>
      <c r="B136" s="37">
        <v>2017912243</v>
      </c>
      <c r="C136" s="38">
        <v>0.93966361318699254</v>
      </c>
      <c r="D136" s="14" t="s">
        <v>177</v>
      </c>
      <c r="E136" s="14" t="s">
        <v>46</v>
      </c>
    </row>
    <row r="137" spans="1:5" x14ac:dyDescent="0.25">
      <c r="A137" s="36">
        <v>135</v>
      </c>
      <c r="B137" s="37">
        <v>102812980</v>
      </c>
      <c r="C137" s="38">
        <v>4.7876024641038864E-2</v>
      </c>
      <c r="D137" s="14" t="s">
        <v>178</v>
      </c>
      <c r="E137" s="14" t="s">
        <v>48</v>
      </c>
    </row>
    <row r="138" spans="1:5" x14ac:dyDescent="0.25">
      <c r="A138" s="36">
        <v>136</v>
      </c>
      <c r="B138" s="37">
        <v>670125646</v>
      </c>
      <c r="C138" s="38">
        <v>0.31205157111960069</v>
      </c>
      <c r="D138" s="14" t="s">
        <v>179</v>
      </c>
      <c r="E138" s="14" t="s">
        <v>37</v>
      </c>
    </row>
    <row r="139" spans="1:5" x14ac:dyDescent="0.25">
      <c r="A139" s="36">
        <v>137</v>
      </c>
      <c r="B139" s="37">
        <v>243854927</v>
      </c>
      <c r="C139" s="38">
        <v>0.11355379927603239</v>
      </c>
      <c r="D139" s="14" t="s">
        <v>180</v>
      </c>
      <c r="E139" s="14" t="s">
        <v>40</v>
      </c>
    </row>
    <row r="140" spans="1:5" x14ac:dyDescent="0.25">
      <c r="A140" s="36">
        <v>138</v>
      </c>
      <c r="B140" s="37">
        <v>1309698487</v>
      </c>
      <c r="C140" s="38">
        <v>0.60987588372541401</v>
      </c>
      <c r="D140" s="14" t="s">
        <v>181</v>
      </c>
      <c r="E140" s="14" t="s">
        <v>43</v>
      </c>
    </row>
    <row r="141" spans="1:5" x14ac:dyDescent="0.25">
      <c r="A141" s="36">
        <v>139</v>
      </c>
      <c r="B141" s="37">
        <v>273791260</v>
      </c>
      <c r="C141" s="38">
        <v>0.12749399064457695</v>
      </c>
      <c r="D141" s="14" t="s">
        <v>182</v>
      </c>
      <c r="E141" s="14" t="s">
        <v>46</v>
      </c>
    </row>
    <row r="142" spans="1:5" x14ac:dyDescent="0.25">
      <c r="A142" s="36">
        <v>140</v>
      </c>
      <c r="B142" s="37">
        <v>873840324</v>
      </c>
      <c r="C142" s="38">
        <v>0.40691361036473589</v>
      </c>
      <c r="D142" s="14" t="s">
        <v>183</v>
      </c>
      <c r="E142" s="14" t="s">
        <v>48</v>
      </c>
    </row>
    <row r="143" spans="1:5" x14ac:dyDescent="0.25">
      <c r="A143" s="36">
        <v>141</v>
      </c>
      <c r="B143" s="37">
        <v>750391577</v>
      </c>
      <c r="C143" s="38">
        <v>0.34942830789341978</v>
      </c>
      <c r="D143" s="14" t="s">
        <v>184</v>
      </c>
      <c r="E143" s="14" t="s">
        <v>37</v>
      </c>
    </row>
    <row r="144" spans="1:5" x14ac:dyDescent="0.25">
      <c r="A144" s="36">
        <v>142</v>
      </c>
      <c r="B144" s="37">
        <v>1345038244</v>
      </c>
      <c r="C144" s="38">
        <v>0.6263322404708398</v>
      </c>
      <c r="D144" s="14" t="s">
        <v>185</v>
      </c>
      <c r="E144" s="14" t="s">
        <v>40</v>
      </c>
    </row>
    <row r="145" spans="1:5" x14ac:dyDescent="0.25">
      <c r="A145" s="36">
        <v>143</v>
      </c>
      <c r="B145" s="37">
        <v>310753061</v>
      </c>
      <c r="C145" s="38">
        <v>0.14470567048746424</v>
      </c>
      <c r="D145" s="14" t="s">
        <v>186</v>
      </c>
      <c r="E145" s="14" t="s">
        <v>43</v>
      </c>
    </row>
    <row r="146" spans="1:5" x14ac:dyDescent="0.25">
      <c r="A146" s="36">
        <v>144</v>
      </c>
      <c r="B146" s="37">
        <v>1456646946</v>
      </c>
      <c r="C146" s="38">
        <v>0.67830409234310696</v>
      </c>
      <c r="D146" s="14" t="s">
        <v>187</v>
      </c>
      <c r="E146" s="14" t="s">
        <v>46</v>
      </c>
    </row>
    <row r="147" spans="1:5" x14ac:dyDescent="0.25">
      <c r="A147" s="36">
        <v>145</v>
      </c>
      <c r="B147" s="37">
        <v>1270114935</v>
      </c>
      <c r="C147" s="38">
        <v>0.59144335593629782</v>
      </c>
      <c r="D147" s="14" t="s">
        <v>188</v>
      </c>
      <c r="E147" s="14" t="s">
        <v>48</v>
      </c>
    </row>
    <row r="148" spans="1:5" x14ac:dyDescent="0.25">
      <c r="A148" s="36">
        <v>146</v>
      </c>
      <c r="B148" s="37">
        <v>1555155714</v>
      </c>
      <c r="C148" s="38">
        <v>0.72417581208244708</v>
      </c>
      <c r="D148" s="14" t="s">
        <v>189</v>
      </c>
      <c r="E148" s="14" t="s">
        <v>37</v>
      </c>
    </row>
    <row r="149" spans="1:5" x14ac:dyDescent="0.25">
      <c r="A149" s="36">
        <v>147</v>
      </c>
      <c r="B149" s="37">
        <v>463303450</v>
      </c>
      <c r="C149" s="38">
        <v>0.21574248104157973</v>
      </c>
      <c r="D149" s="14" t="s">
        <v>190</v>
      </c>
      <c r="E149" s="14" t="s">
        <v>40</v>
      </c>
    </row>
    <row r="150" spans="1:5" x14ac:dyDescent="0.25">
      <c r="A150" s="36">
        <v>148</v>
      </c>
      <c r="B150" s="37">
        <v>484024950</v>
      </c>
      <c r="C150" s="38">
        <v>0.22539168141102031</v>
      </c>
      <c r="D150" s="14" t="s">
        <v>191</v>
      </c>
      <c r="E150" s="14" t="s">
        <v>43</v>
      </c>
    </row>
    <row r="151" spans="1:5" x14ac:dyDescent="0.25">
      <c r="A151" s="36">
        <v>149</v>
      </c>
      <c r="B151" s="37">
        <v>1203957983</v>
      </c>
      <c r="C151" s="38">
        <v>0.56063662448927598</v>
      </c>
      <c r="D151" s="14" t="s">
        <v>192</v>
      </c>
      <c r="E151" s="14" t="s">
        <v>46</v>
      </c>
    </row>
    <row r="152" spans="1:5" x14ac:dyDescent="0.25">
      <c r="A152" s="36">
        <v>150</v>
      </c>
      <c r="B152" s="37">
        <v>321078780</v>
      </c>
      <c r="C152" s="38">
        <v>0.14951395809162127</v>
      </c>
      <c r="D152" s="14" t="s">
        <v>193</v>
      </c>
      <c r="E152" s="14" t="s">
        <v>48</v>
      </c>
    </row>
    <row r="153" spans="1:5" x14ac:dyDescent="0.25">
      <c r="A153" s="36">
        <v>151</v>
      </c>
      <c r="B153" s="37">
        <v>414954833</v>
      </c>
      <c r="C153" s="38">
        <v>0.19322840179932696</v>
      </c>
      <c r="D153" s="14" t="s">
        <v>194</v>
      </c>
      <c r="E153" s="14" t="s">
        <v>37</v>
      </c>
    </row>
    <row r="154" spans="1:5" x14ac:dyDescent="0.25">
      <c r="A154" s="36">
        <v>152</v>
      </c>
      <c r="B154" s="37">
        <v>2099467997</v>
      </c>
      <c r="C154" s="38">
        <v>0.97764097059967037</v>
      </c>
      <c r="D154" s="14" t="s">
        <v>195</v>
      </c>
      <c r="E154" s="14" t="s">
        <v>40</v>
      </c>
    </row>
    <row r="155" spans="1:5" x14ac:dyDescent="0.25">
      <c r="A155" s="36">
        <v>153</v>
      </c>
      <c r="B155" s="37">
        <v>662978372</v>
      </c>
      <c r="C155" s="38">
        <v>0.30872336230646974</v>
      </c>
      <c r="D155" s="14" t="s">
        <v>196</v>
      </c>
      <c r="E155" s="14" t="s">
        <v>43</v>
      </c>
    </row>
    <row r="156" spans="1:5" x14ac:dyDescent="0.25">
      <c r="A156" s="36">
        <v>154</v>
      </c>
      <c r="B156" s="37">
        <v>487004457</v>
      </c>
      <c r="C156" s="38">
        <v>0.2267791224768288</v>
      </c>
      <c r="D156" s="14" t="s">
        <v>197</v>
      </c>
      <c r="E156" s="14" t="s">
        <v>46</v>
      </c>
    </row>
    <row r="157" spans="1:5" x14ac:dyDescent="0.25">
      <c r="A157" s="36">
        <v>155</v>
      </c>
      <c r="B157" s="37">
        <v>2128106235</v>
      </c>
      <c r="C157" s="38">
        <v>0.9909766893791857</v>
      </c>
      <c r="D157" s="14" t="s">
        <v>198</v>
      </c>
      <c r="E157" s="14" t="s">
        <v>48</v>
      </c>
    </row>
    <row r="158" spans="1:5" x14ac:dyDescent="0.25">
      <c r="A158" s="36">
        <v>156</v>
      </c>
      <c r="B158" s="37">
        <v>2031572863</v>
      </c>
      <c r="C158" s="38">
        <v>0.94602483508457658</v>
      </c>
      <c r="D158" s="14" t="s">
        <v>199</v>
      </c>
      <c r="E158" s="14" t="s">
        <v>37</v>
      </c>
    </row>
    <row r="159" spans="1:5" x14ac:dyDescent="0.25">
      <c r="A159" s="36">
        <v>157</v>
      </c>
      <c r="B159" s="37">
        <v>989464044</v>
      </c>
      <c r="C159" s="38">
        <v>0.46075510068831738</v>
      </c>
      <c r="D159" s="14" t="s">
        <v>200</v>
      </c>
      <c r="E159" s="14" t="s">
        <v>40</v>
      </c>
    </row>
    <row r="160" spans="1:5" x14ac:dyDescent="0.25">
      <c r="A160" s="36">
        <v>158</v>
      </c>
      <c r="B160" s="37">
        <v>1838480437</v>
      </c>
      <c r="C160" s="38">
        <v>0.85610916738217191</v>
      </c>
      <c r="D160" s="14" t="s">
        <v>201</v>
      </c>
      <c r="E160" s="14" t="s">
        <v>43</v>
      </c>
    </row>
    <row r="161" spans="1:5" x14ac:dyDescent="0.25">
      <c r="A161" s="36">
        <v>159</v>
      </c>
      <c r="B161" s="37">
        <v>1254071943</v>
      </c>
      <c r="C161" s="38">
        <v>0.58397275562583129</v>
      </c>
      <c r="D161" s="14" t="s">
        <v>202</v>
      </c>
      <c r="E161" s="14" t="s">
        <v>46</v>
      </c>
    </row>
    <row r="162" spans="1:5" x14ac:dyDescent="0.25">
      <c r="A162" s="36">
        <v>160</v>
      </c>
      <c r="B162" s="37">
        <v>1553047359</v>
      </c>
      <c r="C162" s="38">
        <v>0.72319403277858818</v>
      </c>
      <c r="D162" s="14" t="s">
        <v>203</v>
      </c>
      <c r="E162" s="14" t="s">
        <v>48</v>
      </c>
    </row>
    <row r="163" spans="1:5" x14ac:dyDescent="0.25">
      <c r="A163" s="36">
        <v>161</v>
      </c>
      <c r="B163" s="37">
        <v>41976273</v>
      </c>
      <c r="C163" s="38">
        <v>1.9546725330663251E-2</v>
      </c>
      <c r="D163" s="14" t="s">
        <v>204</v>
      </c>
      <c r="E163" s="14" t="s">
        <v>37</v>
      </c>
    </row>
    <row r="164" spans="1:5" x14ac:dyDescent="0.25">
      <c r="A164" s="36">
        <v>162</v>
      </c>
      <c r="B164" s="37">
        <v>1041780756</v>
      </c>
      <c r="C164" s="38">
        <v>0.48511696815729</v>
      </c>
      <c r="D164" s="14" t="s">
        <v>205</v>
      </c>
      <c r="E164" s="14" t="s">
        <v>40</v>
      </c>
    </row>
    <row r="165" spans="1:5" x14ac:dyDescent="0.25">
      <c r="A165" s="36">
        <v>163</v>
      </c>
      <c r="B165" s="37">
        <v>1704152740</v>
      </c>
      <c r="C165" s="38">
        <v>0.79355795904694026</v>
      </c>
      <c r="D165" s="14" t="s">
        <v>206</v>
      </c>
      <c r="E165" s="14" t="s">
        <v>43</v>
      </c>
    </row>
    <row r="166" spans="1:5" x14ac:dyDescent="0.25">
      <c r="A166" s="36">
        <v>164</v>
      </c>
      <c r="B166" s="37">
        <v>1146581364</v>
      </c>
      <c r="C166" s="38">
        <v>0.5339185542119288</v>
      </c>
      <c r="D166" s="14" t="s">
        <v>207</v>
      </c>
      <c r="E166" s="14" t="s">
        <v>46</v>
      </c>
    </row>
    <row r="167" spans="1:5" x14ac:dyDescent="0.25">
      <c r="A167" s="36">
        <v>165</v>
      </c>
      <c r="B167" s="37">
        <v>544570836</v>
      </c>
      <c r="C167" s="38">
        <v>0.25358555664009674</v>
      </c>
      <c r="D167" s="14" t="s">
        <v>208</v>
      </c>
      <c r="E167" s="14" t="s">
        <v>48</v>
      </c>
    </row>
    <row r="168" spans="1:5" x14ac:dyDescent="0.25">
      <c r="A168" s="36">
        <v>166</v>
      </c>
      <c r="B168" s="37">
        <v>2084782070</v>
      </c>
      <c r="C168" s="38">
        <v>0.97080230292435843</v>
      </c>
      <c r="D168" s="14" t="s">
        <v>209</v>
      </c>
      <c r="E168" s="14" t="s">
        <v>37</v>
      </c>
    </row>
    <row r="169" spans="1:5" x14ac:dyDescent="0.25">
      <c r="A169" s="36">
        <v>167</v>
      </c>
      <c r="B169" s="37">
        <v>376692498</v>
      </c>
      <c r="C169" s="38">
        <v>0.17541111361953016</v>
      </c>
      <c r="D169" s="14" t="s">
        <v>210</v>
      </c>
      <c r="E169" s="14" t="s">
        <v>40</v>
      </c>
    </row>
    <row r="170" spans="1:5" x14ac:dyDescent="0.25">
      <c r="A170" s="36">
        <v>168</v>
      </c>
      <c r="B170" s="37">
        <v>1408821201</v>
      </c>
      <c r="C170" s="38">
        <v>0.65603349434958469</v>
      </c>
      <c r="D170" s="14" t="s">
        <v>211</v>
      </c>
      <c r="E170" s="14" t="s">
        <v>43</v>
      </c>
    </row>
    <row r="171" spans="1:5" x14ac:dyDescent="0.25">
      <c r="A171" s="36">
        <v>169</v>
      </c>
      <c r="B171" s="37">
        <v>1340713100</v>
      </c>
      <c r="C171" s="38">
        <v>0.62431818834707054</v>
      </c>
      <c r="D171" s="14" t="s">
        <v>212</v>
      </c>
      <c r="E171" s="14" t="s">
        <v>46</v>
      </c>
    </row>
    <row r="172" spans="1:5" x14ac:dyDescent="0.25">
      <c r="A172" s="36">
        <v>170</v>
      </c>
      <c r="B172" s="37">
        <v>1513104852</v>
      </c>
      <c r="C172" s="38">
        <v>0.70459435354200861</v>
      </c>
      <c r="D172" s="14" t="s">
        <v>213</v>
      </c>
      <c r="E172" s="14" t="s">
        <v>48</v>
      </c>
    </row>
    <row r="173" spans="1:5" x14ac:dyDescent="0.25">
      <c r="A173" s="36">
        <v>171</v>
      </c>
      <c r="B173" s="37">
        <v>834223218</v>
      </c>
      <c r="C173" s="38">
        <v>0.3884654577767781</v>
      </c>
      <c r="D173" s="14" t="s">
        <v>214</v>
      </c>
      <c r="E173" s="14" t="s">
        <v>37</v>
      </c>
    </row>
    <row r="174" spans="1:5" x14ac:dyDescent="0.25">
      <c r="A174" s="36">
        <v>172</v>
      </c>
      <c r="B174" s="37">
        <v>2014859003</v>
      </c>
      <c r="C174" s="38">
        <v>0.93824183751747092</v>
      </c>
      <c r="D174" s="14" t="s">
        <v>215</v>
      </c>
      <c r="E174" s="14" t="s">
        <v>40</v>
      </c>
    </row>
    <row r="175" spans="1:5" x14ac:dyDescent="0.25">
      <c r="A175" s="36">
        <v>173</v>
      </c>
      <c r="B175" s="37">
        <v>1002294429</v>
      </c>
      <c r="C175" s="38">
        <v>0.46672971428685345</v>
      </c>
      <c r="D175" s="14" t="s">
        <v>216</v>
      </c>
      <c r="E175" s="14" t="s">
        <v>43</v>
      </c>
    </row>
    <row r="176" spans="1:5" x14ac:dyDescent="0.25">
      <c r="A176" s="36">
        <v>174</v>
      </c>
      <c r="B176" s="37">
        <v>1610203147</v>
      </c>
      <c r="C176" s="38">
        <v>0.74980927060815006</v>
      </c>
      <c r="D176" s="14" t="s">
        <v>217</v>
      </c>
      <c r="E176" s="14" t="s">
        <v>46</v>
      </c>
    </row>
    <row r="177" spans="1:5" x14ac:dyDescent="0.25">
      <c r="A177" s="36">
        <v>175</v>
      </c>
      <c r="B177" s="37">
        <v>1606951226</v>
      </c>
      <c r="C177" s="38">
        <v>0.74829497688836188</v>
      </c>
      <c r="D177" s="14" t="s">
        <v>218</v>
      </c>
      <c r="E177" s="14" t="s">
        <v>48</v>
      </c>
    </row>
    <row r="178" spans="1:5" x14ac:dyDescent="0.25">
      <c r="A178" s="36">
        <v>176</v>
      </c>
      <c r="B178" s="37">
        <v>361939141</v>
      </c>
      <c r="C178" s="38">
        <v>0.1685410464036004</v>
      </c>
      <c r="D178" s="14" t="s">
        <v>219</v>
      </c>
      <c r="E178" s="14" t="s">
        <v>37</v>
      </c>
    </row>
    <row r="179" spans="1:5" x14ac:dyDescent="0.25">
      <c r="A179" s="36">
        <v>177</v>
      </c>
      <c r="B179" s="37">
        <v>552764221</v>
      </c>
      <c r="C179" s="38">
        <v>0.2574008988483813</v>
      </c>
      <c r="D179" s="14" t="s">
        <v>220</v>
      </c>
      <c r="E179" s="14" t="s">
        <v>40</v>
      </c>
    </row>
    <row r="180" spans="1:5" x14ac:dyDescent="0.25">
      <c r="A180" s="36">
        <v>178</v>
      </c>
      <c r="B180" s="37">
        <v>1510307098</v>
      </c>
      <c r="C180" s="38">
        <v>0.70329154781219161</v>
      </c>
      <c r="D180" s="14" t="s">
        <v>221</v>
      </c>
      <c r="E180" s="14" t="s">
        <v>43</v>
      </c>
    </row>
    <row r="181" spans="1:5" x14ac:dyDescent="0.25">
      <c r="A181" s="36">
        <v>179</v>
      </c>
      <c r="B181" s="37">
        <v>1794776711</v>
      </c>
      <c r="C181" s="38">
        <v>0.83575803406339044</v>
      </c>
      <c r="D181" s="14" t="s">
        <v>222</v>
      </c>
      <c r="E181" s="14" t="s">
        <v>46</v>
      </c>
    </row>
    <row r="182" spans="1:5" x14ac:dyDescent="0.25">
      <c r="A182" s="36">
        <v>180</v>
      </c>
      <c r="B182" s="37">
        <v>1318093918</v>
      </c>
      <c r="C182" s="38">
        <v>0.61378531093419775</v>
      </c>
      <c r="D182" s="14" t="s">
        <v>223</v>
      </c>
      <c r="E182" s="14" t="s">
        <v>48</v>
      </c>
    </row>
    <row r="183" spans="1:5" x14ac:dyDescent="0.25">
      <c r="A183" s="36">
        <v>181</v>
      </c>
      <c r="B183" s="37">
        <v>1002485506</v>
      </c>
      <c r="C183" s="38">
        <v>0.46681869144868976</v>
      </c>
      <c r="D183" s="14" t="s">
        <v>224</v>
      </c>
      <c r="E183" s="14" t="s">
        <v>37</v>
      </c>
    </row>
    <row r="184" spans="1:5" x14ac:dyDescent="0.25">
      <c r="A184" s="36">
        <v>182</v>
      </c>
      <c r="B184" s="37">
        <v>1835066816</v>
      </c>
      <c r="C184" s="38">
        <v>0.85451957623219099</v>
      </c>
      <c r="D184" s="14" t="s">
        <v>225</v>
      </c>
      <c r="E184" s="14" t="s">
        <v>40</v>
      </c>
    </row>
    <row r="185" spans="1:5" x14ac:dyDescent="0.25">
      <c r="A185" s="36">
        <v>183</v>
      </c>
      <c r="B185" s="37">
        <v>1438306880</v>
      </c>
      <c r="C185" s="38">
        <v>0.66976383359626113</v>
      </c>
      <c r="D185" s="14" t="s">
        <v>226</v>
      </c>
      <c r="E185" s="14" t="s">
        <v>43</v>
      </c>
    </row>
    <row r="186" spans="1:5" x14ac:dyDescent="0.25">
      <c r="A186" s="36">
        <v>184</v>
      </c>
      <c r="B186" s="37">
        <v>251798390</v>
      </c>
      <c r="C186" s="38">
        <v>0.11725276248401625</v>
      </c>
      <c r="D186" s="14" t="s">
        <v>227</v>
      </c>
      <c r="E186" s="14" t="s">
        <v>46</v>
      </c>
    </row>
    <row r="187" spans="1:5" x14ac:dyDescent="0.25">
      <c r="A187" s="36">
        <v>185</v>
      </c>
      <c r="B187" s="37">
        <v>1345633983</v>
      </c>
      <c r="C187" s="38">
        <v>0.62660965306060834</v>
      </c>
      <c r="D187" s="14" t="s">
        <v>228</v>
      </c>
      <c r="E187" s="14" t="s">
        <v>48</v>
      </c>
    </row>
    <row r="188" spans="1:5" x14ac:dyDescent="0.25">
      <c r="A188" s="36">
        <v>186</v>
      </c>
      <c r="B188" s="37">
        <v>1943250769</v>
      </c>
      <c r="C188" s="38">
        <v>0.90489665507566963</v>
      </c>
      <c r="D188" s="14" t="s">
        <v>229</v>
      </c>
      <c r="E188" s="14" t="s">
        <v>37</v>
      </c>
    </row>
    <row r="189" spans="1:5" x14ac:dyDescent="0.25">
      <c r="A189" s="36">
        <v>187</v>
      </c>
      <c r="B189" s="37">
        <v>1238938667</v>
      </c>
      <c r="C189" s="38">
        <v>0.57692577483920648</v>
      </c>
      <c r="D189" s="14" t="s">
        <v>230</v>
      </c>
      <c r="E189" s="14" t="s">
        <v>40</v>
      </c>
    </row>
    <row r="190" spans="1:5" x14ac:dyDescent="0.25">
      <c r="A190" s="36">
        <v>188</v>
      </c>
      <c r="B190" s="37">
        <v>1819992769</v>
      </c>
      <c r="C190" s="38">
        <v>0.84750017609796491</v>
      </c>
      <c r="D190" s="14" t="s">
        <v>231</v>
      </c>
      <c r="E190" s="14" t="s">
        <v>43</v>
      </c>
    </row>
    <row r="191" spans="1:5" x14ac:dyDescent="0.25">
      <c r="A191" s="36">
        <v>189</v>
      </c>
      <c r="B191" s="37">
        <v>1509155753</v>
      </c>
      <c r="C191" s="38">
        <v>0.70275541101710659</v>
      </c>
      <c r="D191" s="14" t="s">
        <v>232</v>
      </c>
      <c r="E191" s="14" t="s">
        <v>46</v>
      </c>
    </row>
    <row r="192" spans="1:5" x14ac:dyDescent="0.25">
      <c r="A192" s="36">
        <v>190</v>
      </c>
      <c r="B192" s="37">
        <v>907653710</v>
      </c>
      <c r="C192" s="38">
        <v>0.42265919522506146</v>
      </c>
      <c r="D192" s="14" t="s">
        <v>233</v>
      </c>
      <c r="E192" s="14" t="s">
        <v>48</v>
      </c>
    </row>
    <row r="193" spans="1:5" x14ac:dyDescent="0.25">
      <c r="A193" s="36">
        <v>191</v>
      </c>
      <c r="B193" s="37">
        <v>577819004</v>
      </c>
      <c r="C193" s="38">
        <v>0.26906794135881024</v>
      </c>
      <c r="D193" s="14" t="s">
        <v>234</v>
      </c>
      <c r="E193" s="14" t="s">
        <v>37</v>
      </c>
    </row>
    <row r="194" spans="1:5" x14ac:dyDescent="0.25">
      <c r="A194" s="36">
        <v>192</v>
      </c>
      <c r="B194" s="37">
        <v>1690555433</v>
      </c>
      <c r="C194" s="38">
        <v>0.78722621956245331</v>
      </c>
      <c r="D194" s="14" t="s">
        <v>235</v>
      </c>
      <c r="E194" s="14" t="s">
        <v>40</v>
      </c>
    </row>
    <row r="195" spans="1:5" x14ac:dyDescent="0.25">
      <c r="A195" s="36">
        <v>193</v>
      </c>
      <c r="B195" s="37">
        <v>419302922</v>
      </c>
      <c r="C195" s="38">
        <v>0.19525313852133841</v>
      </c>
      <c r="D195" s="14" t="s">
        <v>236</v>
      </c>
      <c r="E195" s="14" t="s">
        <v>43</v>
      </c>
    </row>
    <row r="196" spans="1:5" x14ac:dyDescent="0.25">
      <c r="A196" s="36">
        <v>194</v>
      </c>
      <c r="B196" s="37">
        <v>434936685</v>
      </c>
      <c r="C196" s="38">
        <v>0.20253317672877255</v>
      </c>
      <c r="D196" s="14" t="s">
        <v>237</v>
      </c>
      <c r="E196" s="14" t="s">
        <v>46</v>
      </c>
    </row>
    <row r="197" spans="1:5" x14ac:dyDescent="0.25">
      <c r="A197" s="36">
        <v>195</v>
      </c>
      <c r="B197" s="37">
        <v>17459914</v>
      </c>
      <c r="C197" s="38">
        <v>8.1304060333084339E-3</v>
      </c>
      <c r="D197" s="14" t="s">
        <v>238</v>
      </c>
      <c r="E197" s="14" t="s">
        <v>48</v>
      </c>
    </row>
    <row r="198" spans="1:5" x14ac:dyDescent="0.25">
      <c r="A198" s="36">
        <v>196</v>
      </c>
      <c r="B198" s="37">
        <v>1581060222</v>
      </c>
      <c r="C198" s="38">
        <v>0.73623853863041777</v>
      </c>
      <c r="D198" s="14" t="s">
        <v>239</v>
      </c>
      <c r="E198" s="14" t="s">
        <v>37</v>
      </c>
    </row>
    <row r="199" spans="1:5" x14ac:dyDescent="0.25">
      <c r="A199" s="36">
        <v>197</v>
      </c>
      <c r="B199" s="37">
        <v>1987817684</v>
      </c>
      <c r="C199" s="38">
        <v>0.92564974209556805</v>
      </c>
      <c r="D199" s="14" t="s">
        <v>240</v>
      </c>
      <c r="E199" s="14" t="s">
        <v>40</v>
      </c>
    </row>
    <row r="200" spans="1:5" x14ac:dyDescent="0.25">
      <c r="A200" s="36">
        <v>198</v>
      </c>
      <c r="B200" s="37">
        <v>1308027074</v>
      </c>
      <c r="C200" s="38">
        <v>0.60909757139584864</v>
      </c>
      <c r="D200" s="14" t="s">
        <v>241</v>
      </c>
      <c r="E200" s="14" t="s">
        <v>43</v>
      </c>
    </row>
    <row r="201" spans="1:5" x14ac:dyDescent="0.25">
      <c r="A201" s="36">
        <v>199</v>
      </c>
      <c r="B201" s="37">
        <v>1303873947</v>
      </c>
      <c r="C201" s="38">
        <v>0.6071636209297756</v>
      </c>
      <c r="D201" s="14" t="s">
        <v>242</v>
      </c>
      <c r="E201" s="14" t="s">
        <v>46</v>
      </c>
    </row>
    <row r="202" spans="1:5" x14ac:dyDescent="0.25">
      <c r="A202" s="36">
        <v>200</v>
      </c>
      <c r="B202" s="37">
        <v>1070013965</v>
      </c>
      <c r="C202" s="38">
        <v>0.49826408061118055</v>
      </c>
      <c r="D202" s="14" t="s">
        <v>243</v>
      </c>
      <c r="E202" s="14" t="s">
        <v>48</v>
      </c>
    </row>
    <row r="203" spans="1:5" x14ac:dyDescent="0.25">
      <c r="A203" s="36">
        <v>201</v>
      </c>
      <c r="B203" s="37">
        <v>1054232517</v>
      </c>
      <c r="C203" s="38">
        <v>0.49091527121649836</v>
      </c>
      <c r="D203" s="14" t="s">
        <v>244</v>
      </c>
      <c r="E203" s="14" t="s">
        <v>37</v>
      </c>
    </row>
    <row r="204" spans="1:5" x14ac:dyDescent="0.25">
      <c r="A204" s="36">
        <v>202</v>
      </c>
      <c r="B204" s="37">
        <v>459470421</v>
      </c>
      <c r="C204" s="38">
        <v>0.21395758782232069</v>
      </c>
      <c r="D204" s="14" t="s">
        <v>245</v>
      </c>
      <c r="E204" s="14" t="s">
        <v>40</v>
      </c>
    </row>
    <row r="205" spans="1:5" x14ac:dyDescent="0.25">
      <c r="A205" s="36">
        <v>203</v>
      </c>
      <c r="B205" s="37">
        <v>485343962</v>
      </c>
      <c r="C205" s="38">
        <v>0.22600589423720069</v>
      </c>
      <c r="D205" s="14" t="s">
        <v>246</v>
      </c>
      <c r="E205" s="14" t="s">
        <v>43</v>
      </c>
    </row>
    <row r="206" spans="1:5" x14ac:dyDescent="0.25">
      <c r="A206" s="36">
        <v>204</v>
      </c>
      <c r="B206" s="37">
        <v>2004120049</v>
      </c>
      <c r="C206" s="38">
        <v>0.93324112237116374</v>
      </c>
      <c r="D206" s="14" t="s">
        <v>247</v>
      </c>
      <c r="E206" s="14" t="s">
        <v>46</v>
      </c>
    </row>
    <row r="207" spans="1:5" x14ac:dyDescent="0.25">
      <c r="A207" s="36">
        <v>205</v>
      </c>
      <c r="B207" s="37">
        <v>1398765207</v>
      </c>
      <c r="C207" s="38">
        <v>0.6513508072362052</v>
      </c>
      <c r="D207" s="14" t="s">
        <v>248</v>
      </c>
      <c r="E207" s="14" t="s">
        <v>48</v>
      </c>
    </row>
    <row r="208" spans="1:5" x14ac:dyDescent="0.25">
      <c r="A208" s="36">
        <v>206</v>
      </c>
      <c r="B208" s="37">
        <v>374844968</v>
      </c>
      <c r="C208" s="38">
        <v>0.17455079042098987</v>
      </c>
      <c r="D208" s="14" t="s">
        <v>249</v>
      </c>
      <c r="E208" s="14" t="s">
        <v>37</v>
      </c>
    </row>
    <row r="209" spans="1:5" x14ac:dyDescent="0.25">
      <c r="A209" s="36">
        <v>207</v>
      </c>
      <c r="B209" s="37">
        <v>1345530455</v>
      </c>
      <c r="C209" s="38">
        <v>0.62656144407883352</v>
      </c>
      <c r="D209" s="14" t="s">
        <v>250</v>
      </c>
      <c r="E209" s="14" t="s">
        <v>40</v>
      </c>
    </row>
    <row r="210" spans="1:5" x14ac:dyDescent="0.25">
      <c r="A210" s="36">
        <v>208</v>
      </c>
      <c r="B210" s="37">
        <v>1416998329</v>
      </c>
      <c r="C210" s="38">
        <v>0.65984126630231799</v>
      </c>
      <c r="D210" s="14" t="s">
        <v>251</v>
      </c>
      <c r="E210" s="14" t="s">
        <v>43</v>
      </c>
    </row>
    <row r="211" spans="1:5" x14ac:dyDescent="0.25">
      <c r="A211" s="36">
        <v>209</v>
      </c>
      <c r="B211" s="37">
        <v>1623342614</v>
      </c>
      <c r="C211" s="38">
        <v>0.75592781172875678</v>
      </c>
      <c r="D211" s="14" t="s">
        <v>252</v>
      </c>
      <c r="E211" s="14" t="s">
        <v>46</v>
      </c>
    </row>
    <row r="212" spans="1:5" x14ac:dyDescent="0.25">
      <c r="A212" s="36">
        <v>210</v>
      </c>
      <c r="B212" s="37">
        <v>457314706</v>
      </c>
      <c r="C212" s="38">
        <v>0.21295375479988463</v>
      </c>
      <c r="D212" s="14" t="s">
        <v>253</v>
      </c>
      <c r="E212" s="14" t="s">
        <v>48</v>
      </c>
    </row>
    <row r="213" spans="1:5" x14ac:dyDescent="0.25">
      <c r="A213" s="36">
        <v>211</v>
      </c>
      <c r="B213" s="37">
        <v>689007724</v>
      </c>
      <c r="C213" s="38">
        <v>0.32084422387222022</v>
      </c>
      <c r="D213" s="14" t="s">
        <v>254</v>
      </c>
      <c r="E213" s="14" t="s">
        <v>37</v>
      </c>
    </row>
    <row r="214" spans="1:5" x14ac:dyDescent="0.25">
      <c r="A214" s="36">
        <v>212</v>
      </c>
      <c r="B214" s="37">
        <v>1511564032</v>
      </c>
      <c r="C214" s="38">
        <v>0.70387685331696503</v>
      </c>
      <c r="D214" s="14" t="s">
        <v>255</v>
      </c>
      <c r="E214" s="14" t="s">
        <v>40</v>
      </c>
    </row>
    <row r="215" spans="1:5" x14ac:dyDescent="0.25">
      <c r="A215" s="36">
        <v>213</v>
      </c>
      <c r="B215" s="37">
        <v>196287236</v>
      </c>
      <c r="C215" s="38">
        <v>9.1403367040401029E-2</v>
      </c>
      <c r="D215" s="14" t="s">
        <v>256</v>
      </c>
      <c r="E215" s="14" t="s">
        <v>43</v>
      </c>
    </row>
    <row r="216" spans="1:5" x14ac:dyDescent="0.25">
      <c r="A216" s="36">
        <v>214</v>
      </c>
      <c r="B216" s="37">
        <v>1420901602</v>
      </c>
      <c r="C216" s="38">
        <v>0.66165886943305785</v>
      </c>
      <c r="D216" s="14" t="s">
        <v>257</v>
      </c>
      <c r="E216" s="14" t="s">
        <v>46</v>
      </c>
    </row>
    <row r="217" spans="1:5" x14ac:dyDescent="0.25">
      <c r="A217" s="36">
        <v>215</v>
      </c>
      <c r="B217" s="37">
        <v>433317117</v>
      </c>
      <c r="C217" s="38">
        <v>0.20177900660865894</v>
      </c>
      <c r="D217" s="14" t="s">
        <v>258</v>
      </c>
      <c r="E217" s="14" t="s">
        <v>48</v>
      </c>
    </row>
    <row r="218" spans="1:5" x14ac:dyDescent="0.25">
      <c r="A218" s="36">
        <v>216</v>
      </c>
      <c r="B218" s="37">
        <v>1445495346</v>
      </c>
      <c r="C218" s="38">
        <v>0.67311122392914779</v>
      </c>
      <c r="D218" s="14" t="s">
        <v>259</v>
      </c>
      <c r="E218" s="14" t="s">
        <v>37</v>
      </c>
    </row>
    <row r="219" spans="1:5" x14ac:dyDescent="0.25">
      <c r="A219" s="36">
        <v>217</v>
      </c>
      <c r="B219" s="37">
        <v>2001769603</v>
      </c>
      <c r="C219" s="38">
        <v>0.93214661066054672</v>
      </c>
      <c r="D219" s="14" t="s">
        <v>260</v>
      </c>
      <c r="E219" s="14" t="s">
        <v>40</v>
      </c>
    </row>
    <row r="220" spans="1:5" x14ac:dyDescent="0.25">
      <c r="A220" s="36">
        <v>218</v>
      </c>
      <c r="B220" s="37">
        <v>1737841891</v>
      </c>
      <c r="C220" s="38">
        <v>0.80924569247721023</v>
      </c>
      <c r="D220" s="14" t="s">
        <v>261</v>
      </c>
      <c r="E220" s="14" t="s">
        <v>43</v>
      </c>
    </row>
    <row r="221" spans="1:5" x14ac:dyDescent="0.25">
      <c r="A221" s="36">
        <v>219</v>
      </c>
      <c r="B221" s="37">
        <v>340175528</v>
      </c>
      <c r="C221" s="38">
        <v>0.1584065743528337</v>
      </c>
      <c r="D221" s="14" t="s">
        <v>262</v>
      </c>
      <c r="E221" s="14" t="s">
        <v>46</v>
      </c>
    </row>
    <row r="222" spans="1:5" x14ac:dyDescent="0.25">
      <c r="A222" s="36">
        <v>220</v>
      </c>
      <c r="B222" s="37">
        <v>376476639</v>
      </c>
      <c r="C222" s="38">
        <v>0.1753105964396664</v>
      </c>
      <c r="D222" s="14" t="s">
        <v>263</v>
      </c>
      <c r="E222" s="14" t="s">
        <v>48</v>
      </c>
    </row>
    <row r="223" spans="1:5" x14ac:dyDescent="0.25">
      <c r="A223" s="36">
        <v>221</v>
      </c>
      <c r="B223" s="37">
        <v>735888275</v>
      </c>
      <c r="C223" s="38">
        <v>0.34267468161074199</v>
      </c>
      <c r="D223" s="14" t="s">
        <v>264</v>
      </c>
      <c r="E223" s="14" t="s">
        <v>37</v>
      </c>
    </row>
    <row r="224" spans="1:5" x14ac:dyDescent="0.25">
      <c r="A224" s="36">
        <v>222</v>
      </c>
      <c r="B224" s="37">
        <v>99952621</v>
      </c>
      <c r="C224" s="38">
        <v>4.6544066186316339E-2</v>
      </c>
      <c r="D224" s="14" t="s">
        <v>265</v>
      </c>
      <c r="E224" s="14" t="s">
        <v>40</v>
      </c>
    </row>
    <row r="225" spans="1:5" x14ac:dyDescent="0.25">
      <c r="A225" s="36">
        <v>223</v>
      </c>
      <c r="B225" s="37">
        <v>502306570</v>
      </c>
      <c r="C225" s="38">
        <v>0.23390472411825541</v>
      </c>
      <c r="D225" s="14" t="s">
        <v>266</v>
      </c>
      <c r="E225" s="14" t="s">
        <v>43</v>
      </c>
    </row>
    <row r="226" spans="1:5" x14ac:dyDescent="0.25">
      <c r="A226" s="36">
        <v>224</v>
      </c>
      <c r="B226" s="37">
        <v>1574210493</v>
      </c>
      <c r="C226" s="38">
        <v>0.73304888500508336</v>
      </c>
      <c r="D226" s="14" t="s">
        <v>267</v>
      </c>
      <c r="E226" s="14" t="s">
        <v>46</v>
      </c>
    </row>
    <row r="227" spans="1:5" x14ac:dyDescent="0.25">
      <c r="A227" s="36">
        <v>225</v>
      </c>
      <c r="B227" s="37">
        <v>1433335882</v>
      </c>
      <c r="C227" s="38">
        <v>0.66744903226729901</v>
      </c>
      <c r="D227" s="14" t="s">
        <v>268</v>
      </c>
      <c r="E227" s="14" t="s">
        <v>48</v>
      </c>
    </row>
    <row r="228" spans="1:5" x14ac:dyDescent="0.25">
      <c r="A228" s="36">
        <v>226</v>
      </c>
      <c r="B228" s="37">
        <v>155844331</v>
      </c>
      <c r="C228" s="38">
        <v>7.2570671826866773E-2</v>
      </c>
      <c r="D228" s="14" t="s">
        <v>269</v>
      </c>
      <c r="E228" s="14" t="s">
        <v>37</v>
      </c>
    </row>
    <row r="229" spans="1:5" x14ac:dyDescent="0.25">
      <c r="A229" s="36">
        <v>227</v>
      </c>
      <c r="B229" s="37">
        <v>364338986</v>
      </c>
      <c r="C229" s="38">
        <v>0.16965856131615981</v>
      </c>
      <c r="D229" s="14" t="s">
        <v>270</v>
      </c>
      <c r="E229" s="14" t="s">
        <v>40</v>
      </c>
    </row>
    <row r="230" spans="1:5" x14ac:dyDescent="0.25">
      <c r="A230" s="36">
        <v>228</v>
      </c>
      <c r="B230" s="37">
        <v>835179426</v>
      </c>
      <c r="C230" s="38">
        <v>0.38891072682519945</v>
      </c>
      <c r="D230" s="14" t="s">
        <v>271</v>
      </c>
      <c r="E230" s="14" t="s">
        <v>43</v>
      </c>
    </row>
    <row r="231" spans="1:5" x14ac:dyDescent="0.25">
      <c r="A231" s="36">
        <v>229</v>
      </c>
      <c r="B231" s="37">
        <v>214114129</v>
      </c>
      <c r="C231" s="38">
        <v>9.9704660987343943E-2</v>
      </c>
      <c r="D231" s="14" t="s">
        <v>272</v>
      </c>
      <c r="E231" s="14" t="s">
        <v>46</v>
      </c>
    </row>
    <row r="232" spans="1:5" x14ac:dyDescent="0.25">
      <c r="A232" s="36">
        <v>230</v>
      </c>
      <c r="B232" s="37">
        <v>800938181</v>
      </c>
      <c r="C232" s="38">
        <v>0.37296590459205486</v>
      </c>
      <c r="D232" s="14" t="s">
        <v>273</v>
      </c>
      <c r="E232" s="14" t="s">
        <v>48</v>
      </c>
    </row>
    <row r="233" spans="1:5" x14ac:dyDescent="0.25">
      <c r="A233" s="36">
        <v>231</v>
      </c>
      <c r="B233" s="37">
        <v>1169255531</v>
      </c>
      <c r="C233" s="38">
        <v>0.54447703601069608</v>
      </c>
      <c r="D233" s="14" t="s">
        <v>274</v>
      </c>
      <c r="E233" s="14" t="s">
        <v>37</v>
      </c>
    </row>
    <row r="234" spans="1:5" x14ac:dyDescent="0.25">
      <c r="A234" s="36">
        <v>232</v>
      </c>
      <c r="B234" s="37">
        <v>237300486</v>
      </c>
      <c r="C234" s="38">
        <v>0.1105016498409685</v>
      </c>
      <c r="D234" s="14" t="s">
        <v>275</v>
      </c>
      <c r="E234" s="14" t="s">
        <v>40</v>
      </c>
    </row>
    <row r="235" spans="1:5" x14ac:dyDescent="0.25">
      <c r="A235" s="36">
        <v>233</v>
      </c>
      <c r="B235" s="37">
        <v>495719722</v>
      </c>
      <c r="C235" s="38">
        <v>0.2308374839978467</v>
      </c>
      <c r="D235" s="14" t="s">
        <v>276</v>
      </c>
      <c r="E235" s="14" t="s">
        <v>43</v>
      </c>
    </row>
    <row r="236" spans="1:5" x14ac:dyDescent="0.25">
      <c r="A236" s="36">
        <v>234</v>
      </c>
      <c r="B236" s="37">
        <v>505061228</v>
      </c>
      <c r="C236" s="38">
        <v>0.2351874617092253</v>
      </c>
      <c r="D236" s="14" t="s">
        <v>277</v>
      </c>
      <c r="E236" s="14" t="s">
        <v>46</v>
      </c>
    </row>
    <row r="237" spans="1:5" x14ac:dyDescent="0.25">
      <c r="A237" s="36">
        <v>235</v>
      </c>
      <c r="B237" s="37">
        <v>1893731598</v>
      </c>
      <c r="C237" s="38">
        <v>0.88183749415065982</v>
      </c>
      <c r="D237" s="14" t="s">
        <v>278</v>
      </c>
      <c r="E237" s="14" t="s">
        <v>48</v>
      </c>
    </row>
    <row r="238" spans="1:5" x14ac:dyDescent="0.25">
      <c r="A238" s="36">
        <v>236</v>
      </c>
      <c r="B238" s="37">
        <v>58169046</v>
      </c>
      <c r="C238" s="38">
        <v>2.7087072854436501E-2</v>
      </c>
      <c r="D238" s="14" t="s">
        <v>279</v>
      </c>
      <c r="E238" s="14" t="s">
        <v>37</v>
      </c>
    </row>
    <row r="239" spans="1:5" x14ac:dyDescent="0.25">
      <c r="A239" s="36">
        <v>237</v>
      </c>
      <c r="B239" s="37">
        <v>1250005084</v>
      </c>
      <c r="C239" s="38">
        <v>0.58207897682771037</v>
      </c>
      <c r="D239" s="14" t="s">
        <v>280</v>
      </c>
      <c r="E239" s="14" t="s">
        <v>40</v>
      </c>
    </row>
    <row r="240" spans="1:5" x14ac:dyDescent="0.25">
      <c r="A240" s="36">
        <v>238</v>
      </c>
      <c r="B240" s="37">
        <v>1033025728</v>
      </c>
      <c r="C240" s="38">
        <v>0.48104009054649627</v>
      </c>
      <c r="D240" s="14" t="s">
        <v>281</v>
      </c>
      <c r="E240" s="14" t="s">
        <v>43</v>
      </c>
    </row>
    <row r="241" spans="1:5" x14ac:dyDescent="0.25">
      <c r="A241" s="36">
        <v>239</v>
      </c>
      <c r="B241" s="37">
        <v>1565199582</v>
      </c>
      <c r="C241" s="38">
        <v>0.7288528525870539</v>
      </c>
      <c r="D241" s="14" t="s">
        <v>282</v>
      </c>
      <c r="E241" s="14" t="s">
        <v>46</v>
      </c>
    </row>
    <row r="242" spans="1:5" x14ac:dyDescent="0.25">
      <c r="A242" s="36">
        <v>240</v>
      </c>
      <c r="B242" s="37">
        <v>572494255</v>
      </c>
      <c r="C242" s="38">
        <v>0.26658841188372506</v>
      </c>
      <c r="D242" s="14" t="s">
        <v>283</v>
      </c>
      <c r="E242" s="14" t="s">
        <v>48</v>
      </c>
    </row>
    <row r="243" spans="1:5" x14ac:dyDescent="0.25">
      <c r="A243" s="36">
        <v>241</v>
      </c>
      <c r="B243" s="37">
        <v>1177737377</v>
      </c>
      <c r="C243" s="38">
        <v>0.54842670333964127</v>
      </c>
      <c r="D243" s="14" t="s">
        <v>284</v>
      </c>
      <c r="E243" s="14" t="s">
        <v>37</v>
      </c>
    </row>
    <row r="244" spans="1:5" x14ac:dyDescent="0.25">
      <c r="A244" s="36">
        <v>242</v>
      </c>
      <c r="B244" s="37">
        <v>924518258</v>
      </c>
      <c r="C244" s="38">
        <v>0.43051236236026152</v>
      </c>
      <c r="D244" s="14" t="s">
        <v>285</v>
      </c>
      <c r="E244" s="14" t="s">
        <v>40</v>
      </c>
    </row>
    <row r="245" spans="1:5" x14ac:dyDescent="0.25">
      <c r="A245" s="36">
        <v>243</v>
      </c>
      <c r="B245" s="37">
        <v>133345120</v>
      </c>
      <c r="C245" s="38">
        <v>6.2093660264319582E-2</v>
      </c>
      <c r="D245" s="14" t="s">
        <v>286</v>
      </c>
      <c r="E245" s="14" t="s">
        <v>43</v>
      </c>
    </row>
    <row r="246" spans="1:5" x14ac:dyDescent="0.25">
      <c r="A246" s="36">
        <v>244</v>
      </c>
      <c r="B246" s="37">
        <v>1979952891</v>
      </c>
      <c r="C246" s="38">
        <v>0.92198741246107374</v>
      </c>
      <c r="D246" s="14" t="s">
        <v>287</v>
      </c>
      <c r="E246" s="14" t="s">
        <v>46</v>
      </c>
    </row>
    <row r="247" spans="1:5" x14ac:dyDescent="0.25">
      <c r="A247" s="36">
        <v>245</v>
      </c>
      <c r="B247" s="37">
        <v>1223770861</v>
      </c>
      <c r="C247" s="38">
        <v>0.5698627147683234</v>
      </c>
      <c r="D247" s="14" t="s">
        <v>288</v>
      </c>
      <c r="E247" s="14" t="s">
        <v>48</v>
      </c>
    </row>
    <row r="248" spans="1:5" x14ac:dyDescent="0.25">
      <c r="A248" s="36">
        <v>246</v>
      </c>
      <c r="B248" s="37">
        <v>445464751</v>
      </c>
      <c r="C248" s="38">
        <v>0.20743568949747629</v>
      </c>
      <c r="D248" s="14" t="s">
        <v>289</v>
      </c>
      <c r="E248" s="14" t="s">
        <v>37</v>
      </c>
    </row>
    <row r="249" spans="1:5" x14ac:dyDescent="0.25">
      <c r="A249" s="36">
        <v>247</v>
      </c>
      <c r="B249" s="37">
        <v>779959044</v>
      </c>
      <c r="C249" s="38">
        <v>0.3631967326454803</v>
      </c>
      <c r="D249" s="14" t="s">
        <v>290</v>
      </c>
      <c r="E249" s="14" t="s">
        <v>40</v>
      </c>
    </row>
    <row r="250" spans="1:5" x14ac:dyDescent="0.25">
      <c r="A250" s="36">
        <v>248</v>
      </c>
      <c r="B250" s="37">
        <v>1102824473</v>
      </c>
      <c r="C250" s="38">
        <v>0.51354266401079607</v>
      </c>
      <c r="D250" s="14" t="s">
        <v>291</v>
      </c>
      <c r="E250" s="14" t="s">
        <v>43</v>
      </c>
    </row>
    <row r="251" spans="1:5" x14ac:dyDescent="0.25">
      <c r="A251" s="36">
        <v>249</v>
      </c>
      <c r="B251" s="37">
        <v>160950713</v>
      </c>
      <c r="C251" s="38">
        <v>7.4948516243579108E-2</v>
      </c>
      <c r="D251" s="14" t="s">
        <v>292</v>
      </c>
      <c r="E251" s="14" t="s">
        <v>46</v>
      </c>
    </row>
    <row r="252" spans="1:5" x14ac:dyDescent="0.25">
      <c r="A252" s="36">
        <v>250</v>
      </c>
      <c r="B252" s="37">
        <v>324562710</v>
      </c>
      <c r="C252" s="38">
        <v>0.15113628942106677</v>
      </c>
      <c r="D252" s="14" t="s">
        <v>293</v>
      </c>
      <c r="E252" s="14" t="s">
        <v>48</v>
      </c>
    </row>
    <row r="253" spans="1:5" x14ac:dyDescent="0.25">
      <c r="A253" s="36">
        <v>251</v>
      </c>
      <c r="B253" s="37">
        <v>1297691183</v>
      </c>
      <c r="C253" s="38">
        <v>0.60428454708507495</v>
      </c>
      <c r="D253" s="14" t="s">
        <v>294</v>
      </c>
      <c r="E253" s="14" t="s">
        <v>37</v>
      </c>
    </row>
    <row r="254" spans="1:5" x14ac:dyDescent="0.25">
      <c r="A254" s="36">
        <v>252</v>
      </c>
      <c r="B254" s="37">
        <v>446403289</v>
      </c>
      <c r="C254" s="38">
        <v>0.20787273031094705</v>
      </c>
      <c r="D254" s="14" t="s">
        <v>295</v>
      </c>
      <c r="E254" s="14" t="s">
        <v>40</v>
      </c>
    </row>
    <row r="255" spans="1:5" x14ac:dyDescent="0.25">
      <c r="A255" s="36">
        <v>253</v>
      </c>
      <c r="B255" s="37">
        <v>1779312125</v>
      </c>
      <c r="C255" s="38">
        <v>0.82855677503559588</v>
      </c>
      <c r="D255" s="14" t="s">
        <v>296</v>
      </c>
      <c r="E255" s="14" t="s">
        <v>43</v>
      </c>
    </row>
    <row r="256" spans="1:5" x14ac:dyDescent="0.25">
      <c r="A256" s="36">
        <v>254</v>
      </c>
      <c r="B256" s="37">
        <v>2014558857</v>
      </c>
      <c r="C256" s="38">
        <v>0.93810207114466559</v>
      </c>
      <c r="D256" s="14" t="s">
        <v>297</v>
      </c>
      <c r="E256" s="14" t="s">
        <v>46</v>
      </c>
    </row>
    <row r="257" spans="1:5" x14ac:dyDescent="0.25">
      <c r="A257" s="36">
        <v>255</v>
      </c>
      <c r="B257" s="37">
        <v>1765463530</v>
      </c>
      <c r="C257" s="38">
        <v>0.82210802045748943</v>
      </c>
      <c r="D257" s="14" t="s">
        <v>298</v>
      </c>
      <c r="E257" s="14" t="s">
        <v>48</v>
      </c>
    </row>
    <row r="258" spans="1:5" x14ac:dyDescent="0.25">
      <c r="A258" s="36">
        <v>256</v>
      </c>
      <c r="B258" s="37">
        <v>1771433380</v>
      </c>
      <c r="C258" s="38">
        <v>0.82488794849481806</v>
      </c>
      <c r="D258" s="14" t="s">
        <v>299</v>
      </c>
      <c r="E258" s="14" t="s">
        <v>37</v>
      </c>
    </row>
    <row r="259" spans="1:5" x14ac:dyDescent="0.25">
      <c r="A259" s="36">
        <v>257</v>
      </c>
      <c r="B259" s="37">
        <v>181686314</v>
      </c>
      <c r="C259" s="38">
        <v>8.4604282902835073E-2</v>
      </c>
      <c r="D259" s="14" t="s">
        <v>300</v>
      </c>
      <c r="E259" s="14" t="s">
        <v>40</v>
      </c>
    </row>
    <row r="260" spans="1:5" x14ac:dyDescent="0.25">
      <c r="A260" s="36">
        <v>258</v>
      </c>
      <c r="B260" s="37">
        <v>893642651</v>
      </c>
      <c r="C260" s="38">
        <v>0.41613478745153865</v>
      </c>
      <c r="D260" s="14" t="s">
        <v>301</v>
      </c>
      <c r="E260" s="14" t="s">
        <v>43</v>
      </c>
    </row>
    <row r="261" spans="1:5" x14ac:dyDescent="0.25">
      <c r="A261" s="36">
        <v>259</v>
      </c>
      <c r="B261" s="37">
        <v>492243449</v>
      </c>
      <c r="C261" s="38">
        <v>0.22921871823687978</v>
      </c>
      <c r="D261" s="14" t="s">
        <v>302</v>
      </c>
      <c r="E261" s="14" t="s">
        <v>46</v>
      </c>
    </row>
    <row r="262" spans="1:5" x14ac:dyDescent="0.25">
      <c r="A262" s="36">
        <v>260</v>
      </c>
      <c r="B262" s="37">
        <v>1630174568</v>
      </c>
      <c r="C262" s="38">
        <v>0.75910918822470552</v>
      </c>
      <c r="D262" s="14" t="s">
        <v>303</v>
      </c>
      <c r="E262" s="14" t="s">
        <v>48</v>
      </c>
    </row>
    <row r="263" spans="1:5" x14ac:dyDescent="0.25">
      <c r="A263" s="36">
        <v>261</v>
      </c>
      <c r="B263" s="37">
        <v>1489635691</v>
      </c>
      <c r="C263" s="38">
        <v>0.69366567381362698</v>
      </c>
      <c r="D263" s="14" t="s">
        <v>304</v>
      </c>
      <c r="E263" s="14" t="s">
        <v>37</v>
      </c>
    </row>
    <row r="264" spans="1:5" x14ac:dyDescent="0.25">
      <c r="A264" s="36">
        <v>262</v>
      </c>
      <c r="B264" s="37">
        <v>704032270</v>
      </c>
      <c r="C264" s="38">
        <v>0.32784057330705252</v>
      </c>
      <c r="D264" s="14" t="s">
        <v>305</v>
      </c>
      <c r="E264" s="14" t="s">
        <v>40</v>
      </c>
    </row>
    <row r="265" spans="1:5" x14ac:dyDescent="0.25">
      <c r="A265" s="36">
        <v>263</v>
      </c>
      <c r="B265" s="37">
        <v>649441720</v>
      </c>
      <c r="C265" s="38">
        <v>0.30241986750737759</v>
      </c>
      <c r="D265" s="14" t="s">
        <v>306</v>
      </c>
      <c r="E265" s="14" t="s">
        <v>43</v>
      </c>
    </row>
    <row r="266" spans="1:5" x14ac:dyDescent="0.25">
      <c r="A266" s="36">
        <v>264</v>
      </c>
      <c r="B266" s="37">
        <v>1937242128</v>
      </c>
      <c r="C266" s="38">
        <v>0.90209866357133661</v>
      </c>
      <c r="D266" s="14" t="s">
        <v>307</v>
      </c>
      <c r="E266" s="14" t="s">
        <v>46</v>
      </c>
    </row>
    <row r="267" spans="1:5" x14ac:dyDescent="0.25">
      <c r="A267" s="36">
        <v>265</v>
      </c>
      <c r="B267" s="37">
        <v>537122221</v>
      </c>
      <c r="C267" s="38">
        <v>0.25011702498892185</v>
      </c>
      <c r="D267" s="14" t="s">
        <v>308</v>
      </c>
      <c r="E267" s="14" t="s">
        <v>48</v>
      </c>
    </row>
    <row r="268" spans="1:5" x14ac:dyDescent="0.25">
      <c r="A268" s="36">
        <v>266</v>
      </c>
      <c r="B268" s="37">
        <v>1101993326</v>
      </c>
      <c r="C268" s="38">
        <v>0.51315563102865391</v>
      </c>
      <c r="D268" s="14" t="s">
        <v>309</v>
      </c>
      <c r="E268" s="14" t="s">
        <v>37</v>
      </c>
    </row>
    <row r="269" spans="1:5" x14ac:dyDescent="0.25">
      <c r="A269" s="36">
        <v>267</v>
      </c>
      <c r="B269" s="37">
        <v>1822942853</v>
      </c>
      <c r="C269" s="38">
        <v>0.84887391601171058</v>
      </c>
      <c r="D269" s="14" t="s">
        <v>310</v>
      </c>
      <c r="E269" s="14" t="s">
        <v>40</v>
      </c>
    </row>
    <row r="270" spans="1:5" x14ac:dyDescent="0.25">
      <c r="A270" s="36">
        <v>268</v>
      </c>
      <c r="B270" s="37">
        <v>702625164</v>
      </c>
      <c r="C270" s="38">
        <v>0.32718533851540899</v>
      </c>
      <c r="D270" s="14" t="s">
        <v>311</v>
      </c>
      <c r="E270" s="14" t="s">
        <v>43</v>
      </c>
    </row>
    <row r="271" spans="1:5" x14ac:dyDescent="0.25">
      <c r="A271" s="36">
        <v>269</v>
      </c>
      <c r="B271" s="37">
        <v>1390985947</v>
      </c>
      <c r="C271" s="38">
        <v>0.64772830700861672</v>
      </c>
      <c r="D271" s="14" t="s">
        <v>312</v>
      </c>
      <c r="E271" s="14" t="s">
        <v>46</v>
      </c>
    </row>
    <row r="272" spans="1:5" x14ac:dyDescent="0.25">
      <c r="A272" s="36">
        <v>270</v>
      </c>
      <c r="B272" s="37">
        <v>928484878</v>
      </c>
      <c r="C272" s="38">
        <v>0.43235946373658229</v>
      </c>
      <c r="D272" s="14" t="s">
        <v>313</v>
      </c>
      <c r="E272" s="14" t="s">
        <v>48</v>
      </c>
    </row>
    <row r="273" spans="1:5" x14ac:dyDescent="0.25">
      <c r="A273" s="36">
        <v>271</v>
      </c>
      <c r="B273" s="37">
        <v>1306769742</v>
      </c>
      <c r="C273" s="38">
        <v>0.60851208055788286</v>
      </c>
      <c r="D273" s="14" t="s">
        <v>314</v>
      </c>
      <c r="E273" s="14" t="s">
        <v>37</v>
      </c>
    </row>
    <row r="274" spans="1:5" x14ac:dyDescent="0.25">
      <c r="A274" s="36">
        <v>272</v>
      </c>
      <c r="B274" s="37">
        <v>92398825</v>
      </c>
      <c r="C274" s="38">
        <v>4.302655581525832E-2</v>
      </c>
      <c r="D274" s="14" t="s">
        <v>315</v>
      </c>
      <c r="E274" s="14" t="s">
        <v>40</v>
      </c>
    </row>
    <row r="275" spans="1:5" x14ac:dyDescent="0.25">
      <c r="A275" s="36">
        <v>273</v>
      </c>
      <c r="B275" s="37">
        <v>536772855</v>
      </c>
      <c r="C275" s="38">
        <v>0.24995433876754453</v>
      </c>
      <c r="D275" s="14" t="s">
        <v>316</v>
      </c>
      <c r="E275" s="14" t="s">
        <v>43</v>
      </c>
    </row>
    <row r="276" spans="1:5" x14ac:dyDescent="0.25">
      <c r="A276" s="36">
        <v>274</v>
      </c>
      <c r="B276" s="37">
        <v>1541620513</v>
      </c>
      <c r="C276" s="38">
        <v>0.71787299295788309</v>
      </c>
      <c r="D276" s="14" t="s">
        <v>317</v>
      </c>
      <c r="E276" s="14" t="s">
        <v>46</v>
      </c>
    </row>
    <row r="277" spans="1:5" x14ac:dyDescent="0.25">
      <c r="A277" s="36">
        <v>275</v>
      </c>
      <c r="B277" s="37">
        <v>33799602</v>
      </c>
      <c r="C277" s="38">
        <v>1.5739166185138358E-2</v>
      </c>
      <c r="D277" s="14" t="s">
        <v>318</v>
      </c>
      <c r="E277" s="14" t="s">
        <v>48</v>
      </c>
    </row>
    <row r="278" spans="1:5" x14ac:dyDescent="0.25">
      <c r="A278" s="36">
        <v>276</v>
      </c>
      <c r="B278" s="37">
        <v>1519839167</v>
      </c>
      <c r="C278" s="38">
        <v>0.70773026333550471</v>
      </c>
      <c r="D278" s="14" t="s">
        <v>319</v>
      </c>
      <c r="E278" s="14" t="s">
        <v>37</v>
      </c>
    </row>
    <row r="279" spans="1:5" x14ac:dyDescent="0.25">
      <c r="A279" s="36">
        <v>277</v>
      </c>
      <c r="B279" s="37">
        <v>405261253</v>
      </c>
      <c r="C279" s="38">
        <v>0.18871447685580445</v>
      </c>
      <c r="D279" s="14" t="s">
        <v>320</v>
      </c>
      <c r="E279" s="14" t="s">
        <v>40</v>
      </c>
    </row>
    <row r="280" spans="1:5" x14ac:dyDescent="0.25">
      <c r="A280" s="36">
        <v>278</v>
      </c>
      <c r="B280" s="37">
        <v>937858408</v>
      </c>
      <c r="C280" s="38">
        <v>0.43672435378503255</v>
      </c>
      <c r="D280" s="14" t="s">
        <v>321</v>
      </c>
      <c r="E280" s="14" t="s">
        <v>43</v>
      </c>
    </row>
    <row r="281" spans="1:5" x14ac:dyDescent="0.25">
      <c r="A281" s="36">
        <v>279</v>
      </c>
      <c r="B281" s="37">
        <v>165613890</v>
      </c>
      <c r="C281" s="38">
        <v>7.7119977249354113E-2</v>
      </c>
      <c r="D281" s="14" t="s">
        <v>322</v>
      </c>
      <c r="E281" s="14" t="s">
        <v>46</v>
      </c>
    </row>
    <row r="282" spans="1:5" x14ac:dyDescent="0.25">
      <c r="A282" s="36">
        <v>280</v>
      </c>
      <c r="B282" s="37">
        <v>1293358377</v>
      </c>
      <c r="C282" s="38">
        <v>0.60226692706452079</v>
      </c>
      <c r="D282" s="14" t="s">
        <v>323</v>
      </c>
      <c r="E282" s="14" t="s">
        <v>48</v>
      </c>
    </row>
    <row r="283" spans="1:5" x14ac:dyDescent="0.25">
      <c r="A283" s="36">
        <v>281</v>
      </c>
      <c r="B283" s="37">
        <v>1780066412</v>
      </c>
      <c r="C283" s="38">
        <v>0.82890801729117891</v>
      </c>
      <c r="D283" s="14" t="s">
        <v>324</v>
      </c>
      <c r="E283" s="14" t="s">
        <v>37</v>
      </c>
    </row>
    <row r="284" spans="1:5" x14ac:dyDescent="0.25">
      <c r="A284" s="36">
        <v>282</v>
      </c>
      <c r="B284" s="37">
        <v>1266194037</v>
      </c>
      <c r="C284" s="38">
        <v>0.58961754552536527</v>
      </c>
      <c r="D284" s="14" t="s">
        <v>325</v>
      </c>
      <c r="E284" s="14" t="s">
        <v>40</v>
      </c>
    </row>
    <row r="285" spans="1:5" x14ac:dyDescent="0.25">
      <c r="A285" s="36">
        <v>283</v>
      </c>
      <c r="B285" s="37">
        <v>1325215497</v>
      </c>
      <c r="C285" s="38">
        <v>0.61710155458054583</v>
      </c>
      <c r="D285" s="14" t="s">
        <v>326</v>
      </c>
      <c r="E285" s="14" t="s">
        <v>43</v>
      </c>
    </row>
    <row r="286" spans="1:5" x14ac:dyDescent="0.25">
      <c r="A286" s="36">
        <v>284</v>
      </c>
      <c r="B286" s="37">
        <v>939039041</v>
      </c>
      <c r="C286" s="38">
        <v>0.43727412886790656</v>
      </c>
      <c r="D286" s="14" t="s">
        <v>327</v>
      </c>
      <c r="E286" s="14" t="s">
        <v>46</v>
      </c>
    </row>
    <row r="287" spans="1:5" x14ac:dyDescent="0.25">
      <c r="A287" s="36">
        <v>285</v>
      </c>
      <c r="B287" s="37">
        <v>411221210</v>
      </c>
      <c r="C287" s="38">
        <v>0.19148979810601557</v>
      </c>
      <c r="D287" s="14" t="s">
        <v>328</v>
      </c>
      <c r="E287" s="14" t="s">
        <v>48</v>
      </c>
    </row>
    <row r="288" spans="1:5" x14ac:dyDescent="0.25">
      <c r="A288" s="36">
        <v>286</v>
      </c>
      <c r="B288" s="37">
        <v>60834693</v>
      </c>
      <c r="C288" s="38">
        <v>2.8328361468542534E-2</v>
      </c>
      <c r="D288" s="14" t="s">
        <v>329</v>
      </c>
      <c r="E288" s="14" t="s">
        <v>37</v>
      </c>
    </row>
    <row r="289" spans="1:5" x14ac:dyDescent="0.25">
      <c r="A289" s="36">
        <v>287</v>
      </c>
      <c r="B289" s="37">
        <v>1584863057</v>
      </c>
      <c r="C289" s="38">
        <v>0.73800937167276137</v>
      </c>
      <c r="D289" s="14" t="s">
        <v>330</v>
      </c>
      <c r="E289" s="14" t="s">
        <v>40</v>
      </c>
    </row>
    <row r="290" spans="1:5" x14ac:dyDescent="0.25">
      <c r="A290" s="36">
        <v>288</v>
      </c>
      <c r="B290" s="37">
        <v>1119954703</v>
      </c>
      <c r="C290" s="38">
        <v>0.52151954896818831</v>
      </c>
      <c r="D290" s="14" t="s">
        <v>331</v>
      </c>
      <c r="E290" s="14" t="s">
        <v>43</v>
      </c>
    </row>
    <row r="291" spans="1:5" x14ac:dyDescent="0.25">
      <c r="A291" s="36">
        <v>289</v>
      </c>
      <c r="B291" s="37">
        <v>1716660244</v>
      </c>
      <c r="C291" s="38">
        <v>0.79938221946329913</v>
      </c>
      <c r="D291" s="14" t="s">
        <v>332</v>
      </c>
      <c r="E291" s="14" t="s">
        <v>46</v>
      </c>
    </row>
    <row r="292" spans="1:5" x14ac:dyDescent="0.25">
      <c r="A292" s="36">
        <v>290</v>
      </c>
      <c r="B292" s="37">
        <v>345719299</v>
      </c>
      <c r="C292" s="38">
        <v>0.16098809389443514</v>
      </c>
      <c r="D292" s="14" t="s">
        <v>333</v>
      </c>
      <c r="E292" s="14" t="s">
        <v>48</v>
      </c>
    </row>
    <row r="293" spans="1:5" x14ac:dyDescent="0.25">
      <c r="A293" s="36">
        <v>291</v>
      </c>
      <c r="B293" s="37">
        <v>384669255</v>
      </c>
      <c r="C293" s="38">
        <v>0.17912558055442088</v>
      </c>
      <c r="D293" s="14" t="s">
        <v>334</v>
      </c>
      <c r="E293" s="14" t="s">
        <v>37</v>
      </c>
    </row>
    <row r="294" spans="1:5" x14ac:dyDescent="0.25">
      <c r="A294" s="36">
        <v>292</v>
      </c>
      <c r="B294" s="37">
        <v>1028877225</v>
      </c>
      <c r="C294" s="38">
        <v>0.47910829329821669</v>
      </c>
      <c r="D294" s="14" t="s">
        <v>335</v>
      </c>
      <c r="E294" s="14" t="s">
        <v>40</v>
      </c>
    </row>
    <row r="295" spans="1:5" x14ac:dyDescent="0.25">
      <c r="A295" s="36">
        <v>293</v>
      </c>
      <c r="B295" s="37">
        <v>438168612</v>
      </c>
      <c r="C295" s="38">
        <v>0.20403816001677799</v>
      </c>
      <c r="D295" s="14" t="s">
        <v>336</v>
      </c>
      <c r="E295" s="14" t="s">
        <v>43</v>
      </c>
    </row>
    <row r="296" spans="1:5" x14ac:dyDescent="0.25">
      <c r="A296" s="36">
        <v>294</v>
      </c>
      <c r="B296" s="37">
        <v>194213854</v>
      </c>
      <c r="C296" s="38">
        <v>9.0437873308750735E-2</v>
      </c>
      <c r="D296" s="14" t="s">
        <v>337</v>
      </c>
      <c r="E296" s="14" t="s">
        <v>46</v>
      </c>
    </row>
    <row r="297" spans="1:5" x14ac:dyDescent="0.25">
      <c r="A297" s="36">
        <v>295</v>
      </c>
      <c r="B297" s="37">
        <v>1230948781</v>
      </c>
      <c r="C297" s="38">
        <v>0.5732051942372719</v>
      </c>
      <c r="D297" s="14" t="s">
        <v>338</v>
      </c>
      <c r="E297" s="14" t="s">
        <v>48</v>
      </c>
    </row>
    <row r="298" spans="1:5" x14ac:dyDescent="0.25">
      <c r="A298" s="36">
        <v>296</v>
      </c>
      <c r="B298" s="37">
        <v>1821224490</v>
      </c>
      <c r="C298" s="38">
        <v>0.848073740884696</v>
      </c>
      <c r="D298" s="14" t="s">
        <v>339</v>
      </c>
      <c r="E298" s="14" t="s">
        <v>37</v>
      </c>
    </row>
    <row r="299" spans="1:5" x14ac:dyDescent="0.25">
      <c r="A299" s="36">
        <v>297</v>
      </c>
      <c r="B299" s="37">
        <v>892670393</v>
      </c>
      <c r="C299" s="38">
        <v>0.41568204453945257</v>
      </c>
      <c r="D299" s="14" t="s">
        <v>340</v>
      </c>
      <c r="E299" s="14" t="s">
        <v>40</v>
      </c>
    </row>
    <row r="300" spans="1:5" x14ac:dyDescent="0.25">
      <c r="A300" s="36">
        <v>298</v>
      </c>
      <c r="B300" s="37">
        <v>1347165837</v>
      </c>
      <c r="C300" s="38">
        <v>0.62732297816654803</v>
      </c>
      <c r="D300" s="14" t="s">
        <v>341</v>
      </c>
      <c r="E300" s="14" t="s">
        <v>43</v>
      </c>
    </row>
    <row r="301" spans="1:5" x14ac:dyDescent="0.25">
      <c r="A301" s="36">
        <v>299</v>
      </c>
      <c r="B301" s="37">
        <v>541957483</v>
      </c>
      <c r="C301" s="38">
        <v>0.25236861931736049</v>
      </c>
      <c r="D301" s="14" t="s">
        <v>342</v>
      </c>
      <c r="E301" s="14" t="s">
        <v>46</v>
      </c>
    </row>
    <row r="302" spans="1:5" x14ac:dyDescent="0.25">
      <c r="A302" s="36">
        <v>300</v>
      </c>
      <c r="B302" s="37">
        <v>747764920</v>
      </c>
      <c r="C302" s="38">
        <v>0.34820517541291435</v>
      </c>
      <c r="D302" s="14" t="s">
        <v>343</v>
      </c>
      <c r="E302" s="14" t="s">
        <v>48</v>
      </c>
    </row>
    <row r="303" spans="1:5" x14ac:dyDescent="0.25">
      <c r="A303" s="36">
        <v>301</v>
      </c>
      <c r="B303" s="37">
        <v>1485500611</v>
      </c>
      <c r="C303" s="38">
        <v>0.69174012713680977</v>
      </c>
      <c r="D303" s="14" t="s">
        <v>344</v>
      </c>
      <c r="E303" s="14" t="s">
        <v>37</v>
      </c>
    </row>
    <row r="304" spans="1:5" x14ac:dyDescent="0.25">
      <c r="A304" s="36">
        <v>302</v>
      </c>
      <c r="B304" s="37">
        <v>445083905</v>
      </c>
      <c r="C304" s="38">
        <v>0.20725834425876771</v>
      </c>
      <c r="D304" s="14" t="s">
        <v>345</v>
      </c>
      <c r="E304" s="14" t="s">
        <v>40</v>
      </c>
    </row>
    <row r="305" spans="1:5" x14ac:dyDescent="0.25">
      <c r="A305" s="36">
        <v>303</v>
      </c>
      <c r="B305" s="37">
        <v>359946759</v>
      </c>
      <c r="C305" s="38">
        <v>0.16761327123623959</v>
      </c>
      <c r="D305" s="14" t="s">
        <v>346</v>
      </c>
      <c r="E305" s="14" t="s">
        <v>43</v>
      </c>
    </row>
    <row r="306" spans="1:5" x14ac:dyDescent="0.25">
      <c r="A306" s="36">
        <v>304</v>
      </c>
      <c r="B306" s="37">
        <v>2045350286</v>
      </c>
      <c r="C306" s="38">
        <v>0.95244044761752733</v>
      </c>
      <c r="D306" s="14" t="s">
        <v>347</v>
      </c>
      <c r="E306" s="14" t="s">
        <v>46</v>
      </c>
    </row>
    <row r="307" spans="1:5" x14ac:dyDescent="0.25">
      <c r="A307" s="36">
        <v>305</v>
      </c>
      <c r="B307" s="37">
        <v>876616806</v>
      </c>
      <c r="C307" s="38">
        <v>0.40820651054764467</v>
      </c>
      <c r="D307" s="14" t="s">
        <v>348</v>
      </c>
      <c r="E307" s="14" t="s">
        <v>48</v>
      </c>
    </row>
    <row r="308" spans="1:5" x14ac:dyDescent="0.25">
      <c r="A308" s="36">
        <v>306</v>
      </c>
      <c r="B308" s="37">
        <v>889284283</v>
      </c>
      <c r="C308" s="38">
        <v>0.41410526419715271</v>
      </c>
      <c r="D308" s="14" t="s">
        <v>349</v>
      </c>
      <c r="E308" s="14" t="s">
        <v>37</v>
      </c>
    </row>
    <row r="309" spans="1:5" x14ac:dyDescent="0.25">
      <c r="A309" s="36">
        <v>307</v>
      </c>
      <c r="B309" s="37">
        <v>79507815</v>
      </c>
      <c r="C309" s="38">
        <v>3.7023711501166089E-2</v>
      </c>
      <c r="D309" s="14" t="s">
        <v>350</v>
      </c>
      <c r="E309" s="14" t="s">
        <v>40</v>
      </c>
    </row>
    <row r="310" spans="1:5" x14ac:dyDescent="0.25">
      <c r="A310" s="36">
        <v>308</v>
      </c>
      <c r="B310" s="37">
        <v>784953429</v>
      </c>
      <c r="C310" s="38">
        <v>0.36552242439497373</v>
      </c>
      <c r="D310" s="14" t="s">
        <v>351</v>
      </c>
      <c r="E310" s="14" t="s">
        <v>43</v>
      </c>
    </row>
    <row r="311" spans="1:5" x14ac:dyDescent="0.25">
      <c r="A311" s="36">
        <v>309</v>
      </c>
      <c r="B311" s="37">
        <v>1472319061</v>
      </c>
      <c r="C311" s="38">
        <v>0.68560198959224017</v>
      </c>
      <c r="D311" s="14" t="s">
        <v>352</v>
      </c>
      <c r="E311" s="14" t="s">
        <v>46</v>
      </c>
    </row>
    <row r="312" spans="1:5" x14ac:dyDescent="0.25">
      <c r="A312" s="36">
        <v>310</v>
      </c>
      <c r="B312" s="37">
        <v>265991554</v>
      </c>
      <c r="C312" s="38">
        <v>0.12386196950630377</v>
      </c>
      <c r="D312" s="14" t="s">
        <v>353</v>
      </c>
      <c r="E312" s="14" t="s">
        <v>48</v>
      </c>
    </row>
    <row r="313" spans="1:5" x14ac:dyDescent="0.25">
      <c r="A313" s="36">
        <v>311</v>
      </c>
      <c r="B313" s="37">
        <v>1754340436</v>
      </c>
      <c r="C313" s="38">
        <v>0.81692842618419248</v>
      </c>
      <c r="D313" s="14" t="s">
        <v>354</v>
      </c>
      <c r="E313" s="14" t="s">
        <v>37</v>
      </c>
    </row>
    <row r="314" spans="1:5" x14ac:dyDescent="0.25">
      <c r="A314" s="36">
        <v>312</v>
      </c>
      <c r="B314" s="37">
        <v>559913817</v>
      </c>
      <c r="C314" s="38">
        <v>0.26073018892702188</v>
      </c>
      <c r="D314" s="14" t="s">
        <v>355</v>
      </c>
      <c r="E314" s="14" t="s">
        <v>40</v>
      </c>
    </row>
    <row r="315" spans="1:5" x14ac:dyDescent="0.25">
      <c r="A315" s="36">
        <v>313</v>
      </c>
      <c r="B315" s="37">
        <v>837217324</v>
      </c>
      <c r="C315" s="38">
        <v>0.38985969703172318</v>
      </c>
      <c r="D315" s="14" t="s">
        <v>356</v>
      </c>
      <c r="E315" s="14" t="s">
        <v>43</v>
      </c>
    </row>
    <row r="316" spans="1:5" x14ac:dyDescent="0.25">
      <c r="A316" s="36">
        <v>314</v>
      </c>
      <c r="B316" s="37">
        <v>1469603966</v>
      </c>
      <c r="C316" s="38">
        <v>0.68433767495878861</v>
      </c>
      <c r="D316" s="14" t="s">
        <v>357</v>
      </c>
      <c r="E316" s="14" t="s">
        <v>46</v>
      </c>
    </row>
    <row r="317" spans="1:5" x14ac:dyDescent="0.25">
      <c r="A317" s="36">
        <v>315</v>
      </c>
      <c r="B317" s="37">
        <v>1375563614</v>
      </c>
      <c r="C317" s="38">
        <v>0.64054672356720399</v>
      </c>
      <c r="D317" s="14" t="s">
        <v>358</v>
      </c>
      <c r="E317" s="14" t="s">
        <v>48</v>
      </c>
    </row>
    <row r="318" spans="1:5" x14ac:dyDescent="0.25">
      <c r="A318" s="36">
        <v>316</v>
      </c>
      <c r="B318" s="37">
        <v>1089164291</v>
      </c>
      <c r="C318" s="38">
        <v>0.50718164607285598</v>
      </c>
      <c r="D318" s="14" t="s">
        <v>359</v>
      </c>
      <c r="E318" s="14" t="s">
        <v>37</v>
      </c>
    </row>
    <row r="319" spans="1:5" x14ac:dyDescent="0.25">
      <c r="A319" s="36">
        <v>317</v>
      </c>
      <c r="B319" s="37">
        <v>3361599</v>
      </c>
      <c r="C319" s="38">
        <v>1.5653665184813396E-3</v>
      </c>
      <c r="D319" s="14" t="s">
        <v>360</v>
      </c>
      <c r="E319" s="14" t="s">
        <v>40</v>
      </c>
    </row>
    <row r="320" spans="1:5" x14ac:dyDescent="0.25">
      <c r="A320" s="36">
        <v>318</v>
      </c>
      <c r="B320" s="37">
        <v>137095616</v>
      </c>
      <c r="C320" s="38">
        <v>6.3840121060535368E-2</v>
      </c>
      <c r="D320" s="14" t="s">
        <v>361</v>
      </c>
      <c r="E320" s="14" t="s">
        <v>43</v>
      </c>
    </row>
    <row r="321" spans="1:5" x14ac:dyDescent="0.25">
      <c r="A321" s="36">
        <v>319</v>
      </c>
      <c r="B321" s="37">
        <v>2039345462</v>
      </c>
      <c r="C321" s="38">
        <v>0.94964423354232885</v>
      </c>
      <c r="D321" s="14" t="s">
        <v>362</v>
      </c>
      <c r="E321" s="14" t="s">
        <v>46</v>
      </c>
    </row>
    <row r="322" spans="1:5" x14ac:dyDescent="0.25">
      <c r="A322" s="36">
        <v>320</v>
      </c>
      <c r="B322" s="37">
        <v>85841344</v>
      </c>
      <c r="C322" s="38">
        <v>3.9972990769880354E-2</v>
      </c>
      <c r="D322" s="14" t="s">
        <v>363</v>
      </c>
      <c r="E322" s="14" t="s">
        <v>48</v>
      </c>
    </row>
    <row r="323" spans="1:5" x14ac:dyDescent="0.25">
      <c r="A323" s="36">
        <v>321</v>
      </c>
      <c r="B323" s="37">
        <v>1105089031</v>
      </c>
      <c r="C323" s="38">
        <v>0.51459718100475016</v>
      </c>
      <c r="D323" s="14" t="s">
        <v>364</v>
      </c>
      <c r="E323" s="14" t="s">
        <v>37</v>
      </c>
    </row>
    <row r="324" spans="1:5" x14ac:dyDescent="0.25">
      <c r="A324" s="36">
        <v>322</v>
      </c>
      <c r="B324" s="37">
        <v>740555178</v>
      </c>
      <c r="C324" s="38">
        <v>0.34484787767047431</v>
      </c>
      <c r="D324" s="14" t="s">
        <v>365</v>
      </c>
      <c r="E324" s="14" t="s">
        <v>40</v>
      </c>
    </row>
    <row r="325" spans="1:5" x14ac:dyDescent="0.25">
      <c r="A325" s="36">
        <v>323</v>
      </c>
      <c r="B325" s="37">
        <v>828317497</v>
      </c>
      <c r="C325" s="38">
        <v>0.38571539213215716</v>
      </c>
      <c r="D325" s="14" t="s">
        <v>366</v>
      </c>
      <c r="E325" s="14" t="s">
        <v>43</v>
      </c>
    </row>
    <row r="326" spans="1:5" x14ac:dyDescent="0.25">
      <c r="A326" s="36">
        <v>324</v>
      </c>
      <c r="B326" s="37">
        <v>827263797</v>
      </c>
      <c r="C326" s="38">
        <v>0.38522472483349252</v>
      </c>
      <c r="D326" s="14" t="s">
        <v>367</v>
      </c>
      <c r="E326" s="14" t="s">
        <v>46</v>
      </c>
    </row>
    <row r="327" spans="1:5" x14ac:dyDescent="0.25">
      <c r="A327" s="36">
        <v>325</v>
      </c>
      <c r="B327" s="37">
        <v>1411410896</v>
      </c>
      <c r="C327" s="38">
        <v>0.65723941505758066</v>
      </c>
      <c r="D327" s="14" t="s">
        <v>368</v>
      </c>
      <c r="E327" s="14" t="s">
        <v>48</v>
      </c>
    </row>
    <row r="328" spans="1:5" x14ac:dyDescent="0.25">
      <c r="A328" s="36">
        <v>326</v>
      </c>
      <c r="B328" s="37">
        <v>1953103446</v>
      </c>
      <c r="C328" s="38">
        <v>0.90948466533305339</v>
      </c>
      <c r="D328" s="14" t="s">
        <v>369</v>
      </c>
      <c r="E328" s="14" t="s">
        <v>37</v>
      </c>
    </row>
    <row r="329" spans="1:5" x14ac:dyDescent="0.25">
      <c r="A329" s="36">
        <v>327</v>
      </c>
      <c r="B329" s="37">
        <v>933509953</v>
      </c>
      <c r="C329" s="38">
        <v>0.43469944663098986</v>
      </c>
      <c r="D329" s="14" t="s">
        <v>370</v>
      </c>
      <c r="E329" s="14" t="s">
        <v>40</v>
      </c>
    </row>
    <row r="330" spans="1:5" x14ac:dyDescent="0.25">
      <c r="A330" s="36">
        <v>328</v>
      </c>
      <c r="B330" s="37">
        <v>1220929052</v>
      </c>
      <c r="C330" s="38">
        <v>0.5685393943304845</v>
      </c>
      <c r="D330" s="14" t="s">
        <v>371</v>
      </c>
      <c r="E330" s="14" t="s">
        <v>43</v>
      </c>
    </row>
    <row r="331" spans="1:5" x14ac:dyDescent="0.25">
      <c r="A331" s="36">
        <v>329</v>
      </c>
      <c r="B331" s="37">
        <v>1089813367</v>
      </c>
      <c r="C331" s="38">
        <v>0.50748389563871732</v>
      </c>
      <c r="D331" s="14" t="s">
        <v>372</v>
      </c>
      <c r="E331" s="14" t="s">
        <v>46</v>
      </c>
    </row>
    <row r="332" spans="1:5" x14ac:dyDescent="0.25">
      <c r="A332" s="36">
        <v>330</v>
      </c>
      <c r="B332" s="37">
        <v>222316058</v>
      </c>
      <c r="C332" s="38">
        <v>0.10352398180566913</v>
      </c>
      <c r="D332" s="14" t="s">
        <v>373</v>
      </c>
      <c r="E332" s="14" t="s">
        <v>48</v>
      </c>
    </row>
    <row r="333" spans="1:5" x14ac:dyDescent="0.25">
      <c r="A333" s="36">
        <v>331</v>
      </c>
      <c r="B333" s="37">
        <v>1563262927</v>
      </c>
      <c r="C333" s="38">
        <v>0.72795102732626304</v>
      </c>
      <c r="D333" s="14" t="s">
        <v>374</v>
      </c>
      <c r="E333" s="14" t="s">
        <v>37</v>
      </c>
    </row>
    <row r="334" spans="1:5" x14ac:dyDescent="0.25">
      <c r="A334" s="36">
        <v>332</v>
      </c>
      <c r="B334" s="37">
        <v>334784527</v>
      </c>
      <c r="C334" s="38">
        <v>0.15589619388612741</v>
      </c>
      <c r="D334" s="14" t="s">
        <v>375</v>
      </c>
      <c r="E334" s="14" t="s">
        <v>40</v>
      </c>
    </row>
    <row r="335" spans="1:5" x14ac:dyDescent="0.25">
      <c r="A335" s="36">
        <v>333</v>
      </c>
      <c r="B335" s="37">
        <v>1254697927</v>
      </c>
      <c r="C335" s="38">
        <v>0.58426425214124111</v>
      </c>
      <c r="D335" s="14" t="s">
        <v>376</v>
      </c>
      <c r="E335" s="14" t="s">
        <v>43</v>
      </c>
    </row>
    <row r="336" spans="1:5" x14ac:dyDescent="0.25">
      <c r="A336" s="36">
        <v>334</v>
      </c>
      <c r="B336" s="37">
        <v>1989496164</v>
      </c>
      <c r="C336" s="38">
        <v>0.92643134525345239</v>
      </c>
      <c r="D336" s="14" t="s">
        <v>377</v>
      </c>
      <c r="E336" s="14" t="s">
        <v>46</v>
      </c>
    </row>
    <row r="337" spans="1:5" x14ac:dyDescent="0.25">
      <c r="A337" s="36">
        <v>335</v>
      </c>
      <c r="B337" s="37">
        <v>1303724327</v>
      </c>
      <c r="C337" s="38">
        <v>0.6070939486879362</v>
      </c>
      <c r="D337" s="14" t="s">
        <v>378</v>
      </c>
      <c r="E337" s="14" t="s">
        <v>48</v>
      </c>
    </row>
    <row r="338" spans="1:5" x14ac:dyDescent="0.25">
      <c r="A338" s="36">
        <v>336</v>
      </c>
      <c r="B338" s="37">
        <v>1131886517</v>
      </c>
      <c r="C338" s="38">
        <v>0.52707573283793208</v>
      </c>
      <c r="D338" s="14" t="s">
        <v>379</v>
      </c>
      <c r="E338" s="14" t="s">
        <v>37</v>
      </c>
    </row>
    <row r="339" spans="1:5" x14ac:dyDescent="0.25">
      <c r="A339" s="36">
        <v>337</v>
      </c>
      <c r="B339" s="37">
        <v>443107491</v>
      </c>
      <c r="C339" s="38">
        <v>0.2063380047708461</v>
      </c>
      <c r="D339" s="14" t="s">
        <v>380</v>
      </c>
      <c r="E339" s="14" t="s">
        <v>40</v>
      </c>
    </row>
    <row r="340" spans="1:5" x14ac:dyDescent="0.25">
      <c r="A340" s="36">
        <v>338</v>
      </c>
      <c r="B340" s="37">
        <v>514380613</v>
      </c>
      <c r="C340" s="38">
        <v>0.23952713852726257</v>
      </c>
      <c r="D340" s="14" t="s">
        <v>381</v>
      </c>
      <c r="E340" s="14" t="s">
        <v>43</v>
      </c>
    </row>
    <row r="341" spans="1:5" x14ac:dyDescent="0.25">
      <c r="A341" s="36">
        <v>339</v>
      </c>
      <c r="B341" s="37">
        <v>821182795</v>
      </c>
      <c r="C341" s="38">
        <v>0.38239303761273297</v>
      </c>
      <c r="D341" s="14" t="s">
        <v>382</v>
      </c>
      <c r="E341" s="14" t="s">
        <v>46</v>
      </c>
    </row>
    <row r="342" spans="1:5" x14ac:dyDescent="0.25">
      <c r="A342" s="36">
        <v>340</v>
      </c>
      <c r="B342" s="37">
        <v>521985157</v>
      </c>
      <c r="C342" s="38">
        <v>0.24306828027733987</v>
      </c>
      <c r="D342" s="14" t="s">
        <v>383</v>
      </c>
      <c r="E342" s="14" t="s">
        <v>48</v>
      </c>
    </row>
    <row r="343" spans="1:5" x14ac:dyDescent="0.25">
      <c r="A343" s="36">
        <v>341</v>
      </c>
      <c r="B343" s="37">
        <v>1506168977</v>
      </c>
      <c r="C343" s="38">
        <v>0.70136458505939903</v>
      </c>
      <c r="D343" s="14" t="s">
        <v>384</v>
      </c>
      <c r="E343" s="14" t="s">
        <v>37</v>
      </c>
    </row>
    <row r="344" spans="1:5" x14ac:dyDescent="0.25">
      <c r="A344" s="36">
        <v>342</v>
      </c>
      <c r="B344" s="37">
        <v>768975115</v>
      </c>
      <c r="C344" s="38">
        <v>0.35808194212526173</v>
      </c>
      <c r="D344" s="14" t="s">
        <v>385</v>
      </c>
      <c r="E344" s="14" t="s">
        <v>40</v>
      </c>
    </row>
    <row r="345" spans="1:5" x14ac:dyDescent="0.25">
      <c r="A345" s="36">
        <v>343</v>
      </c>
      <c r="B345" s="37">
        <v>1754176306</v>
      </c>
      <c r="C345" s="38">
        <v>0.81685199719707113</v>
      </c>
      <c r="D345" s="14" t="s">
        <v>386</v>
      </c>
      <c r="E345" s="14" t="s">
        <v>43</v>
      </c>
    </row>
    <row r="346" spans="1:5" x14ac:dyDescent="0.25">
      <c r="A346" s="36">
        <v>344</v>
      </c>
      <c r="B346" s="37">
        <v>91848736</v>
      </c>
      <c r="C346" s="38">
        <v>4.2770400663265214E-2</v>
      </c>
      <c r="D346" s="14" t="s">
        <v>387</v>
      </c>
      <c r="E346" s="14" t="s">
        <v>46</v>
      </c>
    </row>
    <row r="347" spans="1:5" x14ac:dyDescent="0.25">
      <c r="A347" s="36">
        <v>345</v>
      </c>
      <c r="B347" s="37">
        <v>1875397399</v>
      </c>
      <c r="C347" s="38">
        <v>0.87329996743858795</v>
      </c>
      <c r="D347" s="14" t="s">
        <v>388</v>
      </c>
      <c r="E347" s="14" t="s">
        <v>48</v>
      </c>
    </row>
    <row r="348" spans="1:5" x14ac:dyDescent="0.25">
      <c r="A348" s="36">
        <v>346</v>
      </c>
      <c r="B348" s="37">
        <v>215686088</v>
      </c>
      <c r="C348" s="38">
        <v>0.1004366614392198</v>
      </c>
      <c r="D348" s="14" t="s">
        <v>389</v>
      </c>
      <c r="E348" s="14" t="s">
        <v>37</v>
      </c>
    </row>
    <row r="349" spans="1:5" x14ac:dyDescent="0.25">
      <c r="A349" s="36">
        <v>347</v>
      </c>
      <c r="B349" s="37">
        <v>1730910610</v>
      </c>
      <c r="C349" s="38">
        <v>0.80601806324255565</v>
      </c>
      <c r="D349" s="14" t="s">
        <v>390</v>
      </c>
      <c r="E349" s="14" t="s">
        <v>40</v>
      </c>
    </row>
    <row r="350" spans="1:5" x14ac:dyDescent="0.25">
      <c r="A350" s="36">
        <v>348</v>
      </c>
      <c r="B350" s="37">
        <v>1479304334</v>
      </c>
      <c r="C350" s="38">
        <v>0.68885476081113084</v>
      </c>
      <c r="D350" s="14" t="s">
        <v>391</v>
      </c>
      <c r="E350" s="14" t="s">
        <v>43</v>
      </c>
    </row>
    <row r="351" spans="1:5" x14ac:dyDescent="0.25">
      <c r="A351" s="36">
        <v>349</v>
      </c>
      <c r="B351" s="37">
        <v>951067021</v>
      </c>
      <c r="C351" s="38">
        <v>0.4428750935210265</v>
      </c>
      <c r="D351" s="14" t="s">
        <v>392</v>
      </c>
      <c r="E351" s="14" t="s">
        <v>46</v>
      </c>
    </row>
    <row r="352" spans="1:5" x14ac:dyDescent="0.25">
      <c r="A352" s="36">
        <v>350</v>
      </c>
      <c r="B352" s="37">
        <v>294589729</v>
      </c>
      <c r="C352" s="38">
        <v>0.13717903249765701</v>
      </c>
      <c r="D352" s="14" t="s">
        <v>393</v>
      </c>
      <c r="E352" s="14" t="s">
        <v>48</v>
      </c>
    </row>
    <row r="353" spans="1:5" x14ac:dyDescent="0.25">
      <c r="A353" s="36">
        <v>351</v>
      </c>
      <c r="B353" s="37">
        <v>861579262</v>
      </c>
      <c r="C353" s="38">
        <v>0.40120410844739718</v>
      </c>
      <c r="D353" s="14" t="s">
        <v>394</v>
      </c>
      <c r="E353" s="14" t="s">
        <v>37</v>
      </c>
    </row>
    <row r="354" spans="1:5" x14ac:dyDescent="0.25">
      <c r="A354" s="36">
        <v>352</v>
      </c>
      <c r="B354" s="37">
        <v>1590747115</v>
      </c>
      <c r="C354" s="38">
        <v>0.74074934969691064</v>
      </c>
      <c r="D354" s="14" t="s">
        <v>395</v>
      </c>
      <c r="E354" s="14" t="s">
        <v>40</v>
      </c>
    </row>
    <row r="355" spans="1:5" x14ac:dyDescent="0.25">
      <c r="A355" s="36">
        <v>353</v>
      </c>
      <c r="B355" s="37">
        <v>608683186</v>
      </c>
      <c r="C355" s="38">
        <v>0.28344019608732324</v>
      </c>
      <c r="D355" s="14" t="s">
        <v>396</v>
      </c>
      <c r="E355" s="14" t="s">
        <v>43</v>
      </c>
    </row>
    <row r="356" spans="1:5" x14ac:dyDescent="0.25">
      <c r="A356" s="36">
        <v>354</v>
      </c>
      <c r="B356" s="37">
        <v>1641811802</v>
      </c>
      <c r="C356" s="38">
        <v>0.76452819759237034</v>
      </c>
      <c r="D356" s="14" t="s">
        <v>397</v>
      </c>
      <c r="E356" s="14" t="s">
        <v>46</v>
      </c>
    </row>
    <row r="357" spans="1:5" x14ac:dyDescent="0.25">
      <c r="A357" s="36">
        <v>355</v>
      </c>
      <c r="B357" s="37">
        <v>1654063601</v>
      </c>
      <c r="C357" s="38">
        <v>0.77023338608920267</v>
      </c>
      <c r="D357" s="14" t="s">
        <v>398</v>
      </c>
      <c r="E357" s="14" t="s">
        <v>48</v>
      </c>
    </row>
    <row r="358" spans="1:5" x14ac:dyDescent="0.25">
      <c r="A358" s="36">
        <v>356</v>
      </c>
      <c r="B358" s="37">
        <v>427598517</v>
      </c>
      <c r="C358" s="38">
        <v>0.19911607596982087</v>
      </c>
      <c r="D358" s="14" t="s">
        <v>399</v>
      </c>
      <c r="E358" s="14" t="s">
        <v>37</v>
      </c>
    </row>
    <row r="359" spans="1:5" x14ac:dyDescent="0.25">
      <c r="A359" s="36">
        <v>357</v>
      </c>
      <c r="B359" s="37">
        <v>340353850</v>
      </c>
      <c r="C359" s="38">
        <v>0.15848961200494766</v>
      </c>
      <c r="D359" s="14" t="s">
        <v>400</v>
      </c>
      <c r="E359" s="14" t="s">
        <v>40</v>
      </c>
    </row>
    <row r="360" spans="1:5" x14ac:dyDescent="0.25">
      <c r="A360" s="36">
        <v>358</v>
      </c>
      <c r="B360" s="37">
        <v>845160403</v>
      </c>
      <c r="C360" s="38">
        <v>0.39355848142577265</v>
      </c>
      <c r="D360" s="14" t="s">
        <v>401</v>
      </c>
      <c r="E360" s="14" t="s">
        <v>43</v>
      </c>
    </row>
    <row r="361" spans="1:5" x14ac:dyDescent="0.25">
      <c r="A361" s="36">
        <v>359</v>
      </c>
      <c r="B361" s="37">
        <v>866361862</v>
      </c>
      <c r="C361" s="38">
        <v>0.40343118012111223</v>
      </c>
      <c r="D361" s="14" t="s">
        <v>402</v>
      </c>
      <c r="E361" s="14" t="s">
        <v>46</v>
      </c>
    </row>
    <row r="362" spans="1:5" x14ac:dyDescent="0.25">
      <c r="A362" s="36">
        <v>360</v>
      </c>
      <c r="B362" s="37">
        <v>1626132686</v>
      </c>
      <c r="C362" s="38">
        <v>0.75722704024856302</v>
      </c>
      <c r="D362" s="14" t="s">
        <v>403</v>
      </c>
      <c r="E362" s="14" t="s">
        <v>48</v>
      </c>
    </row>
    <row r="363" spans="1:5" x14ac:dyDescent="0.25">
      <c r="A363" s="36">
        <v>361</v>
      </c>
      <c r="B363" s="37">
        <v>1742265692</v>
      </c>
      <c r="C363" s="38">
        <v>0.81130568534662284</v>
      </c>
      <c r="D363" s="14" t="s">
        <v>404</v>
      </c>
      <c r="E363" s="14" t="s">
        <v>37</v>
      </c>
    </row>
    <row r="364" spans="1:5" x14ac:dyDescent="0.25">
      <c r="A364" s="36">
        <v>362</v>
      </c>
      <c r="B364" s="37">
        <v>146109490</v>
      </c>
      <c r="C364" s="38">
        <v>6.8037533232959704E-2</v>
      </c>
      <c r="D364" s="14" t="s">
        <v>405</v>
      </c>
      <c r="E364" s="14" t="s">
        <v>40</v>
      </c>
    </row>
    <row r="365" spans="1:5" x14ac:dyDescent="0.25">
      <c r="A365" s="36">
        <v>363</v>
      </c>
      <c r="B365" s="37">
        <v>1389723723</v>
      </c>
      <c r="C365" s="38">
        <v>0.64714053815563233</v>
      </c>
      <c r="D365" s="14" t="s">
        <v>406</v>
      </c>
      <c r="E365" s="14" t="s">
        <v>43</v>
      </c>
    </row>
    <row r="366" spans="1:5" x14ac:dyDescent="0.25">
      <c r="A366" s="36">
        <v>364</v>
      </c>
      <c r="B366" s="37">
        <v>164088044</v>
      </c>
      <c r="C366" s="38">
        <v>7.6409449836429888E-2</v>
      </c>
      <c r="D366" s="14" t="s">
        <v>407</v>
      </c>
      <c r="E366" s="14" t="s">
        <v>46</v>
      </c>
    </row>
    <row r="367" spans="1:5" x14ac:dyDescent="0.25">
      <c r="A367" s="36">
        <v>365</v>
      </c>
      <c r="B367" s="37">
        <v>1957699628</v>
      </c>
      <c r="C367" s="38">
        <v>0.91162492936087069</v>
      </c>
      <c r="D367" s="14" t="s">
        <v>408</v>
      </c>
      <c r="E367" s="14" t="s">
        <v>48</v>
      </c>
    </row>
    <row r="368" spans="1:5" x14ac:dyDescent="0.25">
      <c r="A368" s="36">
        <v>366</v>
      </c>
      <c r="B368" s="37">
        <v>2056602889</v>
      </c>
      <c r="C368" s="38">
        <v>0.95768034921851031</v>
      </c>
      <c r="D368" s="14" t="s">
        <v>409</v>
      </c>
      <c r="E368" s="14" t="s">
        <v>37</v>
      </c>
    </row>
    <row r="369" spans="1:5" x14ac:dyDescent="0.25">
      <c r="A369" s="36">
        <v>367</v>
      </c>
      <c r="B369" s="37">
        <v>763256247</v>
      </c>
      <c r="C369" s="38">
        <v>0.35541888668919863</v>
      </c>
      <c r="D369" s="14" t="s">
        <v>410</v>
      </c>
      <c r="E369" s="14" t="s">
        <v>40</v>
      </c>
    </row>
    <row r="370" spans="1:5" x14ac:dyDescent="0.25">
      <c r="A370" s="36">
        <v>368</v>
      </c>
      <c r="B370" s="37">
        <v>202942110</v>
      </c>
      <c r="C370" s="38">
        <v>9.4502284235554873E-2</v>
      </c>
      <c r="D370" s="14" t="s">
        <v>411</v>
      </c>
      <c r="E370" s="14" t="s">
        <v>43</v>
      </c>
    </row>
    <row r="371" spans="1:5" x14ac:dyDescent="0.25">
      <c r="A371" s="36">
        <v>369</v>
      </c>
      <c r="B371" s="37">
        <v>1904395226</v>
      </c>
      <c r="C371" s="38">
        <v>0.88680313289482293</v>
      </c>
      <c r="D371" s="14" t="s">
        <v>412</v>
      </c>
      <c r="E371" s="14" t="s">
        <v>46</v>
      </c>
    </row>
    <row r="372" spans="1:5" x14ac:dyDescent="0.25">
      <c r="A372" s="36">
        <v>370</v>
      </c>
      <c r="B372" s="37">
        <v>981223291</v>
      </c>
      <c r="C372" s="38">
        <v>0.4569177010361653</v>
      </c>
      <c r="D372" s="14" t="s">
        <v>413</v>
      </c>
      <c r="E372" s="14" t="s">
        <v>48</v>
      </c>
    </row>
    <row r="373" spans="1:5" x14ac:dyDescent="0.25">
      <c r="A373" s="36">
        <v>371</v>
      </c>
      <c r="B373" s="37">
        <v>877146501</v>
      </c>
      <c r="C373" s="38">
        <v>0.40845316900334006</v>
      </c>
      <c r="D373" s="14" t="s">
        <v>414</v>
      </c>
      <c r="E373" s="14" t="s">
        <v>37</v>
      </c>
    </row>
    <row r="374" spans="1:5" x14ac:dyDescent="0.25">
      <c r="A374" s="36">
        <v>372</v>
      </c>
      <c r="B374" s="37">
        <v>2111558888</v>
      </c>
      <c r="C374" s="38">
        <v>0.98327123047004972</v>
      </c>
      <c r="D374" s="14" t="s">
        <v>415</v>
      </c>
      <c r="E374" s="14" t="s">
        <v>40</v>
      </c>
    </row>
    <row r="375" spans="1:5" x14ac:dyDescent="0.25">
      <c r="A375" s="36">
        <v>373</v>
      </c>
      <c r="B375" s="37">
        <v>36580463</v>
      </c>
      <c r="C375" s="38">
        <v>1.7034105498825249E-2</v>
      </c>
      <c r="D375" s="14" t="s">
        <v>416</v>
      </c>
      <c r="E375" s="14" t="s">
        <v>43</v>
      </c>
    </row>
    <row r="376" spans="1:5" x14ac:dyDescent="0.25">
      <c r="A376" s="36">
        <v>374</v>
      </c>
      <c r="B376" s="37">
        <v>357752260</v>
      </c>
      <c r="C376" s="38">
        <v>0.1665913780064282</v>
      </c>
      <c r="D376" s="14" t="s">
        <v>417</v>
      </c>
      <c r="E376" s="14" t="s">
        <v>46</v>
      </c>
    </row>
    <row r="377" spans="1:5" x14ac:dyDescent="0.25">
      <c r="A377" s="36">
        <v>375</v>
      </c>
      <c r="B377" s="37">
        <v>2116585858</v>
      </c>
      <c r="C377" s="38">
        <v>0.98561209579259723</v>
      </c>
      <c r="D377" s="14" t="s">
        <v>418</v>
      </c>
      <c r="E377" s="14" t="s">
        <v>48</v>
      </c>
    </row>
    <row r="378" spans="1:5" x14ac:dyDescent="0.25">
      <c r="A378" s="36">
        <v>376</v>
      </c>
      <c r="B378" s="37">
        <v>957531001</v>
      </c>
      <c r="C378" s="38">
        <v>0.44588511877035958</v>
      </c>
      <c r="D378" s="14" t="s">
        <v>419</v>
      </c>
      <c r="E378" s="14" t="s">
        <v>37</v>
      </c>
    </row>
    <row r="379" spans="1:5" x14ac:dyDescent="0.25">
      <c r="A379" s="36">
        <v>377</v>
      </c>
      <c r="B379" s="37">
        <v>857827759</v>
      </c>
      <c r="C379" s="38">
        <v>0.39945717873026487</v>
      </c>
      <c r="D379" s="14" t="s">
        <v>420</v>
      </c>
      <c r="E379" s="14" t="s">
        <v>40</v>
      </c>
    </row>
    <row r="380" spans="1:5" x14ac:dyDescent="0.25">
      <c r="A380" s="36">
        <v>378</v>
      </c>
      <c r="B380" s="37">
        <v>2002661516</v>
      </c>
      <c r="C380" s="38">
        <v>0.93256194001648662</v>
      </c>
      <c r="D380" s="14" t="s">
        <v>421</v>
      </c>
      <c r="E380" s="14" t="s">
        <v>43</v>
      </c>
    </row>
    <row r="381" spans="1:5" x14ac:dyDescent="0.25">
      <c r="A381" s="36">
        <v>379</v>
      </c>
      <c r="B381" s="37">
        <v>290644492</v>
      </c>
      <c r="C381" s="38">
        <v>0.1353418883566474</v>
      </c>
      <c r="D381" s="14" t="s">
        <v>422</v>
      </c>
      <c r="E381" s="14" t="s">
        <v>46</v>
      </c>
    </row>
    <row r="382" spans="1:5" x14ac:dyDescent="0.25">
      <c r="A382" s="36">
        <v>380</v>
      </c>
      <c r="B382" s="37">
        <v>920954363</v>
      </c>
      <c r="C382" s="38">
        <v>0.42885279442595914</v>
      </c>
      <c r="D382" s="14" t="s">
        <v>423</v>
      </c>
      <c r="E382" s="14" t="s">
        <v>48</v>
      </c>
    </row>
    <row r="383" spans="1:5" x14ac:dyDescent="0.25">
      <c r="A383" s="36">
        <v>381</v>
      </c>
      <c r="B383" s="37">
        <v>1438336906</v>
      </c>
      <c r="C383" s="38">
        <v>0.66977781554208038</v>
      </c>
      <c r="D383" s="14" t="s">
        <v>424</v>
      </c>
      <c r="E383" s="14" t="s">
        <v>37</v>
      </c>
    </row>
    <row r="384" spans="1:5" x14ac:dyDescent="0.25">
      <c r="A384" s="36">
        <v>382</v>
      </c>
      <c r="B384" s="37">
        <v>838702159</v>
      </c>
      <c r="C384" s="38">
        <v>0.39055112720958474</v>
      </c>
      <c r="D384" s="14" t="s">
        <v>425</v>
      </c>
      <c r="E384" s="14" t="s">
        <v>40</v>
      </c>
    </row>
    <row r="385" spans="1:5" x14ac:dyDescent="0.25">
      <c r="A385" s="36">
        <v>383</v>
      </c>
      <c r="B385" s="37">
        <v>1260904644</v>
      </c>
      <c r="C385" s="38">
        <v>0.58715447997076176</v>
      </c>
      <c r="D385" s="14" t="s">
        <v>426</v>
      </c>
      <c r="E385" s="14" t="s">
        <v>43</v>
      </c>
    </row>
    <row r="386" spans="1:5" x14ac:dyDescent="0.25">
      <c r="A386" s="36">
        <v>384</v>
      </c>
      <c r="B386" s="37">
        <v>1681284872</v>
      </c>
      <c r="C386" s="38">
        <v>0.78290927819111822</v>
      </c>
      <c r="D386" s="14" t="s">
        <v>427</v>
      </c>
      <c r="E386" s="14" t="s">
        <v>46</v>
      </c>
    </row>
    <row r="387" spans="1:5" x14ac:dyDescent="0.25">
      <c r="A387" s="36">
        <v>385</v>
      </c>
      <c r="B387" s="37">
        <v>1156241739</v>
      </c>
      <c r="C387" s="38">
        <v>0.53841701687239907</v>
      </c>
      <c r="D387" s="14" t="s">
        <v>428</v>
      </c>
      <c r="E387" s="14" t="s">
        <v>48</v>
      </c>
    </row>
    <row r="388" spans="1:5" x14ac:dyDescent="0.25">
      <c r="A388" s="36">
        <v>386</v>
      </c>
      <c r="B388" s="37">
        <v>122718975</v>
      </c>
      <c r="C388" s="38">
        <v>5.7145475902196707E-2</v>
      </c>
      <c r="D388" s="14" t="s">
        <v>429</v>
      </c>
      <c r="E388" s="14" t="s">
        <v>37</v>
      </c>
    </row>
    <row r="389" spans="1:5" x14ac:dyDescent="0.25">
      <c r="A389" s="36">
        <v>387</v>
      </c>
      <c r="B389" s="37">
        <v>1171263458</v>
      </c>
      <c r="C389" s="38">
        <v>0.54541204988277148</v>
      </c>
      <c r="D389" s="14" t="s">
        <v>430</v>
      </c>
      <c r="E389" s="14" t="s">
        <v>40</v>
      </c>
    </row>
    <row r="390" spans="1:5" x14ac:dyDescent="0.25">
      <c r="A390" s="36">
        <v>388</v>
      </c>
      <c r="B390" s="37">
        <v>997435429</v>
      </c>
      <c r="C390" s="38">
        <v>0.46446706609077149</v>
      </c>
      <c r="D390" s="14" t="s">
        <v>431</v>
      </c>
      <c r="E390" s="14" t="s">
        <v>43</v>
      </c>
    </row>
    <row r="391" spans="1:5" x14ac:dyDescent="0.25">
      <c r="A391" s="36">
        <v>389</v>
      </c>
      <c r="B391" s="37">
        <v>1106642749</v>
      </c>
      <c r="C391" s="38">
        <v>0.51532068732908032</v>
      </c>
      <c r="D391" s="14" t="s">
        <v>432</v>
      </c>
      <c r="E391" s="14" t="s">
        <v>46</v>
      </c>
    </row>
    <row r="392" spans="1:5" x14ac:dyDescent="0.25">
      <c r="A392" s="36">
        <v>390</v>
      </c>
      <c r="B392" s="37">
        <v>1372698140</v>
      </c>
      <c r="C392" s="38">
        <v>0.63921238325499574</v>
      </c>
      <c r="D392" s="14" t="s">
        <v>433</v>
      </c>
      <c r="E392" s="14" t="s">
        <v>48</v>
      </c>
    </row>
    <row r="393" spans="1:5" x14ac:dyDescent="0.25">
      <c r="A393" s="36">
        <v>391</v>
      </c>
      <c r="B393" s="37">
        <v>997234428</v>
      </c>
      <c r="C393" s="38">
        <v>0.46437346770631777</v>
      </c>
      <c r="D393" s="14" t="s">
        <v>434</v>
      </c>
      <c r="E393" s="14" t="s">
        <v>37</v>
      </c>
    </row>
    <row r="394" spans="1:5" x14ac:dyDescent="0.25">
      <c r="A394" s="36">
        <v>392</v>
      </c>
      <c r="B394" s="37">
        <v>1542902156</v>
      </c>
      <c r="C394" s="38">
        <v>0.71846980448740994</v>
      </c>
      <c r="D394" s="14" t="s">
        <v>435</v>
      </c>
      <c r="E394" s="14" t="s">
        <v>40</v>
      </c>
    </row>
    <row r="395" spans="1:5" x14ac:dyDescent="0.25">
      <c r="A395" s="36">
        <v>393</v>
      </c>
      <c r="B395" s="37">
        <v>909352706</v>
      </c>
      <c r="C395" s="38">
        <v>0.42345035188992058</v>
      </c>
      <c r="D395" s="14" t="s">
        <v>436</v>
      </c>
      <c r="E395" s="14" t="s">
        <v>43</v>
      </c>
    </row>
    <row r="396" spans="1:5" x14ac:dyDescent="0.25">
      <c r="A396" s="36">
        <v>394</v>
      </c>
      <c r="B396" s="37">
        <v>363172805</v>
      </c>
      <c r="C396" s="38">
        <v>0.16911551597021313</v>
      </c>
      <c r="D396" s="14" t="s">
        <v>437</v>
      </c>
      <c r="E396" s="14" t="s">
        <v>46</v>
      </c>
    </row>
    <row r="397" spans="1:5" x14ac:dyDescent="0.25">
      <c r="A397" s="36">
        <v>395</v>
      </c>
      <c r="B397" s="37">
        <v>1022967289</v>
      </c>
      <c r="C397" s="38">
        <v>0.47635626489126881</v>
      </c>
      <c r="D397" s="14" t="s">
        <v>438</v>
      </c>
      <c r="E397" s="14" t="s">
        <v>48</v>
      </c>
    </row>
    <row r="398" spans="1:5" x14ac:dyDescent="0.25">
      <c r="A398" s="36">
        <v>396</v>
      </c>
      <c r="B398" s="37">
        <v>824535119</v>
      </c>
      <c r="C398" s="38">
        <v>0.38395408512277251</v>
      </c>
      <c r="D398" s="14" t="s">
        <v>439</v>
      </c>
      <c r="E398" s="14" t="s">
        <v>37</v>
      </c>
    </row>
    <row r="399" spans="1:5" x14ac:dyDescent="0.25">
      <c r="A399" s="36">
        <v>397</v>
      </c>
      <c r="B399" s="37">
        <v>1386576351</v>
      </c>
      <c r="C399" s="38">
        <v>0.64567492885779354</v>
      </c>
      <c r="D399" s="14" t="s">
        <v>440</v>
      </c>
      <c r="E399" s="14" t="s">
        <v>40</v>
      </c>
    </row>
    <row r="400" spans="1:5" x14ac:dyDescent="0.25">
      <c r="A400" s="36">
        <v>398</v>
      </c>
      <c r="B400" s="37">
        <v>1144808424</v>
      </c>
      <c r="C400" s="38">
        <v>0.53309296468882494</v>
      </c>
      <c r="D400" s="14" t="s">
        <v>441</v>
      </c>
      <c r="E400" s="14" t="s">
        <v>43</v>
      </c>
    </row>
    <row r="401" spans="1:5" x14ac:dyDescent="0.25">
      <c r="A401" s="36">
        <v>399</v>
      </c>
      <c r="B401" s="37">
        <v>84148314</v>
      </c>
      <c r="C401" s="38">
        <v>3.9184612240262616E-2</v>
      </c>
      <c r="D401" s="14" t="s">
        <v>442</v>
      </c>
      <c r="E401" s="14" t="s">
        <v>46</v>
      </c>
    </row>
    <row r="402" spans="1:5" x14ac:dyDescent="0.25">
      <c r="A402" s="36">
        <v>400</v>
      </c>
      <c r="B402" s="37">
        <v>512873145</v>
      </c>
      <c r="C402" s="38">
        <v>0.23882516903748044</v>
      </c>
      <c r="D402" s="14" t="s">
        <v>443</v>
      </c>
      <c r="E402" s="14" t="s">
        <v>48</v>
      </c>
    </row>
    <row r="403" spans="1:5" x14ac:dyDescent="0.25">
      <c r="A403" s="36">
        <v>401</v>
      </c>
      <c r="B403" s="37">
        <v>2011393438</v>
      </c>
      <c r="C403" s="38">
        <v>0.93662805805757088</v>
      </c>
      <c r="D403" s="14" t="s">
        <v>444</v>
      </c>
      <c r="E403" s="14" t="s">
        <v>37</v>
      </c>
    </row>
    <row r="404" spans="1:5" x14ac:dyDescent="0.25">
      <c r="A404" s="36">
        <v>402</v>
      </c>
      <c r="B404" s="37">
        <v>623788646</v>
      </c>
      <c r="C404" s="38">
        <v>0.29047422403957424</v>
      </c>
      <c r="D404" s="14" t="s">
        <v>445</v>
      </c>
      <c r="E404" s="14" t="s">
        <v>40</v>
      </c>
    </row>
    <row r="405" spans="1:5" x14ac:dyDescent="0.25">
      <c r="A405" s="36">
        <v>403</v>
      </c>
      <c r="B405" s="37">
        <v>171595579</v>
      </c>
      <c r="C405" s="38">
        <v>7.990541825066573E-2</v>
      </c>
      <c r="D405" s="14" t="s">
        <v>446</v>
      </c>
      <c r="E405" s="14" t="s">
        <v>43</v>
      </c>
    </row>
    <row r="406" spans="1:5" x14ac:dyDescent="0.25">
      <c r="A406" s="36">
        <v>404</v>
      </c>
      <c r="B406" s="37">
        <v>82569963</v>
      </c>
      <c r="C406" s="38">
        <v>3.8449635281436904E-2</v>
      </c>
      <c r="D406" s="14" t="s">
        <v>447</v>
      </c>
      <c r="E406" s="14" t="s">
        <v>46</v>
      </c>
    </row>
    <row r="407" spans="1:5" x14ac:dyDescent="0.25">
      <c r="A407" s="36">
        <v>405</v>
      </c>
      <c r="B407" s="37">
        <v>1828158798</v>
      </c>
      <c r="C407" s="38">
        <v>0.85130277967606804</v>
      </c>
      <c r="D407" s="14" t="s">
        <v>448</v>
      </c>
      <c r="E407" s="14" t="s">
        <v>48</v>
      </c>
    </row>
    <row r="408" spans="1:5" x14ac:dyDescent="0.25">
      <c r="A408" s="36">
        <v>406</v>
      </c>
      <c r="B408" s="37">
        <v>497091468</v>
      </c>
      <c r="C408" s="38">
        <v>0.2314762530063634</v>
      </c>
      <c r="D408" s="14" t="s">
        <v>449</v>
      </c>
      <c r="E408" s="14" t="s">
        <v>37</v>
      </c>
    </row>
    <row r="409" spans="1:5" x14ac:dyDescent="0.25">
      <c r="A409" s="36">
        <v>407</v>
      </c>
      <c r="B409" s="37">
        <v>1035455117</v>
      </c>
      <c r="C409" s="38">
        <v>0.48217136295613433</v>
      </c>
      <c r="D409" s="14" t="s">
        <v>450</v>
      </c>
      <c r="E409" s="14" t="s">
        <v>40</v>
      </c>
    </row>
    <row r="410" spans="1:5" x14ac:dyDescent="0.25">
      <c r="A410" s="36">
        <v>408</v>
      </c>
      <c r="B410" s="37">
        <v>1632217506</v>
      </c>
      <c r="C410" s="38">
        <v>0.7600605053641184</v>
      </c>
      <c r="D410" s="14" t="s">
        <v>451</v>
      </c>
      <c r="E410" s="14" t="s">
        <v>43</v>
      </c>
    </row>
    <row r="411" spans="1:5" x14ac:dyDescent="0.25">
      <c r="A411" s="36">
        <v>409</v>
      </c>
      <c r="B411" s="37">
        <v>396913293</v>
      </c>
      <c r="C411" s="38">
        <v>0.18482715505400074</v>
      </c>
      <c r="D411" s="14" t="s">
        <v>452</v>
      </c>
      <c r="E411" s="14" t="s">
        <v>46</v>
      </c>
    </row>
    <row r="412" spans="1:5" x14ac:dyDescent="0.25">
      <c r="A412" s="36">
        <v>410</v>
      </c>
      <c r="B412" s="37">
        <v>1916419145</v>
      </c>
      <c r="C412" s="38">
        <v>0.89240220649745416</v>
      </c>
      <c r="D412" s="14" t="s">
        <v>453</v>
      </c>
      <c r="E412" s="14" t="s">
        <v>48</v>
      </c>
    </row>
    <row r="413" spans="1:5" x14ac:dyDescent="0.25">
      <c r="A413" s="36">
        <v>411</v>
      </c>
      <c r="B413" s="37">
        <v>547406726</v>
      </c>
      <c r="C413" s="38">
        <v>0.25490612082877484</v>
      </c>
      <c r="D413" s="14" t="s">
        <v>454</v>
      </c>
      <c r="E413" s="14" t="s">
        <v>37</v>
      </c>
    </row>
    <row r="414" spans="1:5" x14ac:dyDescent="0.25">
      <c r="A414" s="36">
        <v>412</v>
      </c>
      <c r="B414" s="37">
        <v>178044567</v>
      </c>
      <c r="C414" s="38">
        <v>8.2908462305976288E-2</v>
      </c>
      <c r="D414" s="14" t="s">
        <v>455</v>
      </c>
      <c r="E414" s="14" t="s">
        <v>40</v>
      </c>
    </row>
    <row r="415" spans="1:5" x14ac:dyDescent="0.25">
      <c r="A415" s="36">
        <v>413</v>
      </c>
      <c r="B415" s="37">
        <v>1461052957</v>
      </c>
      <c r="C415" s="38">
        <v>0.68035580109821436</v>
      </c>
      <c r="D415" s="14" t="s">
        <v>456</v>
      </c>
      <c r="E415" s="14" t="s">
        <v>43</v>
      </c>
    </row>
    <row r="416" spans="1:5" x14ac:dyDescent="0.25">
      <c r="A416" s="36">
        <v>414</v>
      </c>
      <c r="B416" s="37">
        <v>1528920205</v>
      </c>
      <c r="C416" s="38">
        <v>0.7119589511826443</v>
      </c>
      <c r="D416" s="14" t="s">
        <v>457</v>
      </c>
      <c r="E416" s="14" t="s">
        <v>46</v>
      </c>
    </row>
    <row r="417" spans="1:5" x14ac:dyDescent="0.25">
      <c r="A417" s="36">
        <v>415</v>
      </c>
      <c r="B417" s="37">
        <v>2030130617</v>
      </c>
      <c r="C417" s="38">
        <v>0.94535323695528939</v>
      </c>
      <c r="D417" s="14" t="s">
        <v>458</v>
      </c>
      <c r="E417" s="14" t="s">
        <v>48</v>
      </c>
    </row>
    <row r="418" spans="1:5" x14ac:dyDescent="0.25">
      <c r="A418" s="36">
        <v>416</v>
      </c>
      <c r="B418" s="37">
        <v>1221658240</v>
      </c>
      <c r="C418" s="38">
        <v>0.56887894895341196</v>
      </c>
      <c r="D418" s="14" t="s">
        <v>459</v>
      </c>
      <c r="E418" s="14" t="s">
        <v>37</v>
      </c>
    </row>
    <row r="419" spans="1:5" x14ac:dyDescent="0.25">
      <c r="A419" s="36">
        <v>417</v>
      </c>
      <c r="B419" s="37">
        <v>1513208512</v>
      </c>
      <c r="C419" s="38">
        <v>0.70464262399107336</v>
      </c>
      <c r="D419" s="14" t="s">
        <v>460</v>
      </c>
      <c r="E419" s="14" t="s">
        <v>40</v>
      </c>
    </row>
    <row r="420" spans="1:5" x14ac:dyDescent="0.25">
      <c r="A420" s="36">
        <v>418</v>
      </c>
      <c r="B420" s="37">
        <v>1580192958</v>
      </c>
      <c r="C420" s="38">
        <v>0.73583468735955404</v>
      </c>
      <c r="D420" s="14" t="s">
        <v>461</v>
      </c>
      <c r="E420" s="14" t="s">
        <v>43</v>
      </c>
    </row>
    <row r="421" spans="1:5" x14ac:dyDescent="0.25">
      <c r="A421" s="36">
        <v>419</v>
      </c>
      <c r="B421" s="37">
        <v>1514218868</v>
      </c>
      <c r="C421" s="38">
        <v>0.70511310766689161</v>
      </c>
      <c r="D421" s="14" t="s">
        <v>462</v>
      </c>
      <c r="E421" s="14" t="s">
        <v>46</v>
      </c>
    </row>
    <row r="422" spans="1:5" x14ac:dyDescent="0.25">
      <c r="A422" s="36">
        <v>420</v>
      </c>
      <c r="B422" s="37">
        <v>1863318257</v>
      </c>
      <c r="C422" s="38">
        <v>0.86767517862267562</v>
      </c>
      <c r="D422" s="14" t="s">
        <v>463</v>
      </c>
      <c r="E422" s="14" t="s">
        <v>48</v>
      </c>
    </row>
    <row r="423" spans="1:5" x14ac:dyDescent="0.25">
      <c r="A423" s="36">
        <v>421</v>
      </c>
      <c r="B423" s="37">
        <v>1071235399</v>
      </c>
      <c r="C423" s="38">
        <v>0.49883285514024683</v>
      </c>
      <c r="D423" s="14" t="s">
        <v>464</v>
      </c>
      <c r="E423" s="14" t="s">
        <v>37</v>
      </c>
    </row>
    <row r="424" spans="1:5" x14ac:dyDescent="0.25">
      <c r="A424" s="36">
        <v>422</v>
      </c>
      <c r="B424" s="37">
        <v>494647658</v>
      </c>
      <c r="C424" s="38">
        <v>0.23033826529529797</v>
      </c>
      <c r="D424" s="14" t="s">
        <v>465</v>
      </c>
      <c r="E424" s="14" t="s">
        <v>40</v>
      </c>
    </row>
    <row r="425" spans="1:5" x14ac:dyDescent="0.25">
      <c r="A425" s="36">
        <v>423</v>
      </c>
      <c r="B425" s="37">
        <v>586642285</v>
      </c>
      <c r="C425" s="38">
        <v>0.2731766017494614</v>
      </c>
      <c r="D425" s="14" t="s">
        <v>466</v>
      </c>
      <c r="E425" s="14" t="s">
        <v>43</v>
      </c>
    </row>
    <row r="426" spans="1:5" x14ac:dyDescent="0.25">
      <c r="A426" s="36">
        <v>424</v>
      </c>
      <c r="B426" s="37">
        <v>1621700125</v>
      </c>
      <c r="C426" s="38">
        <v>0.75516296818627182</v>
      </c>
      <c r="D426" s="14" t="s">
        <v>467</v>
      </c>
      <c r="E426" s="14" t="s">
        <v>46</v>
      </c>
    </row>
    <row r="427" spans="1:5" x14ac:dyDescent="0.25">
      <c r="A427" s="36">
        <v>425</v>
      </c>
      <c r="B427" s="37">
        <v>239994612</v>
      </c>
      <c r="C427" s="38">
        <v>0.11175620002288195</v>
      </c>
      <c r="D427" s="14" t="s">
        <v>468</v>
      </c>
      <c r="E427" s="14" t="s">
        <v>48</v>
      </c>
    </row>
    <row r="428" spans="1:5" x14ac:dyDescent="0.25">
      <c r="A428" s="36">
        <v>426</v>
      </c>
      <c r="B428" s="37">
        <v>989944936</v>
      </c>
      <c r="C428" s="38">
        <v>0.46097903347619762</v>
      </c>
      <c r="D428" s="14" t="s">
        <v>469</v>
      </c>
      <c r="E428" s="14" t="s">
        <v>37</v>
      </c>
    </row>
    <row r="429" spans="1:5" x14ac:dyDescent="0.25">
      <c r="A429" s="36">
        <v>427</v>
      </c>
      <c r="B429" s="37">
        <v>1283836406</v>
      </c>
      <c r="C429" s="38">
        <v>0.59783291378888903</v>
      </c>
      <c r="D429" s="14" t="s">
        <v>470</v>
      </c>
      <c r="E429" s="14" t="s">
        <v>40</v>
      </c>
    </row>
    <row r="430" spans="1:5" x14ac:dyDescent="0.25">
      <c r="A430" s="36">
        <v>428</v>
      </c>
      <c r="B430" s="37">
        <v>650602497</v>
      </c>
      <c r="C430" s="38">
        <v>0.3029603964197265</v>
      </c>
      <c r="D430" s="14" t="s">
        <v>471</v>
      </c>
      <c r="E430" s="14" t="s">
        <v>43</v>
      </c>
    </row>
    <row r="431" spans="1:5" x14ac:dyDescent="0.25">
      <c r="A431" s="36">
        <v>429</v>
      </c>
      <c r="B431" s="37">
        <v>1344295753</v>
      </c>
      <c r="C431" s="38">
        <v>0.6259864911558044</v>
      </c>
      <c r="D431" s="14" t="s">
        <v>472</v>
      </c>
      <c r="E431" s="14" t="s">
        <v>46</v>
      </c>
    </row>
    <row r="432" spans="1:5" x14ac:dyDescent="0.25">
      <c r="A432" s="36">
        <v>430</v>
      </c>
      <c r="B432" s="37">
        <v>1366501958</v>
      </c>
      <c r="C432" s="38">
        <v>0.63632706116713911</v>
      </c>
      <c r="D432" s="14" t="s">
        <v>473</v>
      </c>
      <c r="E432" s="14" t="s">
        <v>48</v>
      </c>
    </row>
    <row r="433" spans="1:5" x14ac:dyDescent="0.25">
      <c r="A433" s="36">
        <v>431</v>
      </c>
      <c r="B433" s="37">
        <v>1661347419</v>
      </c>
      <c r="C433" s="38">
        <v>0.77362517815717735</v>
      </c>
      <c r="D433" s="14" t="s">
        <v>474</v>
      </c>
      <c r="E433" s="14" t="s">
        <v>37</v>
      </c>
    </row>
    <row r="434" spans="1:5" x14ac:dyDescent="0.25">
      <c r="A434" s="36">
        <v>432</v>
      </c>
      <c r="B434" s="37">
        <v>1979567652</v>
      </c>
      <c r="C434" s="38">
        <v>0.92180802157232911</v>
      </c>
      <c r="D434" s="14" t="s">
        <v>475</v>
      </c>
      <c r="E434" s="14" t="s">
        <v>40</v>
      </c>
    </row>
    <row r="435" spans="1:5" x14ac:dyDescent="0.25">
      <c r="A435" s="36">
        <v>433</v>
      </c>
      <c r="B435" s="37">
        <v>2081434839</v>
      </c>
      <c r="C435" s="38">
        <v>0.96924362702725619</v>
      </c>
      <c r="D435" s="14" t="s">
        <v>476</v>
      </c>
      <c r="E435" s="14" t="s">
        <v>43</v>
      </c>
    </row>
    <row r="436" spans="1:5" x14ac:dyDescent="0.25">
      <c r="A436" s="36">
        <v>434</v>
      </c>
      <c r="B436" s="37">
        <v>1547076188</v>
      </c>
      <c r="C436" s="38">
        <v>0.72041348960269869</v>
      </c>
      <c r="D436" s="14" t="s">
        <v>477</v>
      </c>
      <c r="E436" s="14" t="s">
        <v>46</v>
      </c>
    </row>
    <row r="437" spans="1:5" x14ac:dyDescent="0.25">
      <c r="A437" s="36">
        <v>435</v>
      </c>
      <c r="B437" s="37">
        <v>1580369461</v>
      </c>
      <c r="C437" s="38">
        <v>0.73591687797378602</v>
      </c>
      <c r="D437" s="14" t="s">
        <v>478</v>
      </c>
      <c r="E437" s="14" t="s">
        <v>48</v>
      </c>
    </row>
    <row r="438" spans="1:5" x14ac:dyDescent="0.25">
      <c r="A438" s="36">
        <v>436</v>
      </c>
      <c r="B438" s="37">
        <v>1102615304</v>
      </c>
      <c r="C438" s="38">
        <v>0.5134452621049459</v>
      </c>
      <c r="D438" s="14" t="s">
        <v>479</v>
      </c>
      <c r="E438" s="14" t="s">
        <v>37</v>
      </c>
    </row>
    <row r="439" spans="1:5" x14ac:dyDescent="0.25">
      <c r="A439" s="36">
        <v>437</v>
      </c>
      <c r="B439" s="37">
        <v>2033755449</v>
      </c>
      <c r="C439" s="38">
        <v>0.94704118089146971</v>
      </c>
      <c r="D439" s="14" t="s">
        <v>480</v>
      </c>
      <c r="E439" s="14" t="s">
        <v>40</v>
      </c>
    </row>
    <row r="440" spans="1:5" x14ac:dyDescent="0.25">
      <c r="A440" s="36">
        <v>438</v>
      </c>
      <c r="B440" s="37">
        <v>416094970</v>
      </c>
      <c r="C440" s="38">
        <v>0.19375931946270136</v>
      </c>
      <c r="D440" s="14" t="s">
        <v>481</v>
      </c>
      <c r="E440" s="14" t="s">
        <v>43</v>
      </c>
    </row>
    <row r="441" spans="1:5" x14ac:dyDescent="0.25">
      <c r="A441" s="36">
        <v>439</v>
      </c>
      <c r="B441" s="37">
        <v>1510463974</v>
      </c>
      <c r="C441" s="38">
        <v>0.70336459889233327</v>
      </c>
      <c r="D441" s="14" t="s">
        <v>482</v>
      </c>
      <c r="E441" s="14" t="s">
        <v>46</v>
      </c>
    </row>
    <row r="442" spans="1:5" x14ac:dyDescent="0.25">
      <c r="A442" s="36">
        <v>440</v>
      </c>
      <c r="B442" s="37">
        <v>925795677</v>
      </c>
      <c r="C442" s="38">
        <v>0.43110720693650989</v>
      </c>
      <c r="D442" s="14" t="s">
        <v>483</v>
      </c>
      <c r="E442" s="14" t="s">
        <v>48</v>
      </c>
    </row>
    <row r="443" spans="1:5" x14ac:dyDescent="0.25">
      <c r="A443" s="36">
        <v>441</v>
      </c>
      <c r="B443" s="37">
        <v>420395565</v>
      </c>
      <c r="C443" s="38">
        <v>0.19576194006752312</v>
      </c>
      <c r="D443" s="14" t="s">
        <v>484</v>
      </c>
      <c r="E443" s="14" t="s">
        <v>37</v>
      </c>
    </row>
    <row r="444" spans="1:5" x14ac:dyDescent="0.25">
      <c r="A444" s="36">
        <v>442</v>
      </c>
      <c r="B444" s="37">
        <v>247877251</v>
      </c>
      <c r="C444" s="38">
        <v>0.11542683984871341</v>
      </c>
      <c r="D444" s="14" t="s">
        <v>485</v>
      </c>
      <c r="E444" s="14" t="s">
        <v>40</v>
      </c>
    </row>
    <row r="445" spans="1:5" x14ac:dyDescent="0.25">
      <c r="A445" s="36">
        <v>443</v>
      </c>
      <c r="B445" s="37">
        <v>714543241</v>
      </c>
      <c r="C445" s="38">
        <v>0.33273512559604607</v>
      </c>
      <c r="D445" s="14" t="s">
        <v>486</v>
      </c>
      <c r="E445" s="14" t="s">
        <v>43</v>
      </c>
    </row>
    <row r="446" spans="1:5" x14ac:dyDescent="0.25">
      <c r="A446" s="36">
        <v>444</v>
      </c>
      <c r="B446" s="37">
        <v>874173386</v>
      </c>
      <c r="C446" s="38">
        <v>0.4070687044444814</v>
      </c>
      <c r="D446" s="14" t="s">
        <v>487</v>
      </c>
      <c r="E446" s="14" t="s">
        <v>46</v>
      </c>
    </row>
    <row r="447" spans="1:5" x14ac:dyDescent="0.25">
      <c r="A447" s="36">
        <v>445</v>
      </c>
      <c r="B447" s="37">
        <v>1089636201</v>
      </c>
      <c r="C447" s="38">
        <v>0.50740139629105174</v>
      </c>
      <c r="D447" s="14" t="s">
        <v>488</v>
      </c>
      <c r="E447" s="14" t="s">
        <v>48</v>
      </c>
    </row>
    <row r="448" spans="1:5" x14ac:dyDescent="0.25">
      <c r="A448" s="36">
        <v>446</v>
      </c>
      <c r="B448" s="37">
        <v>1677823194</v>
      </c>
      <c r="C448" s="38">
        <v>0.78129730875664261</v>
      </c>
      <c r="D448" s="14" t="s">
        <v>489</v>
      </c>
      <c r="E448" s="14" t="s">
        <v>37</v>
      </c>
    </row>
    <row r="449" spans="1:5" x14ac:dyDescent="0.25">
      <c r="A449" s="36">
        <v>447</v>
      </c>
      <c r="B449" s="37">
        <v>805293690</v>
      </c>
      <c r="C449" s="38">
        <v>0.37499409652081972</v>
      </c>
      <c r="D449" s="14" t="s">
        <v>490</v>
      </c>
      <c r="E449" s="14" t="s">
        <v>40</v>
      </c>
    </row>
    <row r="450" spans="1:5" x14ac:dyDescent="0.25">
      <c r="A450" s="36">
        <v>448</v>
      </c>
      <c r="B450" s="37">
        <v>1118081484</v>
      </c>
      <c r="C450" s="38">
        <v>0.52064726339683276</v>
      </c>
      <c r="D450" s="14" t="s">
        <v>491</v>
      </c>
      <c r="E450" s="14" t="s">
        <v>43</v>
      </c>
    </row>
    <row r="451" spans="1:5" x14ac:dyDescent="0.25">
      <c r="A451" s="36">
        <v>449</v>
      </c>
      <c r="B451" s="37">
        <v>1843059713</v>
      </c>
      <c r="C451" s="38">
        <v>0.85824155894026233</v>
      </c>
      <c r="D451" s="14" t="s">
        <v>492</v>
      </c>
      <c r="E451" s="14" t="s">
        <v>46</v>
      </c>
    </row>
    <row r="452" spans="1:5" x14ac:dyDescent="0.25">
      <c r="A452" s="36">
        <v>450</v>
      </c>
      <c r="B452" s="37">
        <v>6508993</v>
      </c>
      <c r="C452" s="38">
        <v>3.0309860608684768E-3</v>
      </c>
      <c r="D452" s="14" t="s">
        <v>493</v>
      </c>
      <c r="E452" s="14" t="s">
        <v>48</v>
      </c>
    </row>
    <row r="453" spans="1:5" x14ac:dyDescent="0.25">
      <c r="A453" s="36">
        <v>451</v>
      </c>
      <c r="B453" s="37">
        <v>1340478433</v>
      </c>
      <c r="C453" s="38">
        <v>0.62420891300971104</v>
      </c>
      <c r="D453" s="14" t="s">
        <v>494</v>
      </c>
      <c r="E453" s="14" t="s">
        <v>37</v>
      </c>
    </row>
    <row r="454" spans="1:5" x14ac:dyDescent="0.25">
      <c r="A454" s="36">
        <v>452</v>
      </c>
      <c r="B454" s="37">
        <v>1746040431</v>
      </c>
      <c r="C454" s="38">
        <v>0.81306343516943202</v>
      </c>
      <c r="D454" s="14" t="s">
        <v>495</v>
      </c>
      <c r="E454" s="14" t="s">
        <v>40</v>
      </c>
    </row>
    <row r="455" spans="1:5" x14ac:dyDescent="0.25">
      <c r="A455" s="36">
        <v>453</v>
      </c>
      <c r="B455" s="37">
        <v>1903875990</v>
      </c>
      <c r="C455" s="38">
        <v>0.88656134479053383</v>
      </c>
      <c r="D455" s="14" t="s">
        <v>496</v>
      </c>
      <c r="E455" s="14" t="s">
        <v>43</v>
      </c>
    </row>
    <row r="456" spans="1:5" x14ac:dyDescent="0.25">
      <c r="A456" s="36">
        <v>454</v>
      </c>
      <c r="B456" s="37">
        <v>2135830132</v>
      </c>
      <c r="C456" s="38">
        <v>0.99457340920091297</v>
      </c>
      <c r="D456" s="14" t="s">
        <v>497</v>
      </c>
      <c r="E456" s="14" t="s">
        <v>46</v>
      </c>
    </row>
    <row r="457" spans="1:5" x14ac:dyDescent="0.25">
      <c r="A457" s="36">
        <v>455</v>
      </c>
      <c r="B457" s="37">
        <v>1666632199</v>
      </c>
      <c r="C457" s="38">
        <v>0.77608609561626152</v>
      </c>
      <c r="D457" s="14" t="s">
        <v>498</v>
      </c>
      <c r="E457" s="14" t="s">
        <v>48</v>
      </c>
    </row>
    <row r="458" spans="1:5" x14ac:dyDescent="0.25">
      <c r="A458" s="36">
        <v>456</v>
      </c>
      <c r="B458" s="37">
        <v>387495393</v>
      </c>
      <c r="C458" s="38">
        <v>0.18044160361422301</v>
      </c>
      <c r="D458" s="14" t="s">
        <v>499</v>
      </c>
      <c r="E458" s="14" t="s">
        <v>37</v>
      </c>
    </row>
    <row r="459" spans="1:5" x14ac:dyDescent="0.25">
      <c r="A459" s="36">
        <v>457</v>
      </c>
      <c r="B459" s="37">
        <v>69561098</v>
      </c>
      <c r="C459" s="38">
        <v>3.2391910456303463E-2</v>
      </c>
      <c r="D459" s="14" t="s">
        <v>500</v>
      </c>
      <c r="E459" s="14" t="s">
        <v>40</v>
      </c>
    </row>
    <row r="460" spans="1:5" x14ac:dyDescent="0.25">
      <c r="A460" s="36">
        <v>458</v>
      </c>
      <c r="B460" s="37">
        <v>1324757374</v>
      </c>
      <c r="C460" s="38">
        <v>0.61688822443452118</v>
      </c>
      <c r="D460" s="14" t="s">
        <v>501</v>
      </c>
      <c r="E460" s="14" t="s">
        <v>43</v>
      </c>
    </row>
    <row r="461" spans="1:5" x14ac:dyDescent="0.25">
      <c r="A461" s="36">
        <v>459</v>
      </c>
      <c r="B461" s="37">
        <v>738547151</v>
      </c>
      <c r="C461" s="38">
        <v>0.34391281723227018</v>
      </c>
      <c r="D461" s="14" t="s">
        <v>502</v>
      </c>
      <c r="E461" s="14" t="s">
        <v>46</v>
      </c>
    </row>
    <row r="462" spans="1:5" x14ac:dyDescent="0.25">
      <c r="A462" s="36">
        <v>460</v>
      </c>
      <c r="B462" s="37">
        <v>2049213701</v>
      </c>
      <c r="C462" s="38">
        <v>0.95423949042066913</v>
      </c>
      <c r="D462" s="14" t="s">
        <v>503</v>
      </c>
      <c r="E462" s="14" t="s">
        <v>48</v>
      </c>
    </row>
    <row r="463" spans="1:5" x14ac:dyDescent="0.25">
      <c r="A463" s="36">
        <v>461</v>
      </c>
      <c r="B463" s="37">
        <v>2061430563</v>
      </c>
      <c r="C463" s="38">
        <v>0.95992841010909924</v>
      </c>
      <c r="D463" s="14" t="s">
        <v>504</v>
      </c>
      <c r="E463" s="14" t="s">
        <v>37</v>
      </c>
    </row>
    <row r="464" spans="1:5" x14ac:dyDescent="0.25">
      <c r="A464" s="36">
        <v>462</v>
      </c>
      <c r="B464" s="37">
        <v>663514023</v>
      </c>
      <c r="C464" s="38">
        <v>0.3089727942407936</v>
      </c>
      <c r="D464" s="14" t="s">
        <v>505</v>
      </c>
      <c r="E464" s="14" t="s">
        <v>40</v>
      </c>
    </row>
    <row r="465" spans="1:5" x14ac:dyDescent="0.25">
      <c r="A465" s="36">
        <v>463</v>
      </c>
      <c r="B465" s="37">
        <v>885771727</v>
      </c>
      <c r="C465" s="38">
        <v>0.41246960284769052</v>
      </c>
      <c r="D465" s="14" t="s">
        <v>506</v>
      </c>
      <c r="E465" s="14" t="s">
        <v>43</v>
      </c>
    </row>
    <row r="466" spans="1:5" x14ac:dyDescent="0.25">
      <c r="A466" s="36">
        <v>464</v>
      </c>
      <c r="B466" s="37">
        <v>940202696</v>
      </c>
      <c r="C466" s="38">
        <v>0.43781599795344101</v>
      </c>
      <c r="D466" s="14" t="s">
        <v>507</v>
      </c>
      <c r="E466" s="14" t="s">
        <v>46</v>
      </c>
    </row>
    <row r="467" spans="1:5" x14ac:dyDescent="0.25">
      <c r="A467" s="36">
        <v>465</v>
      </c>
      <c r="B467" s="37">
        <v>313810491</v>
      </c>
      <c r="C467" s="38">
        <v>0.14612939727778052</v>
      </c>
      <c r="D467" s="14" t="s">
        <v>508</v>
      </c>
      <c r="E467" s="14" t="s">
        <v>48</v>
      </c>
    </row>
    <row r="468" spans="1:5" x14ac:dyDescent="0.25">
      <c r="A468" s="36">
        <v>466</v>
      </c>
      <c r="B468" s="37">
        <v>1089074306</v>
      </c>
      <c r="C468" s="38">
        <v>0.50713974354189806</v>
      </c>
      <c r="D468" s="14" t="s">
        <v>509</v>
      </c>
      <c r="E468" s="14" t="s">
        <v>37</v>
      </c>
    </row>
    <row r="469" spans="1:5" x14ac:dyDescent="0.25">
      <c r="A469" s="36">
        <v>467</v>
      </c>
      <c r="B469" s="37">
        <v>544934764</v>
      </c>
      <c r="C469" s="38">
        <v>0.25375502382114296</v>
      </c>
      <c r="D469" s="14" t="s">
        <v>510</v>
      </c>
      <c r="E469" s="14" t="s">
        <v>40</v>
      </c>
    </row>
    <row r="470" spans="1:5" x14ac:dyDescent="0.25">
      <c r="A470" s="36">
        <v>468</v>
      </c>
      <c r="B470" s="37">
        <v>114164169</v>
      </c>
      <c r="C470" s="38">
        <v>5.3161833925713706E-2</v>
      </c>
      <c r="D470" s="14" t="s">
        <v>511</v>
      </c>
      <c r="E470" s="14" t="s">
        <v>43</v>
      </c>
    </row>
    <row r="471" spans="1:5" x14ac:dyDescent="0.25">
      <c r="A471" s="36">
        <v>469</v>
      </c>
      <c r="B471" s="37">
        <v>1446869565</v>
      </c>
      <c r="C471" s="38">
        <v>0.67375114451802853</v>
      </c>
      <c r="D471" s="14" t="s">
        <v>512</v>
      </c>
      <c r="E471" s="14" t="s">
        <v>46</v>
      </c>
    </row>
    <row r="472" spans="1:5" x14ac:dyDescent="0.25">
      <c r="A472" s="36">
        <v>470</v>
      </c>
      <c r="B472" s="37">
        <v>206082876</v>
      </c>
      <c r="C472" s="38">
        <v>9.5964817374928305E-2</v>
      </c>
      <c r="D472" s="14" t="s">
        <v>513</v>
      </c>
      <c r="E472" s="14" t="s">
        <v>48</v>
      </c>
    </row>
    <row r="473" spans="1:5" x14ac:dyDescent="0.25">
      <c r="A473" s="36">
        <v>471</v>
      </c>
      <c r="B473" s="37">
        <v>665240931</v>
      </c>
      <c r="C473" s="38">
        <v>0.30977694844351006</v>
      </c>
      <c r="D473" s="14" t="s">
        <v>514</v>
      </c>
      <c r="E473" s="14" t="s">
        <v>37</v>
      </c>
    </row>
    <row r="474" spans="1:5" x14ac:dyDescent="0.25">
      <c r="A474" s="36">
        <v>472</v>
      </c>
      <c r="B474" s="37">
        <v>2034190741</v>
      </c>
      <c r="C474" s="38">
        <v>0.94724387952463884</v>
      </c>
      <c r="D474" s="14" t="s">
        <v>515</v>
      </c>
      <c r="E474" s="14" t="s">
        <v>40</v>
      </c>
    </row>
    <row r="475" spans="1:5" x14ac:dyDescent="0.25">
      <c r="A475" s="36">
        <v>473</v>
      </c>
      <c r="B475" s="37">
        <v>1268522231</v>
      </c>
      <c r="C475" s="38">
        <v>0.59070169534101225</v>
      </c>
      <c r="D475" s="14" t="s">
        <v>516</v>
      </c>
      <c r="E475" s="14" t="s">
        <v>43</v>
      </c>
    </row>
    <row r="476" spans="1:5" x14ac:dyDescent="0.25">
      <c r="A476" s="36">
        <v>474</v>
      </c>
      <c r="B476" s="37">
        <v>454350512</v>
      </c>
      <c r="C476" s="38">
        <v>0.21157344440537199</v>
      </c>
      <c r="D476" s="14" t="s">
        <v>517</v>
      </c>
      <c r="E476" s="14" t="s">
        <v>46</v>
      </c>
    </row>
    <row r="477" spans="1:5" x14ac:dyDescent="0.25">
      <c r="A477" s="36">
        <v>475</v>
      </c>
      <c r="B477" s="37">
        <v>1631410680</v>
      </c>
      <c r="C477" s="38">
        <v>0.75968479773015007</v>
      </c>
      <c r="D477" s="14" t="s">
        <v>518</v>
      </c>
      <c r="E477" s="14" t="s">
        <v>48</v>
      </c>
    </row>
    <row r="478" spans="1:5" x14ac:dyDescent="0.25">
      <c r="A478" s="36">
        <v>476</v>
      </c>
      <c r="B478" s="37">
        <v>1739628665</v>
      </c>
      <c r="C478" s="38">
        <v>0.8100777239585657</v>
      </c>
      <c r="D478" s="14" t="s">
        <v>519</v>
      </c>
      <c r="E478" s="14" t="s">
        <v>37</v>
      </c>
    </row>
    <row r="479" spans="1:5" x14ac:dyDescent="0.25">
      <c r="A479" s="36">
        <v>477</v>
      </c>
      <c r="B479" s="37">
        <v>205316783</v>
      </c>
      <c r="C479" s="38">
        <v>9.560807752218474E-2</v>
      </c>
      <c r="D479" s="14" t="s">
        <v>520</v>
      </c>
      <c r="E479" s="14" t="s">
        <v>40</v>
      </c>
    </row>
    <row r="480" spans="1:5" x14ac:dyDescent="0.25">
      <c r="A480" s="36">
        <v>478</v>
      </c>
      <c r="B480" s="37">
        <v>1089576424</v>
      </c>
      <c r="C480" s="38">
        <v>0.50737356045626736</v>
      </c>
      <c r="D480" s="14" t="s">
        <v>521</v>
      </c>
      <c r="E480" s="14" t="s">
        <v>43</v>
      </c>
    </row>
    <row r="481" spans="1:5" x14ac:dyDescent="0.25">
      <c r="A481" s="36">
        <v>479</v>
      </c>
      <c r="B481" s="37">
        <v>961760031</v>
      </c>
      <c r="C481" s="38">
        <v>0.44785441432513967</v>
      </c>
      <c r="D481" s="14" t="s">
        <v>522</v>
      </c>
      <c r="E481" s="14" t="s">
        <v>46</v>
      </c>
    </row>
    <row r="482" spans="1:5" x14ac:dyDescent="0.25">
      <c r="A482" s="36">
        <v>480</v>
      </c>
      <c r="B482" s="37">
        <v>732593643</v>
      </c>
      <c r="C482" s="38">
        <v>0.34114049903170229</v>
      </c>
      <c r="D482" s="14" t="s">
        <v>523</v>
      </c>
      <c r="E482" s="14" t="s">
        <v>48</v>
      </c>
    </row>
    <row r="483" spans="1:5" x14ac:dyDescent="0.25">
      <c r="A483" s="36">
        <v>481</v>
      </c>
      <c r="B483" s="37">
        <v>775857259</v>
      </c>
      <c r="C483" s="38">
        <v>0.36128669016123127</v>
      </c>
      <c r="D483" s="14" t="s">
        <v>524</v>
      </c>
      <c r="E483" s="14" t="s">
        <v>37</v>
      </c>
    </row>
    <row r="484" spans="1:5" x14ac:dyDescent="0.25">
      <c r="A484" s="36">
        <v>482</v>
      </c>
      <c r="B484" s="37">
        <v>429661161</v>
      </c>
      <c r="C484" s="38">
        <v>0.20007656943056573</v>
      </c>
      <c r="D484" s="14" t="s">
        <v>525</v>
      </c>
      <c r="E484" s="14" t="s">
        <v>40</v>
      </c>
    </row>
    <row r="485" spans="1:5" x14ac:dyDescent="0.25">
      <c r="A485" s="36">
        <v>483</v>
      </c>
      <c r="B485" s="37">
        <v>1983990044</v>
      </c>
      <c r="C485" s="38">
        <v>0.92386735832498756</v>
      </c>
      <c r="D485" s="14" t="s">
        <v>526</v>
      </c>
      <c r="E485" s="14" t="s">
        <v>43</v>
      </c>
    </row>
    <row r="486" spans="1:5" x14ac:dyDescent="0.25">
      <c r="A486" s="36">
        <v>484</v>
      </c>
      <c r="B486" s="37">
        <v>1689536723</v>
      </c>
      <c r="C486" s="38">
        <v>0.78675184575223911</v>
      </c>
      <c r="D486" s="14" t="s">
        <v>527</v>
      </c>
      <c r="E486" s="14" t="s">
        <v>46</v>
      </c>
    </row>
    <row r="487" spans="1:5" x14ac:dyDescent="0.25">
      <c r="A487" s="36">
        <v>485</v>
      </c>
      <c r="B487" s="37">
        <v>1263121302</v>
      </c>
      <c r="C487" s="38">
        <v>0.58818669178904348</v>
      </c>
      <c r="D487" s="14" t="s">
        <v>528</v>
      </c>
      <c r="E487" s="14" t="s">
        <v>48</v>
      </c>
    </row>
    <row r="488" spans="1:5" x14ac:dyDescent="0.25">
      <c r="A488" s="36">
        <v>486</v>
      </c>
      <c r="B488" s="37">
        <v>1987036776</v>
      </c>
      <c r="C488" s="38">
        <v>0.92528610347084983</v>
      </c>
      <c r="D488" s="14" t="s">
        <v>529</v>
      </c>
      <c r="E488" s="14" t="s">
        <v>37</v>
      </c>
    </row>
    <row r="489" spans="1:5" x14ac:dyDescent="0.25">
      <c r="A489" s="36">
        <v>487</v>
      </c>
      <c r="B489" s="37">
        <v>694744809</v>
      </c>
      <c r="C489" s="38">
        <v>0.32351576225995821</v>
      </c>
      <c r="D489" s="14" t="s">
        <v>530</v>
      </c>
      <c r="E489" s="14" t="s">
        <v>40</v>
      </c>
    </row>
    <row r="490" spans="1:5" x14ac:dyDescent="0.25">
      <c r="A490" s="36">
        <v>488</v>
      </c>
      <c r="B490" s="37">
        <v>1173195448</v>
      </c>
      <c r="C490" s="38">
        <v>0.54631170283365604</v>
      </c>
      <c r="D490" s="14" t="s">
        <v>531</v>
      </c>
      <c r="E490" s="14" t="s">
        <v>43</v>
      </c>
    </row>
    <row r="491" spans="1:5" x14ac:dyDescent="0.25">
      <c r="A491" s="36">
        <v>489</v>
      </c>
      <c r="B491" s="37">
        <v>2060070620</v>
      </c>
      <c r="C491" s="38">
        <v>0.9592951373007591</v>
      </c>
      <c r="D491" s="14" t="s">
        <v>532</v>
      </c>
      <c r="E491" s="14" t="s">
        <v>46</v>
      </c>
    </row>
    <row r="492" spans="1:5" x14ac:dyDescent="0.25">
      <c r="A492" s="36">
        <v>490</v>
      </c>
      <c r="B492" s="37">
        <v>452155886</v>
      </c>
      <c r="C492" s="38">
        <v>0.21055149203657708</v>
      </c>
      <c r="D492" s="14" t="s">
        <v>533</v>
      </c>
      <c r="E492" s="14" t="s">
        <v>48</v>
      </c>
    </row>
    <row r="493" spans="1:5" x14ac:dyDescent="0.25">
      <c r="A493" s="36">
        <v>491</v>
      </c>
      <c r="B493" s="37">
        <v>1491251577</v>
      </c>
      <c r="C493" s="38">
        <v>0.69441812936887992</v>
      </c>
      <c r="D493" s="14" t="s">
        <v>534</v>
      </c>
      <c r="E493" s="14" t="s">
        <v>37</v>
      </c>
    </row>
    <row r="494" spans="1:5" x14ac:dyDescent="0.25">
      <c r="A494" s="36">
        <v>492</v>
      </c>
      <c r="B494" s="37">
        <v>1737150376</v>
      </c>
      <c r="C494" s="38">
        <v>0.80892368071196774</v>
      </c>
      <c r="D494" s="14" t="s">
        <v>535</v>
      </c>
      <c r="E494" s="14" t="s">
        <v>40</v>
      </c>
    </row>
    <row r="495" spans="1:5" x14ac:dyDescent="0.25">
      <c r="A495" s="36">
        <v>493</v>
      </c>
      <c r="B495" s="37">
        <v>347404945</v>
      </c>
      <c r="C495" s="38">
        <v>0.16177303398110579</v>
      </c>
      <c r="D495" s="14" t="s">
        <v>536</v>
      </c>
      <c r="E495" s="14" t="s">
        <v>43</v>
      </c>
    </row>
    <row r="496" spans="1:5" x14ac:dyDescent="0.25">
      <c r="A496" s="36">
        <v>494</v>
      </c>
      <c r="B496" s="37">
        <v>1570934423</v>
      </c>
      <c r="C496" s="38">
        <v>0.73152334603086266</v>
      </c>
      <c r="D496" s="14" t="s">
        <v>537</v>
      </c>
      <c r="E496" s="14" t="s">
        <v>46</v>
      </c>
    </row>
    <row r="497" spans="1:5" x14ac:dyDescent="0.25">
      <c r="A497" s="36">
        <v>495</v>
      </c>
      <c r="B497" s="37">
        <v>793898865</v>
      </c>
      <c r="C497" s="38">
        <v>0.36968796764020245</v>
      </c>
      <c r="D497" s="14" t="s">
        <v>538</v>
      </c>
      <c r="E497" s="14" t="s">
        <v>48</v>
      </c>
    </row>
    <row r="498" spans="1:5" x14ac:dyDescent="0.25">
      <c r="A498" s="36">
        <v>496</v>
      </c>
      <c r="B498" s="37">
        <v>722568663</v>
      </c>
      <c r="C498" s="38">
        <v>0.33647225393749414</v>
      </c>
      <c r="D498" s="14" t="s">
        <v>539</v>
      </c>
      <c r="E498" s="14" t="s">
        <v>37</v>
      </c>
    </row>
    <row r="499" spans="1:5" x14ac:dyDescent="0.25">
      <c r="A499" s="36">
        <v>497</v>
      </c>
      <c r="B499" s="37">
        <v>2041443596</v>
      </c>
      <c r="C499" s="38">
        <v>0.95062125332216796</v>
      </c>
      <c r="D499" s="14" t="s">
        <v>540</v>
      </c>
      <c r="E499" s="14" t="s">
        <v>40</v>
      </c>
    </row>
    <row r="500" spans="1:5" x14ac:dyDescent="0.25">
      <c r="A500" s="36">
        <v>498</v>
      </c>
      <c r="B500" s="37">
        <v>673927672</v>
      </c>
      <c r="C500" s="38">
        <v>0.31382202744196264</v>
      </c>
      <c r="D500" s="14" t="s">
        <v>541</v>
      </c>
      <c r="E500" s="14" t="s">
        <v>43</v>
      </c>
    </row>
    <row r="501" spans="1:5" x14ac:dyDescent="0.25">
      <c r="A501" s="36">
        <v>499</v>
      </c>
      <c r="B501" s="37">
        <v>176874868</v>
      </c>
      <c r="C501" s="38">
        <v>8.2363778763620082E-2</v>
      </c>
      <c r="D501" s="14" t="s">
        <v>542</v>
      </c>
      <c r="E501" s="14" t="s">
        <v>46</v>
      </c>
    </row>
    <row r="502" spans="1:5" x14ac:dyDescent="0.25">
      <c r="A502" s="36">
        <v>500</v>
      </c>
      <c r="B502" s="37">
        <v>88009164</v>
      </c>
      <c r="C502" s="38">
        <v>4.0982460622201886E-2</v>
      </c>
      <c r="D502" s="14" t="s">
        <v>543</v>
      </c>
      <c r="E502" s="14" t="s">
        <v>48</v>
      </c>
    </row>
    <row r="503" spans="1:5" x14ac:dyDescent="0.25">
      <c r="A503" s="36">
        <v>501</v>
      </c>
      <c r="B503" s="37">
        <v>1723147571</v>
      </c>
      <c r="C503" s="38">
        <v>0.80240311650671214</v>
      </c>
      <c r="D503" s="14" t="s">
        <v>544</v>
      </c>
      <c r="E503" s="14" t="s">
        <v>37</v>
      </c>
    </row>
    <row r="504" spans="1:5" x14ac:dyDescent="0.25">
      <c r="A504" s="36">
        <v>502</v>
      </c>
      <c r="B504" s="37">
        <v>1115916858</v>
      </c>
      <c r="C504" s="38">
        <v>0.51963928086666356</v>
      </c>
      <c r="D504" s="14" t="s">
        <v>545</v>
      </c>
      <c r="E504" s="14" t="s">
        <v>40</v>
      </c>
    </row>
    <row r="505" spans="1:5" x14ac:dyDescent="0.25">
      <c r="A505" s="36">
        <v>503</v>
      </c>
      <c r="B505" s="37">
        <v>99043082</v>
      </c>
      <c r="C505" s="38">
        <v>4.6120529084522521E-2</v>
      </c>
      <c r="D505" s="14" t="s">
        <v>546</v>
      </c>
      <c r="E505" s="14" t="s">
        <v>43</v>
      </c>
    </row>
    <row r="506" spans="1:5" x14ac:dyDescent="0.25">
      <c r="A506" s="36">
        <v>504</v>
      </c>
      <c r="B506" s="37">
        <v>527873730</v>
      </c>
      <c r="C506" s="38">
        <v>0.24581036076220236</v>
      </c>
      <c r="D506" s="14" t="s">
        <v>547</v>
      </c>
      <c r="E506" s="14" t="s">
        <v>46</v>
      </c>
    </row>
    <row r="507" spans="1:5" x14ac:dyDescent="0.25">
      <c r="A507" s="36">
        <v>505</v>
      </c>
      <c r="B507" s="37">
        <v>2067776894</v>
      </c>
      <c r="C507" s="38">
        <v>0.96288365077361637</v>
      </c>
      <c r="D507" s="14" t="s">
        <v>548</v>
      </c>
      <c r="E507" s="14" t="s">
        <v>48</v>
      </c>
    </row>
    <row r="508" spans="1:5" x14ac:dyDescent="0.25">
      <c r="A508" s="36">
        <v>506</v>
      </c>
      <c r="B508" s="37">
        <v>818062205</v>
      </c>
      <c r="C508" s="38">
        <v>0.38093989965549663</v>
      </c>
      <c r="D508" s="14" t="s">
        <v>549</v>
      </c>
      <c r="E508" s="14" t="s">
        <v>37</v>
      </c>
    </row>
    <row r="509" spans="1:5" x14ac:dyDescent="0.25">
      <c r="A509" s="36">
        <v>507</v>
      </c>
      <c r="B509" s="37">
        <v>984857500</v>
      </c>
      <c r="C509" s="38">
        <v>0.45861001147823877</v>
      </c>
      <c r="D509" s="14" t="s">
        <v>550</v>
      </c>
      <c r="E509" s="14" t="s">
        <v>40</v>
      </c>
    </row>
    <row r="510" spans="1:5" x14ac:dyDescent="0.25">
      <c r="A510" s="36">
        <v>508</v>
      </c>
      <c r="B510" s="37">
        <v>647448627</v>
      </c>
      <c r="C510" s="38">
        <v>0.30149176125484134</v>
      </c>
      <c r="D510" s="14" t="s">
        <v>551</v>
      </c>
      <c r="E510" s="14" t="s">
        <v>43</v>
      </c>
    </row>
    <row r="511" spans="1:5" x14ac:dyDescent="0.25">
      <c r="A511" s="36">
        <v>509</v>
      </c>
      <c r="B511" s="37">
        <v>98867271</v>
      </c>
      <c r="C511" s="38">
        <v>4.6038660707901538E-2</v>
      </c>
      <c r="D511" s="14" t="s">
        <v>552</v>
      </c>
      <c r="E511" s="14" t="s">
        <v>46</v>
      </c>
    </row>
    <row r="512" spans="1:5" x14ac:dyDescent="0.25">
      <c r="A512" s="36">
        <v>510</v>
      </c>
      <c r="B512" s="37">
        <v>2091328594</v>
      </c>
      <c r="C512" s="38">
        <v>0.97385076571900897</v>
      </c>
      <c r="D512" s="14" t="s">
        <v>553</v>
      </c>
      <c r="E512" s="14" t="s">
        <v>48</v>
      </c>
    </row>
    <row r="513" spans="1:5" x14ac:dyDescent="0.25">
      <c r="A513" s="36">
        <v>511</v>
      </c>
      <c r="B513" s="37">
        <v>897528720</v>
      </c>
      <c r="C513" s="38">
        <v>0.417944379345488</v>
      </c>
      <c r="D513" s="14" t="s">
        <v>554</v>
      </c>
      <c r="E513" s="14" t="s">
        <v>37</v>
      </c>
    </row>
    <row r="514" spans="1:5" x14ac:dyDescent="0.25">
      <c r="A514" s="36">
        <v>512</v>
      </c>
      <c r="B514" s="37">
        <v>730500910</v>
      </c>
      <c r="C514" s="38">
        <v>0.3401659942884771</v>
      </c>
      <c r="D514" s="14" t="s">
        <v>555</v>
      </c>
      <c r="E514" s="14" t="s">
        <v>40</v>
      </c>
    </row>
    <row r="515" spans="1:5" x14ac:dyDescent="0.25">
      <c r="A515" s="36">
        <v>513</v>
      </c>
      <c r="B515" s="37">
        <v>587935868</v>
      </c>
      <c r="C515" s="38">
        <v>0.27377897327476131</v>
      </c>
      <c r="D515" s="14" t="s">
        <v>556</v>
      </c>
      <c r="E515" s="14" t="s">
        <v>43</v>
      </c>
    </row>
    <row r="516" spans="1:5" x14ac:dyDescent="0.25">
      <c r="A516" s="36">
        <v>514</v>
      </c>
      <c r="B516" s="37">
        <v>896845259</v>
      </c>
      <c r="C516" s="38">
        <v>0.41762611801625515</v>
      </c>
      <c r="D516" s="14" t="s">
        <v>557</v>
      </c>
      <c r="E516" s="14" t="s">
        <v>46</v>
      </c>
    </row>
    <row r="517" spans="1:5" x14ac:dyDescent="0.25">
      <c r="A517" s="36">
        <v>515</v>
      </c>
      <c r="B517" s="37">
        <v>1258912795</v>
      </c>
      <c r="C517" s="38">
        <v>0.58622695300086725</v>
      </c>
      <c r="D517" s="14" t="s">
        <v>558</v>
      </c>
      <c r="E517" s="14" t="s">
        <v>48</v>
      </c>
    </row>
    <row r="518" spans="1:5" x14ac:dyDescent="0.25">
      <c r="A518" s="36">
        <v>516</v>
      </c>
      <c r="B518" s="37">
        <v>1913579115</v>
      </c>
      <c r="C518" s="38">
        <v>0.89107971447104573</v>
      </c>
      <c r="D518" s="14" t="s">
        <v>559</v>
      </c>
      <c r="E518" s="14" t="s">
        <v>37</v>
      </c>
    </row>
    <row r="519" spans="1:5" x14ac:dyDescent="0.25">
      <c r="A519" s="36">
        <v>517</v>
      </c>
      <c r="B519" s="37">
        <v>2005461670</v>
      </c>
      <c r="C519" s="38">
        <v>0.93386586333339372</v>
      </c>
      <c r="D519" s="14" t="s">
        <v>560</v>
      </c>
      <c r="E519" s="14" t="s">
        <v>40</v>
      </c>
    </row>
    <row r="520" spans="1:5" x14ac:dyDescent="0.25">
      <c r="A520" s="36">
        <v>518</v>
      </c>
      <c r="B520" s="37">
        <v>1177467352</v>
      </c>
      <c r="C520" s="38">
        <v>0.54830096315047749</v>
      </c>
      <c r="D520" s="14" t="s">
        <v>561</v>
      </c>
      <c r="E520" s="14" t="s">
        <v>43</v>
      </c>
    </row>
    <row r="521" spans="1:5" x14ac:dyDescent="0.25">
      <c r="A521" s="36">
        <v>519</v>
      </c>
      <c r="B521" s="37">
        <v>285237356</v>
      </c>
      <c r="C521" s="38">
        <v>0.1328239944450669</v>
      </c>
      <c r="D521" s="14" t="s">
        <v>562</v>
      </c>
      <c r="E521" s="14" t="s">
        <v>46</v>
      </c>
    </row>
    <row r="522" spans="1:5" x14ac:dyDescent="0.25">
      <c r="A522" s="36">
        <v>520</v>
      </c>
      <c r="B522" s="37">
        <v>711868540</v>
      </c>
      <c r="C522" s="38">
        <v>0.33148962088464273</v>
      </c>
      <c r="D522" s="14" t="s">
        <v>563</v>
      </c>
      <c r="E522" s="14" t="s">
        <v>48</v>
      </c>
    </row>
    <row r="523" spans="1:5" x14ac:dyDescent="0.25">
      <c r="A523" s="36">
        <v>521</v>
      </c>
      <c r="B523" s="37">
        <v>501091592</v>
      </c>
      <c r="C523" s="38">
        <v>0.23333895589846138</v>
      </c>
      <c r="D523" s="14" t="s">
        <v>564</v>
      </c>
      <c r="E523" s="14" t="s">
        <v>37</v>
      </c>
    </row>
    <row r="524" spans="1:5" x14ac:dyDescent="0.25">
      <c r="A524" s="36">
        <v>522</v>
      </c>
      <c r="B524" s="37">
        <v>2142550517</v>
      </c>
      <c r="C524" s="38">
        <v>0.99770283233267387</v>
      </c>
      <c r="D524" s="14" t="s">
        <v>565</v>
      </c>
      <c r="E524" s="14" t="s">
        <v>40</v>
      </c>
    </row>
    <row r="525" spans="1:5" x14ac:dyDescent="0.25">
      <c r="A525" s="36">
        <v>523</v>
      </c>
      <c r="B525" s="37">
        <v>1673157101</v>
      </c>
      <c r="C525" s="38">
        <v>0.77912448988255323</v>
      </c>
      <c r="D525" s="14" t="s">
        <v>566</v>
      </c>
      <c r="E525" s="14" t="s">
        <v>43</v>
      </c>
    </row>
    <row r="526" spans="1:5" x14ac:dyDescent="0.25">
      <c r="A526" s="36">
        <v>524</v>
      </c>
      <c r="B526" s="37">
        <v>1425194064</v>
      </c>
      <c r="C526" s="38">
        <v>0.66365770281462821</v>
      </c>
      <c r="D526" s="14" t="s">
        <v>567</v>
      </c>
      <c r="E526" s="14" t="s">
        <v>46</v>
      </c>
    </row>
    <row r="527" spans="1:5" x14ac:dyDescent="0.25">
      <c r="A527" s="36">
        <v>525</v>
      </c>
      <c r="B527" s="37">
        <v>665534098</v>
      </c>
      <c r="C527" s="38">
        <v>0.30991346496618982</v>
      </c>
      <c r="D527" s="14" t="s">
        <v>568</v>
      </c>
      <c r="E527" s="14" t="s">
        <v>48</v>
      </c>
    </row>
    <row r="528" spans="1:5" x14ac:dyDescent="0.25">
      <c r="A528" s="36">
        <v>526</v>
      </c>
      <c r="B528" s="37">
        <v>391719900</v>
      </c>
      <c r="C528" s="38">
        <v>0.18240879298299961</v>
      </c>
      <c r="D528" s="14" t="s">
        <v>569</v>
      </c>
      <c r="E528" s="14" t="s">
        <v>37</v>
      </c>
    </row>
    <row r="529" spans="1:5" x14ac:dyDescent="0.25">
      <c r="A529" s="36">
        <v>527</v>
      </c>
      <c r="B529" s="37">
        <v>1005614995</v>
      </c>
      <c r="C529" s="38">
        <v>0.46827597332572379</v>
      </c>
      <c r="D529" s="14" t="s">
        <v>570</v>
      </c>
      <c r="E529" s="14" t="s">
        <v>40</v>
      </c>
    </row>
    <row r="530" spans="1:5" x14ac:dyDescent="0.25">
      <c r="A530" s="36">
        <v>528</v>
      </c>
      <c r="B530" s="37">
        <v>1152416919</v>
      </c>
      <c r="C530" s="38">
        <v>0.53663594626664923</v>
      </c>
      <c r="D530" s="14" t="s">
        <v>571</v>
      </c>
      <c r="E530" s="14" t="s">
        <v>43</v>
      </c>
    </row>
    <row r="531" spans="1:5" x14ac:dyDescent="0.25">
      <c r="A531" s="36">
        <v>529</v>
      </c>
      <c r="B531" s="37">
        <v>903221830</v>
      </c>
      <c r="C531" s="38">
        <v>0.42059544027810702</v>
      </c>
      <c r="D531" s="14" t="s">
        <v>572</v>
      </c>
      <c r="E531" s="14" t="s">
        <v>46</v>
      </c>
    </row>
    <row r="532" spans="1:5" x14ac:dyDescent="0.25">
      <c r="A532" s="36">
        <v>530</v>
      </c>
      <c r="B532" s="37">
        <v>209089449</v>
      </c>
      <c r="C532" s="38">
        <v>9.7364862029144947E-2</v>
      </c>
      <c r="D532" s="14" t="s">
        <v>573</v>
      </c>
      <c r="E532" s="14" t="s">
        <v>48</v>
      </c>
    </row>
    <row r="533" spans="1:5" x14ac:dyDescent="0.25">
      <c r="A533" s="36">
        <v>531</v>
      </c>
      <c r="B533" s="37">
        <v>1544266246</v>
      </c>
      <c r="C533" s="38">
        <v>0.71910500839310931</v>
      </c>
      <c r="D533" s="14" t="s">
        <v>574</v>
      </c>
      <c r="E533" s="14" t="s">
        <v>37</v>
      </c>
    </row>
    <row r="534" spans="1:5" x14ac:dyDescent="0.25">
      <c r="A534" s="36">
        <v>532</v>
      </c>
      <c r="B534" s="37">
        <v>1581045077</v>
      </c>
      <c r="C534" s="38">
        <v>0.73623148619021828</v>
      </c>
      <c r="D534" s="14" t="s">
        <v>575</v>
      </c>
      <c r="E534" s="14" t="s">
        <v>40</v>
      </c>
    </row>
    <row r="535" spans="1:5" x14ac:dyDescent="0.25">
      <c r="A535" s="36">
        <v>533</v>
      </c>
      <c r="B535" s="37">
        <v>400906676</v>
      </c>
      <c r="C535" s="38">
        <v>0.1866867189233595</v>
      </c>
      <c r="D535" s="14" t="s">
        <v>576</v>
      </c>
      <c r="E535" s="14" t="s">
        <v>43</v>
      </c>
    </row>
    <row r="536" spans="1:5" x14ac:dyDescent="0.25">
      <c r="A536" s="36">
        <v>534</v>
      </c>
      <c r="B536" s="37">
        <v>392886108</v>
      </c>
      <c r="C536" s="38">
        <v>0.18295185090180108</v>
      </c>
      <c r="D536" s="14" t="s">
        <v>577</v>
      </c>
      <c r="E536" s="14" t="s">
        <v>46</v>
      </c>
    </row>
    <row r="537" spans="1:5" x14ac:dyDescent="0.25">
      <c r="A537" s="36">
        <v>535</v>
      </c>
      <c r="B537" s="37">
        <v>862769307</v>
      </c>
      <c r="C537" s="38">
        <v>0.40175826633430939</v>
      </c>
      <c r="D537" s="14" t="s">
        <v>578</v>
      </c>
      <c r="E537" s="14" t="s">
        <v>48</v>
      </c>
    </row>
    <row r="538" spans="1:5" x14ac:dyDescent="0.25">
      <c r="A538" s="36">
        <v>536</v>
      </c>
      <c r="B538" s="37">
        <v>322994559</v>
      </c>
      <c r="C538" s="38">
        <v>0.15040606220737382</v>
      </c>
      <c r="D538" s="14" t="s">
        <v>579</v>
      </c>
      <c r="E538" s="14" t="s">
        <v>37</v>
      </c>
    </row>
    <row r="539" spans="1:5" x14ac:dyDescent="0.25">
      <c r="A539" s="36">
        <v>537</v>
      </c>
      <c r="B539" s="37">
        <v>263779013</v>
      </c>
      <c r="C539" s="38">
        <v>0.12283167481554284</v>
      </c>
      <c r="D539" s="14" t="s">
        <v>580</v>
      </c>
      <c r="E539" s="14" t="s">
        <v>40</v>
      </c>
    </row>
    <row r="540" spans="1:5" x14ac:dyDescent="0.25">
      <c r="A540" s="36">
        <v>538</v>
      </c>
      <c r="B540" s="37">
        <v>1858987016</v>
      </c>
      <c r="C540" s="38">
        <v>0.86565828736203643</v>
      </c>
      <c r="D540" s="14" t="s">
        <v>581</v>
      </c>
      <c r="E540" s="14" t="s">
        <v>43</v>
      </c>
    </row>
    <row r="541" spans="1:5" x14ac:dyDescent="0.25">
      <c r="A541" s="36">
        <v>539</v>
      </c>
      <c r="B541" s="37">
        <v>714912853</v>
      </c>
      <c r="C541" s="38">
        <v>0.33290723959585056</v>
      </c>
      <c r="D541" s="14" t="s">
        <v>582</v>
      </c>
      <c r="E541" s="14" t="s">
        <v>46</v>
      </c>
    </row>
    <row r="542" spans="1:5" x14ac:dyDescent="0.25">
      <c r="A542" s="36">
        <v>540</v>
      </c>
      <c r="B542" s="37">
        <v>1922264644</v>
      </c>
      <c r="C542" s="38">
        <v>0.89512422908801781</v>
      </c>
      <c r="D542" s="14" t="s">
        <v>583</v>
      </c>
      <c r="E542" s="14" t="s">
        <v>48</v>
      </c>
    </row>
    <row r="543" spans="1:5" x14ac:dyDescent="0.25">
      <c r="A543" s="36">
        <v>541</v>
      </c>
      <c r="B543" s="37">
        <v>278225144</v>
      </c>
      <c r="C543" s="38">
        <v>0.12955867877675159</v>
      </c>
      <c r="D543" s="14" t="s">
        <v>584</v>
      </c>
      <c r="E543" s="14" t="s">
        <v>37</v>
      </c>
    </row>
    <row r="544" spans="1:5" x14ac:dyDescent="0.25">
      <c r="A544" s="36">
        <v>542</v>
      </c>
      <c r="B544" s="37">
        <v>283310685</v>
      </c>
      <c r="C544" s="38">
        <v>0.13192681834657063</v>
      </c>
      <c r="D544" s="14" t="s">
        <v>585</v>
      </c>
      <c r="E544" s="14" t="s">
        <v>40</v>
      </c>
    </row>
    <row r="545" spans="1:5" x14ac:dyDescent="0.25">
      <c r="A545" s="36">
        <v>543</v>
      </c>
      <c r="B545" s="37">
        <v>2060390883</v>
      </c>
      <c r="C545" s="38">
        <v>0.95944427138168564</v>
      </c>
      <c r="D545" s="14" t="s">
        <v>586</v>
      </c>
      <c r="E545" s="14" t="s">
        <v>43</v>
      </c>
    </row>
    <row r="546" spans="1:5" x14ac:dyDescent="0.25">
      <c r="A546" s="36">
        <v>544</v>
      </c>
      <c r="B546" s="37">
        <v>961981505</v>
      </c>
      <c r="C546" s="38">
        <v>0.44795754619313288</v>
      </c>
      <c r="D546" s="14" t="s">
        <v>587</v>
      </c>
      <c r="E546" s="14" t="s">
        <v>46</v>
      </c>
    </row>
    <row r="547" spans="1:5" x14ac:dyDescent="0.25">
      <c r="A547" s="36">
        <v>545</v>
      </c>
      <c r="B547" s="37">
        <v>14416209</v>
      </c>
      <c r="C547" s="38">
        <v>6.7130704441634333E-3</v>
      </c>
      <c r="D547" s="14" t="s">
        <v>588</v>
      </c>
      <c r="E547" s="14" t="s">
        <v>48</v>
      </c>
    </row>
    <row r="548" spans="1:5" x14ac:dyDescent="0.25">
      <c r="A548" s="36">
        <v>546</v>
      </c>
      <c r="B548" s="37">
        <v>1171918370</v>
      </c>
      <c r="C548" s="38">
        <v>0.54571701704790676</v>
      </c>
      <c r="D548" s="14" t="s">
        <v>589</v>
      </c>
      <c r="E548" s="14" t="s">
        <v>37</v>
      </c>
    </row>
    <row r="549" spans="1:5" x14ac:dyDescent="0.25">
      <c r="A549" s="36">
        <v>547</v>
      </c>
      <c r="B549" s="37">
        <v>193139553</v>
      </c>
      <c r="C549" s="38">
        <v>8.9937612921901805E-2</v>
      </c>
      <c r="D549" s="14" t="s">
        <v>590</v>
      </c>
      <c r="E549" s="14" t="s">
        <v>40</v>
      </c>
    </row>
    <row r="550" spans="1:5" x14ac:dyDescent="0.25">
      <c r="A550" s="36">
        <v>548</v>
      </c>
      <c r="B550" s="37">
        <v>1883954707</v>
      </c>
      <c r="C550" s="38">
        <v>0.87728477449961229</v>
      </c>
      <c r="D550" s="14" t="s">
        <v>591</v>
      </c>
      <c r="E550" s="14" t="s">
        <v>43</v>
      </c>
    </row>
    <row r="551" spans="1:5" x14ac:dyDescent="0.25">
      <c r="A551" s="36">
        <v>549</v>
      </c>
      <c r="B551" s="37">
        <v>1957237884</v>
      </c>
      <c r="C551" s="38">
        <v>0.91140991305532393</v>
      </c>
      <c r="D551" s="14" t="s">
        <v>592</v>
      </c>
      <c r="E551" s="14" t="s">
        <v>46</v>
      </c>
    </row>
    <row r="552" spans="1:5" x14ac:dyDescent="0.25">
      <c r="A552" s="36">
        <v>550</v>
      </c>
      <c r="B552" s="37">
        <v>123833268</v>
      </c>
      <c r="C552" s="38">
        <v>5.7664359015256336E-2</v>
      </c>
      <c r="D552" s="14" t="s">
        <v>593</v>
      </c>
      <c r="E552" s="14" t="s">
        <v>48</v>
      </c>
    </row>
    <row r="553" spans="1:5" x14ac:dyDescent="0.25">
      <c r="A553" s="36">
        <v>551</v>
      </c>
      <c r="B553" s="37">
        <v>513948275</v>
      </c>
      <c r="C553" s="38">
        <v>0.23932581545753676</v>
      </c>
      <c r="D553" s="14" t="s">
        <v>594</v>
      </c>
      <c r="E553" s="14" t="s">
        <v>37</v>
      </c>
    </row>
    <row r="554" spans="1:5" x14ac:dyDescent="0.25">
      <c r="A554" s="36">
        <v>552</v>
      </c>
      <c r="B554" s="37">
        <v>590795090</v>
      </c>
      <c r="C554" s="38">
        <v>0.27511040227259992</v>
      </c>
      <c r="D554" s="14" t="s">
        <v>595</v>
      </c>
      <c r="E554" s="14" t="s">
        <v>40</v>
      </c>
    </row>
    <row r="555" spans="1:5" x14ac:dyDescent="0.25">
      <c r="A555" s="36">
        <v>553</v>
      </c>
      <c r="B555" s="37">
        <v>1319583057</v>
      </c>
      <c r="C555" s="38">
        <v>0.61447874531824087</v>
      </c>
      <c r="D555" s="14" t="s">
        <v>596</v>
      </c>
      <c r="E555" s="14" t="s">
        <v>43</v>
      </c>
    </row>
    <row r="556" spans="1:5" x14ac:dyDescent="0.25">
      <c r="A556" s="36">
        <v>554</v>
      </c>
      <c r="B556" s="37">
        <v>1515450843</v>
      </c>
      <c r="C556" s="38">
        <v>0.70568679073158969</v>
      </c>
      <c r="D556" s="14" t="s">
        <v>597</v>
      </c>
      <c r="E556" s="14" t="s">
        <v>46</v>
      </c>
    </row>
    <row r="557" spans="1:5" x14ac:dyDescent="0.25">
      <c r="A557" s="36">
        <v>555</v>
      </c>
      <c r="B557" s="37">
        <v>1669622247</v>
      </c>
      <c r="C557" s="38">
        <v>0.77747844521770182</v>
      </c>
      <c r="D557" s="14" t="s">
        <v>598</v>
      </c>
      <c r="E557" s="14" t="s">
        <v>48</v>
      </c>
    </row>
    <row r="558" spans="1:5" x14ac:dyDescent="0.25">
      <c r="A558" s="36">
        <v>556</v>
      </c>
      <c r="B558" s="37">
        <v>1677532494</v>
      </c>
      <c r="C558" s="38">
        <v>0.7811619410203593</v>
      </c>
      <c r="D558" s="14" t="s">
        <v>599</v>
      </c>
      <c r="E558" s="14" t="s">
        <v>37</v>
      </c>
    </row>
    <row r="559" spans="1:5" x14ac:dyDescent="0.25">
      <c r="A559" s="36">
        <v>557</v>
      </c>
      <c r="B559" s="37">
        <v>111696765</v>
      </c>
      <c r="C559" s="38">
        <v>5.201285940223041E-2</v>
      </c>
      <c r="D559" s="14" t="s">
        <v>600</v>
      </c>
      <c r="E559" s="14" t="s">
        <v>40</v>
      </c>
    </row>
    <row r="560" spans="1:5" x14ac:dyDescent="0.25">
      <c r="A560" s="36">
        <v>558</v>
      </c>
      <c r="B560" s="37">
        <v>379959529</v>
      </c>
      <c r="C560" s="38">
        <v>0.17693244348137288</v>
      </c>
      <c r="D560" s="14" t="s">
        <v>601</v>
      </c>
      <c r="E560" s="14" t="s">
        <v>43</v>
      </c>
    </row>
    <row r="561" spans="1:5" x14ac:dyDescent="0.25">
      <c r="A561" s="36">
        <v>559</v>
      </c>
      <c r="B561" s="37">
        <v>2035002272</v>
      </c>
      <c r="C561" s="38">
        <v>0.94762177809496495</v>
      </c>
      <c r="D561" s="14" t="s">
        <v>602</v>
      </c>
      <c r="E561" s="14" t="s">
        <v>46</v>
      </c>
    </row>
    <row r="562" spans="1:5" x14ac:dyDescent="0.25">
      <c r="A562" s="36">
        <v>560</v>
      </c>
      <c r="B562" s="37">
        <v>1314946043</v>
      </c>
      <c r="C562" s="38">
        <v>0.61231946740873133</v>
      </c>
      <c r="D562" s="14" t="s">
        <v>603</v>
      </c>
      <c r="E562" s="14" t="s">
        <v>48</v>
      </c>
    </row>
    <row r="563" spans="1:5" x14ac:dyDescent="0.25">
      <c r="A563" s="36">
        <v>561</v>
      </c>
      <c r="B563" s="37">
        <v>1145949811</v>
      </c>
      <c r="C563" s="38">
        <v>0.53362446442880873</v>
      </c>
      <c r="D563" s="14" t="s">
        <v>604</v>
      </c>
      <c r="E563" s="14" t="s">
        <v>37</v>
      </c>
    </row>
    <row r="564" spans="1:5" x14ac:dyDescent="0.25">
      <c r="A564" s="36">
        <v>562</v>
      </c>
      <c r="B564" s="37">
        <v>1575800541</v>
      </c>
      <c r="C564" s="38">
        <v>0.73378930880398918</v>
      </c>
      <c r="D564" s="14" t="s">
        <v>605</v>
      </c>
      <c r="E564" s="14" t="s">
        <v>40</v>
      </c>
    </row>
    <row r="565" spans="1:5" x14ac:dyDescent="0.25">
      <c r="A565" s="36">
        <v>563</v>
      </c>
      <c r="B565" s="37">
        <v>260646331</v>
      </c>
      <c r="C565" s="38">
        <v>0.12137290608201777</v>
      </c>
      <c r="D565" s="14" t="s">
        <v>606</v>
      </c>
      <c r="E565" s="14" t="s">
        <v>43</v>
      </c>
    </row>
    <row r="566" spans="1:5" x14ac:dyDescent="0.25">
      <c r="A566" s="36">
        <v>564</v>
      </c>
      <c r="B566" s="37">
        <v>1521775882</v>
      </c>
      <c r="C566" s="38">
        <v>0.70863211653597291</v>
      </c>
      <c r="D566" s="14" t="s">
        <v>607</v>
      </c>
      <c r="E566" s="14" t="s">
        <v>46</v>
      </c>
    </row>
    <row r="567" spans="1:5" x14ac:dyDescent="0.25">
      <c r="A567" s="36">
        <v>565</v>
      </c>
      <c r="B567" s="37">
        <v>742842481</v>
      </c>
      <c r="C567" s="38">
        <v>0.3459129861304131</v>
      </c>
      <c r="D567" s="14" t="s">
        <v>608</v>
      </c>
      <c r="E567" s="14" t="s">
        <v>48</v>
      </c>
    </row>
    <row r="568" spans="1:5" x14ac:dyDescent="0.25">
      <c r="A568" s="36">
        <v>566</v>
      </c>
      <c r="B568" s="37">
        <v>612837441</v>
      </c>
      <c r="C568" s="38">
        <v>0.28537467181932863</v>
      </c>
      <c r="D568" s="14" t="s">
        <v>609</v>
      </c>
      <c r="E568" s="14" t="s">
        <v>37</v>
      </c>
    </row>
    <row r="569" spans="1:5" x14ac:dyDescent="0.25">
      <c r="A569" s="36">
        <v>567</v>
      </c>
      <c r="B569" s="37">
        <v>1605772337</v>
      </c>
      <c r="C569" s="38">
        <v>0.74774601391877327</v>
      </c>
      <c r="D569" s="14" t="s">
        <v>610</v>
      </c>
      <c r="E569" s="14" t="s">
        <v>40</v>
      </c>
    </row>
    <row r="570" spans="1:5" x14ac:dyDescent="0.25">
      <c r="A570" s="36">
        <v>568</v>
      </c>
      <c r="B570" s="37">
        <v>871779774</v>
      </c>
      <c r="C570" s="38">
        <v>0.40595409199872712</v>
      </c>
      <c r="D570" s="14" t="s">
        <v>611</v>
      </c>
      <c r="E570" s="14" t="s">
        <v>43</v>
      </c>
    </row>
    <row r="571" spans="1:5" x14ac:dyDescent="0.25">
      <c r="A571" s="36">
        <v>569</v>
      </c>
      <c r="B571" s="37">
        <v>444787086</v>
      </c>
      <c r="C571" s="38">
        <v>0.20712012714106595</v>
      </c>
      <c r="D571" s="14" t="s">
        <v>612</v>
      </c>
      <c r="E571" s="14" t="s">
        <v>46</v>
      </c>
    </row>
    <row r="572" spans="1:5" x14ac:dyDescent="0.25">
      <c r="A572" s="36">
        <v>570</v>
      </c>
      <c r="B572" s="37">
        <v>218539594</v>
      </c>
      <c r="C572" s="38">
        <v>0.10176542871713891</v>
      </c>
      <c r="D572" s="14" t="s">
        <v>613</v>
      </c>
      <c r="E572" s="14" t="s">
        <v>48</v>
      </c>
    </row>
    <row r="573" spans="1:5" x14ac:dyDescent="0.25">
      <c r="A573" s="36">
        <v>571</v>
      </c>
      <c r="B573" s="37">
        <v>1229158096</v>
      </c>
      <c r="C573" s="38">
        <v>0.57237134155462088</v>
      </c>
      <c r="D573" s="14" t="s">
        <v>614</v>
      </c>
      <c r="E573" s="14" t="s">
        <v>37</v>
      </c>
    </row>
    <row r="574" spans="1:5" x14ac:dyDescent="0.25">
      <c r="A574" s="36">
        <v>572</v>
      </c>
      <c r="B574" s="37">
        <v>1888576901</v>
      </c>
      <c r="C574" s="38">
        <v>0.8794371513088407</v>
      </c>
      <c r="D574" s="14" t="s">
        <v>615</v>
      </c>
      <c r="E574" s="14" t="s">
        <v>40</v>
      </c>
    </row>
    <row r="575" spans="1:5" x14ac:dyDescent="0.25">
      <c r="A575" s="36">
        <v>573</v>
      </c>
      <c r="B575" s="37">
        <v>1280798533</v>
      </c>
      <c r="C575" s="38">
        <v>0.59641829393637291</v>
      </c>
      <c r="D575" s="14" t="s">
        <v>616</v>
      </c>
      <c r="E575" s="14" t="s">
        <v>43</v>
      </c>
    </row>
    <row r="576" spans="1:5" x14ac:dyDescent="0.25">
      <c r="A576" s="36">
        <v>574</v>
      </c>
      <c r="B576" s="37">
        <v>1359035857</v>
      </c>
      <c r="C576" s="38">
        <v>0.63285038696269058</v>
      </c>
      <c r="D576" s="14" t="s">
        <v>617</v>
      </c>
      <c r="E576" s="14" t="s">
        <v>46</v>
      </c>
    </row>
    <row r="577" spans="1:5" x14ac:dyDescent="0.25">
      <c r="A577" s="36">
        <v>575</v>
      </c>
      <c r="B577" s="37">
        <v>1637445583</v>
      </c>
      <c r="C577" s="38">
        <v>0.76249501843121603</v>
      </c>
      <c r="D577" s="14" t="s">
        <v>618</v>
      </c>
      <c r="E577" s="14" t="s">
        <v>48</v>
      </c>
    </row>
    <row r="578" spans="1:5" x14ac:dyDescent="0.25">
      <c r="A578" s="36">
        <v>576</v>
      </c>
      <c r="B578" s="37">
        <v>1058044074</v>
      </c>
      <c r="C578" s="38">
        <v>0.49269016575659169</v>
      </c>
      <c r="D578" s="14" t="s">
        <v>619</v>
      </c>
      <c r="E578" s="14" t="s">
        <v>37</v>
      </c>
    </row>
    <row r="579" spans="1:5" x14ac:dyDescent="0.25">
      <c r="A579" s="36">
        <v>577</v>
      </c>
      <c r="B579" s="37">
        <v>1224692608</v>
      </c>
      <c r="C579" s="38">
        <v>0.5702919366631154</v>
      </c>
      <c r="D579" s="14" t="s">
        <v>620</v>
      </c>
      <c r="E579" s="14" t="s">
        <v>40</v>
      </c>
    </row>
    <row r="580" spans="1:5" x14ac:dyDescent="0.25">
      <c r="A580" s="36">
        <v>578</v>
      </c>
      <c r="B580" s="37">
        <v>1413065968</v>
      </c>
      <c r="C580" s="38">
        <v>0.65801011801604647</v>
      </c>
      <c r="D580" s="14" t="s">
        <v>621</v>
      </c>
      <c r="E580" s="14" t="s">
        <v>43</v>
      </c>
    </row>
    <row r="581" spans="1:5" x14ac:dyDescent="0.25">
      <c r="A581" s="36">
        <v>579</v>
      </c>
      <c r="B581" s="37">
        <v>1640305145</v>
      </c>
      <c r="C581" s="38">
        <v>0.76382660575389238</v>
      </c>
      <c r="D581" s="14" t="s">
        <v>622</v>
      </c>
      <c r="E581" s="14" t="s">
        <v>46</v>
      </c>
    </row>
    <row r="582" spans="1:5" x14ac:dyDescent="0.25">
      <c r="A582" s="36">
        <v>580</v>
      </c>
      <c r="B582" s="37">
        <v>2046720372</v>
      </c>
      <c r="C582" s="38">
        <v>0.95307844362830674</v>
      </c>
      <c r="D582" s="14" t="s">
        <v>623</v>
      </c>
      <c r="E582" s="14" t="s">
        <v>48</v>
      </c>
    </row>
    <row r="583" spans="1:5" x14ac:dyDescent="0.25">
      <c r="A583" s="36">
        <v>581</v>
      </c>
      <c r="B583" s="37">
        <v>791382842</v>
      </c>
      <c r="C583" s="38">
        <v>0.36851635313058101</v>
      </c>
      <c r="D583" s="14" t="s">
        <v>624</v>
      </c>
      <c r="E583" s="14" t="s">
        <v>37</v>
      </c>
    </row>
    <row r="584" spans="1:5" x14ac:dyDescent="0.25">
      <c r="A584" s="36">
        <v>582</v>
      </c>
      <c r="B584" s="37">
        <v>332496238</v>
      </c>
      <c r="C584" s="38">
        <v>0.15483062628415908</v>
      </c>
      <c r="D584" s="14" t="s">
        <v>625</v>
      </c>
      <c r="E584" s="14" t="s">
        <v>40</v>
      </c>
    </row>
    <row r="585" spans="1:5" x14ac:dyDescent="0.25">
      <c r="A585" s="36">
        <v>583</v>
      </c>
      <c r="B585" s="37">
        <v>1976439980</v>
      </c>
      <c r="C585" s="38">
        <v>0.9203515858018545</v>
      </c>
      <c r="D585" s="14" t="s">
        <v>626</v>
      </c>
      <c r="E585" s="14" t="s">
        <v>43</v>
      </c>
    </row>
    <row r="586" spans="1:5" x14ac:dyDescent="0.25">
      <c r="A586" s="36">
        <v>584</v>
      </c>
      <c r="B586" s="37">
        <v>1493559367</v>
      </c>
      <c r="C586" s="38">
        <v>0.69549277783161623</v>
      </c>
      <c r="D586" s="14" t="s">
        <v>627</v>
      </c>
      <c r="E586" s="14" t="s">
        <v>46</v>
      </c>
    </row>
    <row r="587" spans="1:5" x14ac:dyDescent="0.25">
      <c r="A587" s="36">
        <v>585</v>
      </c>
      <c r="B587" s="37">
        <v>1263055643</v>
      </c>
      <c r="C587" s="38">
        <v>0.58815611693456593</v>
      </c>
      <c r="D587" s="14" t="s">
        <v>628</v>
      </c>
      <c r="E587" s="14" t="s">
        <v>48</v>
      </c>
    </row>
    <row r="588" spans="1:5" x14ac:dyDescent="0.25">
      <c r="A588" s="36">
        <v>586</v>
      </c>
      <c r="B588" s="37">
        <v>70172151</v>
      </c>
      <c r="C588" s="38">
        <v>3.2676454183029224E-2</v>
      </c>
      <c r="D588" s="14" t="s">
        <v>629</v>
      </c>
      <c r="E588" s="14" t="s">
        <v>37</v>
      </c>
    </row>
    <row r="589" spans="1:5" x14ac:dyDescent="0.25">
      <c r="A589" s="36">
        <v>587</v>
      </c>
      <c r="B589" s="37">
        <v>530503521</v>
      </c>
      <c r="C589" s="38">
        <v>0.24703495262518291</v>
      </c>
      <c r="D589" s="14" t="s">
        <v>630</v>
      </c>
      <c r="E589" s="14" t="s">
        <v>40</v>
      </c>
    </row>
    <row r="590" spans="1:5" x14ac:dyDescent="0.25">
      <c r="A590" s="36">
        <v>588</v>
      </c>
      <c r="B590" s="37">
        <v>701484936</v>
      </c>
      <c r="C590" s="38">
        <v>0.32665437847685741</v>
      </c>
      <c r="D590" s="14" t="s">
        <v>631</v>
      </c>
      <c r="E590" s="14" t="s">
        <v>43</v>
      </c>
    </row>
    <row r="591" spans="1:5" x14ac:dyDescent="0.25">
      <c r="A591" s="36">
        <v>589</v>
      </c>
      <c r="B591" s="37">
        <v>1828518195</v>
      </c>
      <c r="C591" s="38">
        <v>0.85147013694582052</v>
      </c>
      <c r="D591" s="14" t="s">
        <v>632</v>
      </c>
      <c r="E591" s="14" t="s">
        <v>46</v>
      </c>
    </row>
    <row r="592" spans="1:5" x14ac:dyDescent="0.25">
      <c r="A592" s="36">
        <v>590</v>
      </c>
      <c r="B592" s="37">
        <v>1721929027</v>
      </c>
      <c r="C592" s="38">
        <v>0.80183568773876679</v>
      </c>
      <c r="D592" s="14" t="s">
        <v>633</v>
      </c>
      <c r="E592" s="14" t="s">
        <v>48</v>
      </c>
    </row>
    <row r="593" spans="1:5" x14ac:dyDescent="0.25">
      <c r="A593" s="36">
        <v>591</v>
      </c>
      <c r="B593" s="37">
        <v>43528026</v>
      </c>
      <c r="C593" s="38">
        <v>2.0269316630563382E-2</v>
      </c>
      <c r="D593" s="14" t="s">
        <v>634</v>
      </c>
      <c r="E593" s="14" t="s">
        <v>37</v>
      </c>
    </row>
    <row r="594" spans="1:5" x14ac:dyDescent="0.25">
      <c r="A594" s="36">
        <v>592</v>
      </c>
      <c r="B594" s="37">
        <v>550615740</v>
      </c>
      <c r="C594" s="38">
        <v>0.25640043441969923</v>
      </c>
      <c r="D594" s="14" t="s">
        <v>635</v>
      </c>
      <c r="E594" s="14" t="s">
        <v>40</v>
      </c>
    </row>
    <row r="595" spans="1:5" x14ac:dyDescent="0.25">
      <c r="A595" s="36">
        <v>593</v>
      </c>
      <c r="B595" s="37">
        <v>870242828</v>
      </c>
      <c r="C595" s="38">
        <v>0.40523839574551135</v>
      </c>
      <c r="D595" s="14" t="s">
        <v>636</v>
      </c>
      <c r="E595" s="14" t="s">
        <v>43</v>
      </c>
    </row>
    <row r="596" spans="1:5" x14ac:dyDescent="0.25">
      <c r="A596" s="36">
        <v>594</v>
      </c>
      <c r="B596" s="37">
        <v>1960253660</v>
      </c>
      <c r="C596" s="38">
        <v>0.91281424319036963</v>
      </c>
      <c r="D596" s="14" t="s">
        <v>637</v>
      </c>
      <c r="E596" s="14" t="s">
        <v>46</v>
      </c>
    </row>
    <row r="597" spans="1:5" x14ac:dyDescent="0.25">
      <c r="A597" s="36">
        <v>595</v>
      </c>
      <c r="B597" s="37">
        <v>1289096629</v>
      </c>
      <c r="C597" s="38">
        <v>0.60028239600373545</v>
      </c>
      <c r="D597" s="14" t="s">
        <v>638</v>
      </c>
      <c r="E597" s="14" t="s">
        <v>48</v>
      </c>
    </row>
    <row r="598" spans="1:5" x14ac:dyDescent="0.25">
      <c r="A598" s="36">
        <v>596</v>
      </c>
      <c r="B598" s="37">
        <v>1132462753</v>
      </c>
      <c r="C598" s="38">
        <v>0.52734406363561004</v>
      </c>
      <c r="D598" s="14" t="s">
        <v>639</v>
      </c>
      <c r="E598" s="14" t="s">
        <v>37</v>
      </c>
    </row>
    <row r="599" spans="1:5" x14ac:dyDescent="0.25">
      <c r="A599" s="36">
        <v>597</v>
      </c>
      <c r="B599" s="37">
        <v>1824628829</v>
      </c>
      <c r="C599" s="38">
        <v>0.84965900976660613</v>
      </c>
      <c r="D599" s="14" t="s">
        <v>640</v>
      </c>
      <c r="E599" s="14" t="s">
        <v>40</v>
      </c>
    </row>
    <row r="600" spans="1:5" x14ac:dyDescent="0.25">
      <c r="A600" s="36">
        <v>598</v>
      </c>
      <c r="B600" s="37">
        <v>290699935</v>
      </c>
      <c r="C600" s="38">
        <v>0.13536770601541162</v>
      </c>
      <c r="D600" s="14" t="s">
        <v>641</v>
      </c>
      <c r="E600" s="14" t="s">
        <v>43</v>
      </c>
    </row>
    <row r="601" spans="1:5" x14ac:dyDescent="0.25">
      <c r="A601" s="36">
        <v>599</v>
      </c>
      <c r="B601" s="37">
        <v>865417117</v>
      </c>
      <c r="C601" s="38">
        <v>0.40299124894802985</v>
      </c>
      <c r="D601" s="14" t="s">
        <v>642</v>
      </c>
      <c r="E601" s="14" t="s">
        <v>46</v>
      </c>
    </row>
    <row r="602" spans="1:5" x14ac:dyDescent="0.25">
      <c r="A602" s="36">
        <v>600</v>
      </c>
      <c r="B602" s="37">
        <v>1032491165</v>
      </c>
      <c r="C602" s="38">
        <v>0.48079116525165327</v>
      </c>
      <c r="D602" s="14" t="s">
        <v>643</v>
      </c>
      <c r="E602" s="14" t="s">
        <v>48</v>
      </c>
    </row>
    <row r="603" spans="1:5" x14ac:dyDescent="0.25">
      <c r="A603" s="36">
        <v>601</v>
      </c>
      <c r="B603" s="37">
        <v>829951865</v>
      </c>
      <c r="C603" s="38">
        <v>0.38647645403932612</v>
      </c>
      <c r="D603" s="14" t="s">
        <v>644</v>
      </c>
      <c r="E603" s="14" t="s">
        <v>37</v>
      </c>
    </row>
    <row r="604" spans="1:5" x14ac:dyDescent="0.25">
      <c r="A604" s="36">
        <v>602</v>
      </c>
      <c r="B604" s="37">
        <v>411878248</v>
      </c>
      <c r="C604" s="38">
        <v>0.19179575526704815</v>
      </c>
      <c r="D604" s="14" t="s">
        <v>645</v>
      </c>
      <c r="E604" s="14" t="s">
        <v>40</v>
      </c>
    </row>
    <row r="605" spans="1:5" x14ac:dyDescent="0.25">
      <c r="A605" s="36">
        <v>603</v>
      </c>
      <c r="B605" s="37">
        <v>647835320</v>
      </c>
      <c r="C605" s="38">
        <v>0.30167182921509811</v>
      </c>
      <c r="D605" s="14" t="s">
        <v>646</v>
      </c>
      <c r="E605" s="14" t="s">
        <v>43</v>
      </c>
    </row>
    <row r="606" spans="1:5" x14ac:dyDescent="0.25">
      <c r="A606" s="36">
        <v>604</v>
      </c>
      <c r="B606" s="37">
        <v>1661422643</v>
      </c>
      <c r="C606" s="38">
        <v>0.77366020706187011</v>
      </c>
      <c r="D606" s="14" t="s">
        <v>647</v>
      </c>
      <c r="E606" s="14" t="s">
        <v>46</v>
      </c>
    </row>
    <row r="607" spans="1:5" x14ac:dyDescent="0.25">
      <c r="A607" s="36">
        <v>605</v>
      </c>
      <c r="B607" s="37">
        <v>490261079</v>
      </c>
      <c r="C607" s="38">
        <v>0.22829560527032969</v>
      </c>
      <c r="D607" s="14" t="s">
        <v>648</v>
      </c>
      <c r="E607" s="14" t="s">
        <v>48</v>
      </c>
    </row>
    <row r="608" spans="1:5" x14ac:dyDescent="0.25">
      <c r="A608" s="36">
        <v>606</v>
      </c>
      <c r="B608" s="37">
        <v>460632110</v>
      </c>
      <c r="C608" s="38">
        <v>0.21449854141776381</v>
      </c>
      <c r="D608" s="14" t="s">
        <v>649</v>
      </c>
      <c r="E608" s="14" t="s">
        <v>37</v>
      </c>
    </row>
    <row r="609" spans="1:5" x14ac:dyDescent="0.25">
      <c r="A609" s="36">
        <v>607</v>
      </c>
      <c r="B609" s="37">
        <v>1410444387</v>
      </c>
      <c r="C609" s="38">
        <v>0.65678934923223653</v>
      </c>
      <c r="D609" s="14" t="s">
        <v>650</v>
      </c>
      <c r="E609" s="14" t="s">
        <v>40</v>
      </c>
    </row>
    <row r="610" spans="1:5" x14ac:dyDescent="0.25">
      <c r="A610" s="36">
        <v>608</v>
      </c>
      <c r="B610" s="37">
        <v>1639961824</v>
      </c>
      <c r="C610" s="38">
        <v>0.76366673445499811</v>
      </c>
      <c r="D610" s="14" t="s">
        <v>651</v>
      </c>
      <c r="E610" s="14" t="s">
        <v>43</v>
      </c>
    </row>
    <row r="611" spans="1:5" x14ac:dyDescent="0.25">
      <c r="A611" s="36">
        <v>609</v>
      </c>
      <c r="B611" s="37">
        <v>1810982949</v>
      </c>
      <c r="C611" s="38">
        <v>0.84330465171640023</v>
      </c>
      <c r="D611" s="14" t="s">
        <v>652</v>
      </c>
      <c r="E611" s="14" t="s">
        <v>46</v>
      </c>
    </row>
    <row r="612" spans="1:5" x14ac:dyDescent="0.25">
      <c r="A612" s="36">
        <v>610</v>
      </c>
      <c r="B612" s="37">
        <v>316827254</v>
      </c>
      <c r="C612" s="38">
        <v>0.14753418702051704</v>
      </c>
      <c r="D612" s="14" t="s">
        <v>653</v>
      </c>
      <c r="E612" s="14" t="s">
        <v>48</v>
      </c>
    </row>
    <row r="613" spans="1:5" x14ac:dyDescent="0.25">
      <c r="A613" s="36">
        <v>611</v>
      </c>
      <c r="B613" s="37">
        <v>1749740195</v>
      </c>
      <c r="C613" s="38">
        <v>0.8147862720372091</v>
      </c>
      <c r="D613" s="14" t="s">
        <v>654</v>
      </c>
      <c r="E613" s="14" t="s">
        <v>37</v>
      </c>
    </row>
    <row r="614" spans="1:5" x14ac:dyDescent="0.25">
      <c r="A614" s="36">
        <v>612</v>
      </c>
      <c r="B614" s="37">
        <v>1270448494</v>
      </c>
      <c r="C614" s="38">
        <v>0.59159868144970329</v>
      </c>
      <c r="D614" s="14" t="s">
        <v>655</v>
      </c>
      <c r="E614" s="14" t="s">
        <v>40</v>
      </c>
    </row>
    <row r="615" spans="1:5" x14ac:dyDescent="0.25">
      <c r="A615" s="36">
        <v>613</v>
      </c>
      <c r="B615" s="37">
        <v>574185616</v>
      </c>
      <c r="C615" s="38">
        <v>0.26737601322465393</v>
      </c>
      <c r="D615" s="14" t="s">
        <v>656</v>
      </c>
      <c r="E615" s="14" t="s">
        <v>43</v>
      </c>
    </row>
    <row r="616" spans="1:5" x14ac:dyDescent="0.25">
      <c r="A616" s="36">
        <v>614</v>
      </c>
      <c r="B616" s="37">
        <v>1139344685</v>
      </c>
      <c r="C616" s="38">
        <v>0.53054871295138673</v>
      </c>
      <c r="D616" s="14" t="s">
        <v>657</v>
      </c>
      <c r="E616" s="14" t="s">
        <v>46</v>
      </c>
    </row>
    <row r="617" spans="1:5" x14ac:dyDescent="0.25">
      <c r="A617" s="36">
        <v>615</v>
      </c>
      <c r="B617" s="37">
        <v>147234384</v>
      </c>
      <c r="C617" s="38">
        <v>6.8561352821328372E-2</v>
      </c>
      <c r="D617" s="14" t="s">
        <v>658</v>
      </c>
      <c r="E617" s="14" t="s">
        <v>48</v>
      </c>
    </row>
    <row r="618" spans="1:5" x14ac:dyDescent="0.25">
      <c r="A618" s="36">
        <v>616</v>
      </c>
      <c r="B618" s="37">
        <v>1198168889</v>
      </c>
      <c r="C618" s="38">
        <v>0.55794086752363525</v>
      </c>
      <c r="D618" s="14" t="s">
        <v>659</v>
      </c>
      <c r="E618" s="14" t="s">
        <v>37</v>
      </c>
    </row>
    <row r="619" spans="1:5" x14ac:dyDescent="0.25">
      <c r="A619" s="36">
        <v>617</v>
      </c>
      <c r="B619" s="37">
        <v>2135996166</v>
      </c>
      <c r="C619" s="38">
        <v>0.99465072480712591</v>
      </c>
      <c r="D619" s="14" t="s">
        <v>660</v>
      </c>
      <c r="E619" s="14" t="s">
        <v>40</v>
      </c>
    </row>
    <row r="620" spans="1:5" x14ac:dyDescent="0.25">
      <c r="A620" s="36">
        <v>618</v>
      </c>
      <c r="B620" s="37">
        <v>1008985586</v>
      </c>
      <c r="C620" s="38">
        <v>0.46984552707050253</v>
      </c>
      <c r="D620" s="14" t="s">
        <v>661</v>
      </c>
      <c r="E620" s="14" t="s">
        <v>43</v>
      </c>
    </row>
    <row r="621" spans="1:5" x14ac:dyDescent="0.25">
      <c r="A621" s="36">
        <v>619</v>
      </c>
      <c r="B621" s="37">
        <v>210631583</v>
      </c>
      <c r="C621" s="38">
        <v>9.8082974133120365E-2</v>
      </c>
      <c r="D621" s="14" t="s">
        <v>662</v>
      </c>
      <c r="E621" s="14" t="s">
        <v>46</v>
      </c>
    </row>
    <row r="622" spans="1:5" x14ac:dyDescent="0.25">
      <c r="A622" s="36">
        <v>620</v>
      </c>
      <c r="B622" s="37">
        <v>74420784</v>
      </c>
      <c r="C622" s="38">
        <v>3.4654878096028643E-2</v>
      </c>
      <c r="D622" s="14" t="s">
        <v>663</v>
      </c>
      <c r="E622" s="14" t="s">
        <v>48</v>
      </c>
    </row>
    <row r="623" spans="1:5" x14ac:dyDescent="0.25">
      <c r="A623" s="36">
        <v>621</v>
      </c>
      <c r="B623" s="37">
        <v>822698275</v>
      </c>
      <c r="C623" s="38">
        <v>0.38309873798075073</v>
      </c>
      <c r="D623" s="14" t="s">
        <v>664</v>
      </c>
      <c r="E623" s="14" t="s">
        <v>37</v>
      </c>
    </row>
    <row r="624" spans="1:5" x14ac:dyDescent="0.25">
      <c r="A624" s="36">
        <v>622</v>
      </c>
      <c r="B624" s="37">
        <v>1930530579</v>
      </c>
      <c r="C624" s="38">
        <v>0.89897335502271236</v>
      </c>
      <c r="D624" s="14" t="s">
        <v>665</v>
      </c>
      <c r="E624" s="14" t="s">
        <v>40</v>
      </c>
    </row>
    <row r="625" spans="1:5" x14ac:dyDescent="0.25">
      <c r="A625" s="36">
        <v>623</v>
      </c>
      <c r="B625" s="37">
        <v>205954690</v>
      </c>
      <c r="C625" s="38">
        <v>9.5905126117125677E-2</v>
      </c>
      <c r="D625" s="14" t="s">
        <v>666</v>
      </c>
      <c r="E625" s="14" t="s">
        <v>43</v>
      </c>
    </row>
    <row r="626" spans="1:5" x14ac:dyDescent="0.25">
      <c r="A626" s="36">
        <v>624</v>
      </c>
      <c r="B626" s="37">
        <v>2044803981</v>
      </c>
      <c r="C626" s="38">
        <v>0.95218605452784622</v>
      </c>
      <c r="D626" s="14" t="s">
        <v>667</v>
      </c>
      <c r="E626" s="14" t="s">
        <v>46</v>
      </c>
    </row>
    <row r="627" spans="1:5" x14ac:dyDescent="0.25">
      <c r="A627" s="36">
        <v>625</v>
      </c>
      <c r="B627" s="37">
        <v>2071353009</v>
      </c>
      <c r="C627" s="38">
        <v>0.96454890908885227</v>
      </c>
      <c r="D627" s="14" t="s">
        <v>668</v>
      </c>
      <c r="E627" s="14" t="s">
        <v>48</v>
      </c>
    </row>
    <row r="628" spans="1:5" x14ac:dyDescent="0.25">
      <c r="A628" s="36">
        <v>626</v>
      </c>
      <c r="B628" s="37">
        <v>526213096</v>
      </c>
      <c r="C628" s="38">
        <v>0.24503706779565526</v>
      </c>
      <c r="D628" s="14" t="s">
        <v>669</v>
      </c>
      <c r="E628" s="14" t="s">
        <v>37</v>
      </c>
    </row>
    <row r="629" spans="1:5" x14ac:dyDescent="0.25">
      <c r="A629" s="36">
        <v>627</v>
      </c>
      <c r="B629" s="37">
        <v>1712421733</v>
      </c>
      <c r="C629" s="38">
        <v>0.79740850897385207</v>
      </c>
      <c r="D629" s="14" t="s">
        <v>670</v>
      </c>
      <c r="E629" s="14" t="s">
        <v>40</v>
      </c>
    </row>
    <row r="630" spans="1:5" x14ac:dyDescent="0.25">
      <c r="A630" s="36">
        <v>628</v>
      </c>
      <c r="B630" s="37">
        <v>1869461066</v>
      </c>
      <c r="C630" s="38">
        <v>0.87053564697063324</v>
      </c>
      <c r="D630" s="14" t="s">
        <v>671</v>
      </c>
      <c r="E630" s="14" t="s">
        <v>43</v>
      </c>
    </row>
    <row r="631" spans="1:5" x14ac:dyDescent="0.25">
      <c r="A631" s="36">
        <v>629</v>
      </c>
      <c r="B631" s="37">
        <v>1760742757</v>
      </c>
      <c r="C631" s="38">
        <v>0.81990973922419819</v>
      </c>
      <c r="D631" s="14" t="s">
        <v>672</v>
      </c>
      <c r="E631" s="14" t="s">
        <v>46</v>
      </c>
    </row>
    <row r="632" spans="1:5" x14ac:dyDescent="0.25">
      <c r="A632" s="36">
        <v>630</v>
      </c>
      <c r="B632" s="37">
        <v>1569419928</v>
      </c>
      <c r="C632" s="38">
        <v>0.73081810433921313</v>
      </c>
      <c r="D632" s="14" t="s">
        <v>673</v>
      </c>
      <c r="E632" s="14" t="s">
        <v>48</v>
      </c>
    </row>
    <row r="633" spans="1:5" x14ac:dyDescent="0.25">
      <c r="A633" s="36">
        <v>631</v>
      </c>
      <c r="B633" s="37">
        <v>1024910568</v>
      </c>
      <c r="C633" s="38">
        <v>0.47726117469242829</v>
      </c>
      <c r="D633" s="14" t="s">
        <v>674</v>
      </c>
      <c r="E633" s="14" t="s">
        <v>37</v>
      </c>
    </row>
    <row r="634" spans="1:5" x14ac:dyDescent="0.25">
      <c r="A634" s="36">
        <v>632</v>
      </c>
      <c r="B634" s="37">
        <v>1350640212</v>
      </c>
      <c r="C634" s="38">
        <v>0.62894086010239125</v>
      </c>
      <c r="D634" s="14" t="s">
        <v>675</v>
      </c>
      <c r="E634" s="14" t="s">
        <v>40</v>
      </c>
    </row>
    <row r="635" spans="1:5" x14ac:dyDescent="0.25">
      <c r="A635" s="36">
        <v>633</v>
      </c>
      <c r="B635" s="37">
        <v>552542987</v>
      </c>
      <c r="C635" s="38">
        <v>0.2572978787390971</v>
      </c>
      <c r="D635" s="14" t="s">
        <v>676</v>
      </c>
      <c r="E635" s="14" t="s">
        <v>43</v>
      </c>
    </row>
    <row r="636" spans="1:5" x14ac:dyDescent="0.25">
      <c r="A636" s="36">
        <v>634</v>
      </c>
      <c r="B636" s="37">
        <v>480486885</v>
      </c>
      <c r="C636" s="38">
        <v>0.22374414150777466</v>
      </c>
      <c r="D636" s="14" t="s">
        <v>677</v>
      </c>
      <c r="E636" s="14" t="s">
        <v>46</v>
      </c>
    </row>
    <row r="637" spans="1:5" x14ac:dyDescent="0.25">
      <c r="A637" s="36">
        <v>635</v>
      </c>
      <c r="B637" s="37">
        <v>406473932</v>
      </c>
      <c r="C637" s="38">
        <v>0.18927917452029847</v>
      </c>
      <c r="D637" s="14" t="s">
        <v>678</v>
      </c>
      <c r="E637" s="14" t="s">
        <v>48</v>
      </c>
    </row>
    <row r="638" spans="1:5" x14ac:dyDescent="0.25">
      <c r="A638" s="36">
        <v>636</v>
      </c>
      <c r="B638" s="37">
        <v>837742703</v>
      </c>
      <c r="C638" s="38">
        <v>0.39010434569330155</v>
      </c>
      <c r="D638" s="14" t="s">
        <v>679</v>
      </c>
      <c r="E638" s="14" t="s">
        <v>37</v>
      </c>
    </row>
    <row r="639" spans="1:5" x14ac:dyDescent="0.25">
      <c r="A639" s="36">
        <v>637</v>
      </c>
      <c r="B639" s="37">
        <v>1950239612</v>
      </c>
      <c r="C639" s="38">
        <v>0.90815108870535677</v>
      </c>
      <c r="D639" s="14" t="s">
        <v>680</v>
      </c>
      <c r="E639" s="14" t="s">
        <v>40</v>
      </c>
    </row>
    <row r="640" spans="1:5" x14ac:dyDescent="0.25">
      <c r="A640" s="36">
        <v>638</v>
      </c>
      <c r="B640" s="37">
        <v>1423917443</v>
      </c>
      <c r="C640" s="38">
        <v>0.66306322983608734</v>
      </c>
      <c r="D640" s="14" t="s">
        <v>681</v>
      </c>
      <c r="E640" s="14" t="s">
        <v>43</v>
      </c>
    </row>
    <row r="641" spans="1:5" x14ac:dyDescent="0.25">
      <c r="A641" s="36">
        <v>639</v>
      </c>
      <c r="B641" s="37">
        <v>1706774603</v>
      </c>
      <c r="C641" s="38">
        <v>0.79477885914723334</v>
      </c>
      <c r="D641" s="14" t="s">
        <v>682</v>
      </c>
      <c r="E641" s="14" t="s">
        <v>46</v>
      </c>
    </row>
    <row r="642" spans="1:5" x14ac:dyDescent="0.25">
      <c r="A642" s="36">
        <v>640</v>
      </c>
      <c r="B642" s="37">
        <v>1616320735</v>
      </c>
      <c r="C642" s="38">
        <v>0.75265799451277493</v>
      </c>
      <c r="D642" s="14" t="s">
        <v>683</v>
      </c>
      <c r="E642" s="14" t="s">
        <v>48</v>
      </c>
    </row>
    <row r="643" spans="1:5" x14ac:dyDescent="0.25">
      <c r="A643" s="36">
        <v>641</v>
      </c>
      <c r="B643" s="37">
        <v>1117662852</v>
      </c>
      <c r="C643" s="38">
        <v>0.52045232268071373</v>
      </c>
      <c r="D643" s="14" t="s">
        <v>684</v>
      </c>
      <c r="E643" s="14" t="s">
        <v>37</v>
      </c>
    </row>
    <row r="644" spans="1:5" x14ac:dyDescent="0.25">
      <c r="A644" s="36">
        <v>642</v>
      </c>
      <c r="B644" s="37">
        <v>804331541</v>
      </c>
      <c r="C644" s="38">
        <v>0.37454606097868925</v>
      </c>
      <c r="D644" s="14" t="s">
        <v>685</v>
      </c>
      <c r="E644" s="14" t="s">
        <v>40</v>
      </c>
    </row>
    <row r="645" spans="1:5" x14ac:dyDescent="0.25">
      <c r="A645" s="36">
        <v>643</v>
      </c>
      <c r="B645" s="37">
        <v>1619817921</v>
      </c>
      <c r="C645" s="38">
        <v>0.75428649864824793</v>
      </c>
      <c r="D645" s="14" t="s">
        <v>686</v>
      </c>
      <c r="E645" s="14" t="s">
        <v>43</v>
      </c>
    </row>
    <row r="646" spans="1:5" x14ac:dyDescent="0.25">
      <c r="A646" s="36">
        <v>644</v>
      </c>
      <c r="B646" s="37">
        <v>443022485</v>
      </c>
      <c r="C646" s="38">
        <v>0.20629842076743879</v>
      </c>
      <c r="D646" s="14" t="s">
        <v>687</v>
      </c>
      <c r="E646" s="14" t="s">
        <v>46</v>
      </c>
    </row>
    <row r="647" spans="1:5" x14ac:dyDescent="0.25">
      <c r="A647" s="36">
        <v>645</v>
      </c>
      <c r="B647" s="37">
        <v>753689165</v>
      </c>
      <c r="C647" s="38">
        <v>0.35096386696722537</v>
      </c>
      <c r="D647" s="14" t="s">
        <v>688</v>
      </c>
      <c r="E647" s="14" t="s">
        <v>48</v>
      </c>
    </row>
    <row r="648" spans="1:5" x14ac:dyDescent="0.25">
      <c r="A648" s="36">
        <v>646</v>
      </c>
      <c r="B648" s="37">
        <v>1294502212</v>
      </c>
      <c r="C648" s="38">
        <v>0.60279956674333646</v>
      </c>
      <c r="D648" s="14" t="s">
        <v>689</v>
      </c>
      <c r="E648" s="14" t="s">
        <v>37</v>
      </c>
    </row>
    <row r="649" spans="1:5" x14ac:dyDescent="0.25">
      <c r="A649" s="36">
        <v>647</v>
      </c>
      <c r="B649" s="37">
        <v>904024898</v>
      </c>
      <c r="C649" s="38">
        <v>0.42096939795695681</v>
      </c>
      <c r="D649" s="14" t="s">
        <v>690</v>
      </c>
      <c r="E649" s="14" t="s">
        <v>40</v>
      </c>
    </row>
    <row r="650" spans="1:5" x14ac:dyDescent="0.25">
      <c r="A650" s="36">
        <v>648</v>
      </c>
      <c r="B650" s="37">
        <v>1201023715</v>
      </c>
      <c r="C650" s="38">
        <v>0.55927024947445381</v>
      </c>
      <c r="D650" s="14" t="s">
        <v>691</v>
      </c>
      <c r="E650" s="14" t="s">
        <v>43</v>
      </c>
    </row>
    <row r="651" spans="1:5" x14ac:dyDescent="0.25">
      <c r="A651" s="36">
        <v>649</v>
      </c>
      <c r="B651" s="37">
        <v>1683933005</v>
      </c>
      <c r="C651" s="38">
        <v>0.78414241121343453</v>
      </c>
      <c r="D651" s="14" t="s">
        <v>692</v>
      </c>
      <c r="E651" s="14" t="s">
        <v>46</v>
      </c>
    </row>
    <row r="652" spans="1:5" x14ac:dyDescent="0.25">
      <c r="A652" s="36">
        <v>650</v>
      </c>
      <c r="B652" s="37">
        <v>255896273</v>
      </c>
      <c r="C652" s="38">
        <v>0.11916098795792134</v>
      </c>
      <c r="D652" s="14" t="s">
        <v>693</v>
      </c>
      <c r="E652" s="14" t="s">
        <v>48</v>
      </c>
    </row>
    <row r="653" spans="1:5" x14ac:dyDescent="0.25">
      <c r="A653" s="36">
        <v>651</v>
      </c>
      <c r="B653" s="37">
        <v>1966271686</v>
      </c>
      <c r="C653" s="38">
        <v>0.91561660492588604</v>
      </c>
      <c r="D653" s="14" t="s">
        <v>694</v>
      </c>
      <c r="E653" s="14" t="s">
        <v>37</v>
      </c>
    </row>
    <row r="654" spans="1:5" x14ac:dyDescent="0.25">
      <c r="A654" s="36">
        <v>652</v>
      </c>
      <c r="B654" s="37">
        <v>432611024</v>
      </c>
      <c r="C654" s="38">
        <v>0.20145020643316686</v>
      </c>
      <c r="D654" s="14" t="s">
        <v>695</v>
      </c>
      <c r="E654" s="14" t="s">
        <v>40</v>
      </c>
    </row>
    <row r="655" spans="1:5" x14ac:dyDescent="0.25">
      <c r="A655" s="36">
        <v>653</v>
      </c>
      <c r="B655" s="37">
        <v>809599430</v>
      </c>
      <c r="C655" s="38">
        <v>0.37699911295296584</v>
      </c>
      <c r="D655" s="14" t="s">
        <v>696</v>
      </c>
      <c r="E655" s="14" t="s">
        <v>43</v>
      </c>
    </row>
    <row r="656" spans="1:5" x14ac:dyDescent="0.25">
      <c r="A656" s="36">
        <v>654</v>
      </c>
      <c r="B656" s="37">
        <v>1977024945</v>
      </c>
      <c r="C656" s="38">
        <v>0.92062398135691137</v>
      </c>
      <c r="D656" s="14" t="s">
        <v>697</v>
      </c>
      <c r="E656" s="14" t="s">
        <v>46</v>
      </c>
    </row>
    <row r="657" spans="1:5" x14ac:dyDescent="0.25">
      <c r="A657" s="36">
        <v>655</v>
      </c>
      <c r="B657" s="37">
        <v>224850254</v>
      </c>
      <c r="C657" s="38">
        <v>0.10470405877786877</v>
      </c>
      <c r="D657" s="14" t="s">
        <v>698</v>
      </c>
      <c r="E657" s="14" t="s">
        <v>48</v>
      </c>
    </row>
    <row r="658" spans="1:5" x14ac:dyDescent="0.25">
      <c r="A658" s="36">
        <v>656</v>
      </c>
      <c r="B658" s="37">
        <v>2137977119</v>
      </c>
      <c r="C658" s="38">
        <v>0.99557317793163158</v>
      </c>
      <c r="D658" s="14" t="s">
        <v>699</v>
      </c>
      <c r="E658" s="14" t="s">
        <v>37</v>
      </c>
    </row>
    <row r="659" spans="1:5" x14ac:dyDescent="0.25">
      <c r="A659" s="36">
        <v>657</v>
      </c>
      <c r="B659" s="37">
        <v>1967379766</v>
      </c>
      <c r="C659" s="38">
        <v>0.91613259488536636</v>
      </c>
      <c r="D659" s="14" t="s">
        <v>700</v>
      </c>
      <c r="E659" s="14" t="s">
        <v>40</v>
      </c>
    </row>
    <row r="660" spans="1:5" x14ac:dyDescent="0.25">
      <c r="A660" s="36">
        <v>658</v>
      </c>
      <c r="B660" s="37">
        <v>171020251</v>
      </c>
      <c r="C660" s="38">
        <v>7.9637510273436782E-2</v>
      </c>
      <c r="D660" s="14" t="s">
        <v>701</v>
      </c>
      <c r="E660" s="14" t="s">
        <v>43</v>
      </c>
    </row>
    <row r="661" spans="1:5" x14ac:dyDescent="0.25">
      <c r="A661" s="36">
        <v>659</v>
      </c>
      <c r="B661" s="37">
        <v>212437325</v>
      </c>
      <c r="C661" s="38">
        <v>9.8923838277777579E-2</v>
      </c>
      <c r="D661" s="14" t="s">
        <v>702</v>
      </c>
      <c r="E661" s="14" t="s">
        <v>46</v>
      </c>
    </row>
    <row r="662" spans="1:5" x14ac:dyDescent="0.25">
      <c r="A662" s="36">
        <v>660</v>
      </c>
      <c r="B662" s="37">
        <v>1447501181</v>
      </c>
      <c r="C662" s="38">
        <v>0.6740452636378097</v>
      </c>
      <c r="D662" s="14" t="s">
        <v>703</v>
      </c>
      <c r="E662" s="14" t="s">
        <v>48</v>
      </c>
    </row>
    <row r="663" spans="1:5" x14ac:dyDescent="0.25">
      <c r="A663" s="36">
        <v>661</v>
      </c>
      <c r="B663" s="37">
        <v>1427201893</v>
      </c>
      <c r="C663" s="38">
        <v>0.66459267105189745</v>
      </c>
      <c r="D663" s="14" t="s">
        <v>704</v>
      </c>
      <c r="E663" s="14" t="s">
        <v>37</v>
      </c>
    </row>
    <row r="664" spans="1:5" x14ac:dyDescent="0.25">
      <c r="A664" s="36">
        <v>662</v>
      </c>
      <c r="B664" s="37">
        <v>1262545591</v>
      </c>
      <c r="C664" s="38">
        <v>0.58791860546354135</v>
      </c>
      <c r="D664" s="14" t="s">
        <v>705</v>
      </c>
      <c r="E664" s="14" t="s">
        <v>40</v>
      </c>
    </row>
    <row r="665" spans="1:5" x14ac:dyDescent="0.25">
      <c r="A665" s="36">
        <v>663</v>
      </c>
      <c r="B665" s="37">
        <v>1479391063</v>
      </c>
      <c r="C665" s="38">
        <v>0.68889514714893663</v>
      </c>
      <c r="D665" s="14" t="s">
        <v>706</v>
      </c>
      <c r="E665" s="14" t="s">
        <v>43</v>
      </c>
    </row>
    <row r="666" spans="1:5" x14ac:dyDescent="0.25">
      <c r="A666" s="36">
        <v>664</v>
      </c>
      <c r="B666" s="37">
        <v>1432251397</v>
      </c>
      <c r="C666" s="38">
        <v>0.66694402958589794</v>
      </c>
      <c r="D666" s="14" t="s">
        <v>707</v>
      </c>
      <c r="E666" s="14" t="s">
        <v>46</v>
      </c>
    </row>
    <row r="667" spans="1:5" x14ac:dyDescent="0.25">
      <c r="A667" s="36">
        <v>665</v>
      </c>
      <c r="B667" s="37">
        <v>1037196833</v>
      </c>
      <c r="C667" s="38">
        <v>0.48298241267119646</v>
      </c>
      <c r="D667" s="14" t="s">
        <v>708</v>
      </c>
      <c r="E667" s="14" t="s">
        <v>48</v>
      </c>
    </row>
    <row r="668" spans="1:5" x14ac:dyDescent="0.25">
      <c r="A668" s="36">
        <v>666</v>
      </c>
      <c r="B668" s="37">
        <v>1659118956</v>
      </c>
      <c r="C668" s="38">
        <v>0.77258746920739652</v>
      </c>
      <c r="D668" s="14" t="s">
        <v>709</v>
      </c>
      <c r="E668" s="14" t="s">
        <v>37</v>
      </c>
    </row>
    <row r="669" spans="1:5" x14ac:dyDescent="0.25">
      <c r="A669" s="36">
        <v>667</v>
      </c>
      <c r="B669" s="37">
        <v>1351450946</v>
      </c>
      <c r="C669" s="38">
        <v>0.62931838754067126</v>
      </c>
      <c r="D669" s="14" t="s">
        <v>710</v>
      </c>
      <c r="E669" s="14" t="s">
        <v>40</v>
      </c>
    </row>
    <row r="670" spans="1:5" x14ac:dyDescent="0.25">
      <c r="A670" s="36">
        <v>668</v>
      </c>
      <c r="B670" s="37">
        <v>1419824021</v>
      </c>
      <c r="C670" s="38">
        <v>0.6611570816771859</v>
      </c>
      <c r="D670" s="14" t="s">
        <v>711</v>
      </c>
      <c r="E670" s="14" t="s">
        <v>43</v>
      </c>
    </row>
    <row r="671" spans="1:5" x14ac:dyDescent="0.25">
      <c r="A671" s="36">
        <v>669</v>
      </c>
      <c r="B671" s="37">
        <v>2069131984</v>
      </c>
      <c r="C671" s="38">
        <v>0.96351466372772798</v>
      </c>
      <c r="D671" s="14" t="s">
        <v>712</v>
      </c>
      <c r="E671" s="14" t="s">
        <v>46</v>
      </c>
    </row>
    <row r="672" spans="1:5" x14ac:dyDescent="0.25">
      <c r="A672" s="36">
        <v>670</v>
      </c>
      <c r="B672" s="37">
        <v>1541415105</v>
      </c>
      <c r="C672" s="38">
        <v>0.71777734240413515</v>
      </c>
      <c r="D672" s="14" t="s">
        <v>713</v>
      </c>
      <c r="E672" s="14" t="s">
        <v>48</v>
      </c>
    </row>
    <row r="673" spans="1:5" x14ac:dyDescent="0.25">
      <c r="A673" s="36">
        <v>671</v>
      </c>
      <c r="B673" s="37">
        <v>1724431922</v>
      </c>
      <c r="C673" s="38">
        <v>0.80300118904700557</v>
      </c>
      <c r="D673" s="14" t="s">
        <v>714</v>
      </c>
      <c r="E673" s="14" t="s">
        <v>37</v>
      </c>
    </row>
    <row r="674" spans="1:5" x14ac:dyDescent="0.25">
      <c r="A674" s="36">
        <v>672</v>
      </c>
      <c r="B674" s="37">
        <v>56552721</v>
      </c>
      <c r="C674" s="38">
        <v>2.6334412873878336E-2</v>
      </c>
      <c r="D674" s="14" t="s">
        <v>715</v>
      </c>
      <c r="E674" s="14" t="s">
        <v>40</v>
      </c>
    </row>
    <row r="675" spans="1:5" x14ac:dyDescent="0.25">
      <c r="A675" s="36">
        <v>673</v>
      </c>
      <c r="B675" s="37">
        <v>1633644150</v>
      </c>
      <c r="C675" s="38">
        <v>0.76072483824599757</v>
      </c>
      <c r="D675" s="14" t="s">
        <v>716</v>
      </c>
      <c r="E675" s="14" t="s">
        <v>43</v>
      </c>
    </row>
    <row r="676" spans="1:5" x14ac:dyDescent="0.25">
      <c r="A676" s="36">
        <v>674</v>
      </c>
      <c r="B676" s="37">
        <v>2112087458</v>
      </c>
      <c r="C676" s="38">
        <v>0.98351736505679666</v>
      </c>
      <c r="D676" s="14" t="s">
        <v>717</v>
      </c>
      <c r="E676" s="14" t="s">
        <v>46</v>
      </c>
    </row>
    <row r="677" spans="1:5" x14ac:dyDescent="0.25">
      <c r="A677" s="36">
        <v>675</v>
      </c>
      <c r="B677" s="37">
        <v>1533748090</v>
      </c>
      <c r="C677" s="38">
        <v>0.71420711032776496</v>
      </c>
      <c r="D677" s="14" t="s">
        <v>718</v>
      </c>
      <c r="E677" s="14" t="s">
        <v>48</v>
      </c>
    </row>
    <row r="678" spans="1:5" x14ac:dyDescent="0.25">
      <c r="A678" s="36">
        <v>676</v>
      </c>
      <c r="B678" s="37">
        <v>134119521</v>
      </c>
      <c r="C678" s="38">
        <v>6.2454268831039904E-2</v>
      </c>
      <c r="D678" s="14" t="s">
        <v>719</v>
      </c>
      <c r="E678" s="14" t="s">
        <v>37</v>
      </c>
    </row>
    <row r="679" spans="1:5" x14ac:dyDescent="0.25">
      <c r="A679" s="36">
        <v>677</v>
      </c>
      <c r="B679" s="37">
        <v>352105569</v>
      </c>
      <c r="C679" s="38">
        <v>0.16396193260511474</v>
      </c>
      <c r="D679" s="14" t="s">
        <v>720</v>
      </c>
      <c r="E679" s="14" t="s">
        <v>40</v>
      </c>
    </row>
    <row r="680" spans="1:5" x14ac:dyDescent="0.25">
      <c r="A680" s="36">
        <v>678</v>
      </c>
      <c r="B680" s="37">
        <v>446688355</v>
      </c>
      <c r="C680" s="38">
        <v>0.20800547451153653</v>
      </c>
      <c r="D680" s="14" t="s">
        <v>721</v>
      </c>
      <c r="E680" s="14" t="s">
        <v>43</v>
      </c>
    </row>
    <row r="681" spans="1:5" x14ac:dyDescent="0.25">
      <c r="A681" s="36">
        <v>679</v>
      </c>
      <c r="B681" s="37">
        <v>1684909788</v>
      </c>
      <c r="C681" s="38">
        <v>0.78459726124284657</v>
      </c>
      <c r="D681" s="14" t="s">
        <v>722</v>
      </c>
      <c r="E681" s="14" t="s">
        <v>46</v>
      </c>
    </row>
    <row r="682" spans="1:5" x14ac:dyDescent="0.25">
      <c r="A682" s="36">
        <v>680</v>
      </c>
      <c r="B682" s="37">
        <v>490498569</v>
      </c>
      <c r="C682" s="38">
        <v>0.22840619516950389</v>
      </c>
      <c r="D682" s="14" t="s">
        <v>723</v>
      </c>
      <c r="E682" s="14" t="s">
        <v>48</v>
      </c>
    </row>
    <row r="683" spans="1:5" x14ac:dyDescent="0.25">
      <c r="A683" s="36">
        <v>681</v>
      </c>
      <c r="B683" s="37">
        <v>631683312</v>
      </c>
      <c r="C683" s="38">
        <v>0.29415046437371078</v>
      </c>
      <c r="D683" s="14" t="s">
        <v>724</v>
      </c>
      <c r="E683" s="14" t="s">
        <v>37</v>
      </c>
    </row>
    <row r="684" spans="1:5" x14ac:dyDescent="0.25">
      <c r="A684" s="36">
        <v>682</v>
      </c>
      <c r="B684" s="37">
        <v>588083236</v>
      </c>
      <c r="C684" s="38">
        <v>0.27384759684738125</v>
      </c>
      <c r="D684" s="14" t="s">
        <v>725</v>
      </c>
      <c r="E684" s="14" t="s">
        <v>40</v>
      </c>
    </row>
    <row r="685" spans="1:5" x14ac:dyDescent="0.25">
      <c r="A685" s="36">
        <v>683</v>
      </c>
      <c r="B685" s="37">
        <v>1381429701</v>
      </c>
      <c r="C685" s="38">
        <v>0.64327833319235517</v>
      </c>
      <c r="D685" s="14" t="s">
        <v>726</v>
      </c>
      <c r="E685" s="14" t="s">
        <v>43</v>
      </c>
    </row>
    <row r="686" spans="1:5" x14ac:dyDescent="0.25">
      <c r="A686" s="36">
        <v>684</v>
      </c>
      <c r="B686" s="37">
        <v>729485057</v>
      </c>
      <c r="C686" s="38">
        <v>0.33969295087256141</v>
      </c>
      <c r="D686" s="14" t="s">
        <v>727</v>
      </c>
      <c r="E686" s="14" t="s">
        <v>46</v>
      </c>
    </row>
    <row r="687" spans="1:5" x14ac:dyDescent="0.25">
      <c r="A687" s="36">
        <v>685</v>
      </c>
      <c r="B687" s="37">
        <v>1892334879</v>
      </c>
      <c r="C687" s="38">
        <v>0.88118709618280977</v>
      </c>
      <c r="D687" s="14" t="s">
        <v>728</v>
      </c>
      <c r="E687" s="14" t="s">
        <v>48</v>
      </c>
    </row>
    <row r="688" spans="1:5" x14ac:dyDescent="0.25">
      <c r="A688" s="36">
        <v>686</v>
      </c>
      <c r="B688" s="37">
        <v>909265272</v>
      </c>
      <c r="C688" s="38">
        <v>0.42340963726090713</v>
      </c>
      <c r="D688" s="14" t="s">
        <v>729</v>
      </c>
      <c r="E688" s="14" t="s">
        <v>37</v>
      </c>
    </row>
    <row r="689" spans="1:5" x14ac:dyDescent="0.25">
      <c r="A689" s="36">
        <v>687</v>
      </c>
      <c r="B689" s="37">
        <v>855981951</v>
      </c>
      <c r="C689" s="38">
        <v>0.39859765740046166</v>
      </c>
      <c r="D689" s="14" t="s">
        <v>730</v>
      </c>
      <c r="E689" s="14" t="s">
        <v>40</v>
      </c>
    </row>
    <row r="690" spans="1:5" x14ac:dyDescent="0.25">
      <c r="A690" s="36">
        <v>688</v>
      </c>
      <c r="B690" s="37">
        <v>510715526</v>
      </c>
      <c r="C690" s="38">
        <v>0.23782044939595295</v>
      </c>
      <c r="D690" s="14" t="s">
        <v>731</v>
      </c>
      <c r="E690" s="14" t="s">
        <v>43</v>
      </c>
    </row>
    <row r="691" spans="1:5" x14ac:dyDescent="0.25">
      <c r="A691" s="36">
        <v>689</v>
      </c>
      <c r="B691" s="37">
        <v>1193285247</v>
      </c>
      <c r="C691" s="38">
        <v>0.55566674450210607</v>
      </c>
      <c r="D691" s="14" t="s">
        <v>732</v>
      </c>
      <c r="E691" s="14" t="s">
        <v>46</v>
      </c>
    </row>
    <row r="692" spans="1:5" x14ac:dyDescent="0.25">
      <c r="A692" s="36">
        <v>690</v>
      </c>
      <c r="B692" s="37">
        <v>1417400011</v>
      </c>
      <c r="C692" s="38">
        <v>0.66002831405961337</v>
      </c>
      <c r="D692" s="14" t="s">
        <v>733</v>
      </c>
      <c r="E692" s="14" t="s">
        <v>48</v>
      </c>
    </row>
    <row r="693" spans="1:5" x14ac:dyDescent="0.25">
      <c r="A693" s="36">
        <v>691</v>
      </c>
      <c r="B693" s="37">
        <v>218175800</v>
      </c>
      <c r="C693" s="38">
        <v>0.1015960239347052</v>
      </c>
      <c r="D693" s="14" t="s">
        <v>734</v>
      </c>
      <c r="E693" s="14" t="s">
        <v>37</v>
      </c>
    </row>
    <row r="694" spans="1:5" x14ac:dyDescent="0.25">
      <c r="A694" s="36">
        <v>692</v>
      </c>
      <c r="B694" s="37">
        <v>1275338700</v>
      </c>
      <c r="C694" s="38">
        <v>0.59387586107192369</v>
      </c>
      <c r="D694" s="14" t="s">
        <v>735</v>
      </c>
      <c r="E694" s="14" t="s">
        <v>40</v>
      </c>
    </row>
    <row r="695" spans="1:5" x14ac:dyDescent="0.25">
      <c r="A695" s="36">
        <v>693</v>
      </c>
      <c r="B695" s="37">
        <v>1481305636</v>
      </c>
      <c r="C695" s="38">
        <v>0.68978668967717638</v>
      </c>
      <c r="D695" s="14" t="s">
        <v>736</v>
      </c>
      <c r="E695" s="14" t="s">
        <v>43</v>
      </c>
    </row>
    <row r="696" spans="1:5" x14ac:dyDescent="0.25">
      <c r="A696" s="36">
        <v>694</v>
      </c>
      <c r="B696" s="37">
        <v>1421142074</v>
      </c>
      <c r="C696" s="38">
        <v>0.6617708479341915</v>
      </c>
      <c r="D696" s="14" t="s">
        <v>737</v>
      </c>
      <c r="E696" s="14" t="s">
        <v>46</v>
      </c>
    </row>
    <row r="697" spans="1:5" x14ac:dyDescent="0.25">
      <c r="A697" s="36">
        <v>695</v>
      </c>
      <c r="B697" s="37">
        <v>1273014575</v>
      </c>
      <c r="C697" s="38">
        <v>0.59279360603205566</v>
      </c>
      <c r="D697" s="14" t="s">
        <v>738</v>
      </c>
      <c r="E697" s="14" t="s">
        <v>48</v>
      </c>
    </row>
    <row r="698" spans="1:5" x14ac:dyDescent="0.25">
      <c r="A698" s="36">
        <v>696</v>
      </c>
      <c r="B698" s="37">
        <v>535188258</v>
      </c>
      <c r="C698" s="38">
        <v>0.24921645328831693</v>
      </c>
      <c r="D698" s="14" t="s">
        <v>739</v>
      </c>
      <c r="E698" s="14" t="s">
        <v>37</v>
      </c>
    </row>
    <row r="699" spans="1:5" x14ac:dyDescent="0.25">
      <c r="A699" s="36">
        <v>697</v>
      </c>
      <c r="B699" s="37">
        <v>1050217604</v>
      </c>
      <c r="C699" s="38">
        <v>0.4890456816596192</v>
      </c>
      <c r="D699" s="14" t="s">
        <v>740</v>
      </c>
      <c r="E699" s="14" t="s">
        <v>40</v>
      </c>
    </row>
    <row r="700" spans="1:5" x14ac:dyDescent="0.25">
      <c r="A700" s="36">
        <v>698</v>
      </c>
      <c r="B700" s="37">
        <v>505518560</v>
      </c>
      <c r="C700" s="38">
        <v>0.2354004235171715</v>
      </c>
      <c r="D700" s="14" t="s">
        <v>741</v>
      </c>
      <c r="E700" s="14" t="s">
        <v>43</v>
      </c>
    </row>
    <row r="701" spans="1:5" x14ac:dyDescent="0.25">
      <c r="A701" s="36">
        <v>699</v>
      </c>
      <c r="B701" s="37">
        <v>777584213</v>
      </c>
      <c r="C701" s="38">
        <v>0.362090865784367</v>
      </c>
      <c r="D701" s="14" t="s">
        <v>742</v>
      </c>
      <c r="E701" s="14" t="s">
        <v>46</v>
      </c>
    </row>
    <row r="702" spans="1:5" x14ac:dyDescent="0.25">
      <c r="A702" s="36">
        <v>700</v>
      </c>
      <c r="B702" s="37">
        <v>1654648325</v>
      </c>
      <c r="C702" s="38">
        <v>0.77050566941988918</v>
      </c>
      <c r="D702" s="14" t="s">
        <v>743</v>
      </c>
      <c r="E702" s="14" t="s">
        <v>48</v>
      </c>
    </row>
    <row r="703" spans="1:5" x14ac:dyDescent="0.25">
      <c r="A703" s="36">
        <v>701</v>
      </c>
      <c r="B703" s="37">
        <v>905222526</v>
      </c>
      <c r="C703" s="38">
        <v>0.42152708695341229</v>
      </c>
      <c r="D703" s="14" t="s">
        <v>744</v>
      </c>
      <c r="E703" s="14" t="s">
        <v>37</v>
      </c>
    </row>
    <row r="704" spans="1:5" x14ac:dyDescent="0.25">
      <c r="A704" s="36">
        <v>702</v>
      </c>
      <c r="B704" s="37">
        <v>1817945999</v>
      </c>
      <c r="C704" s="38">
        <v>0.84654707454449829</v>
      </c>
      <c r="D704" s="14" t="s">
        <v>745</v>
      </c>
      <c r="E704" s="14" t="s">
        <v>40</v>
      </c>
    </row>
    <row r="705" spans="1:5" x14ac:dyDescent="0.25">
      <c r="A705" s="36">
        <v>703</v>
      </c>
      <c r="B705" s="37">
        <v>518385645</v>
      </c>
      <c r="C705" s="38">
        <v>0.2413921268849597</v>
      </c>
      <c r="D705" s="14" t="s">
        <v>746</v>
      </c>
      <c r="E705" s="14" t="s">
        <v>43</v>
      </c>
    </row>
    <row r="706" spans="1:5" x14ac:dyDescent="0.25">
      <c r="A706" s="36">
        <v>704</v>
      </c>
      <c r="B706" s="37">
        <v>1507832307</v>
      </c>
      <c r="C706" s="38">
        <v>0.70213913344877732</v>
      </c>
      <c r="D706" s="14" t="s">
        <v>747</v>
      </c>
      <c r="E706" s="14" t="s">
        <v>46</v>
      </c>
    </row>
    <row r="707" spans="1:5" x14ac:dyDescent="0.25">
      <c r="A707" s="36">
        <v>705</v>
      </c>
      <c r="B707" s="37">
        <v>1316922382</v>
      </c>
      <c r="C707" s="38">
        <v>0.61323977197205637</v>
      </c>
      <c r="D707" s="14" t="s">
        <v>748</v>
      </c>
      <c r="E707" s="14" t="s">
        <v>48</v>
      </c>
    </row>
    <row r="708" spans="1:5" x14ac:dyDescent="0.25">
      <c r="A708" s="36">
        <v>706</v>
      </c>
      <c r="B708" s="37">
        <v>866676582</v>
      </c>
      <c r="C708" s="38">
        <v>0.40357773304152195</v>
      </c>
      <c r="D708" s="14" t="s">
        <v>749</v>
      </c>
      <c r="E708" s="14" t="s">
        <v>37</v>
      </c>
    </row>
    <row r="709" spans="1:5" x14ac:dyDescent="0.25">
      <c r="A709" s="36">
        <v>707</v>
      </c>
      <c r="B709" s="37">
        <v>1499430818</v>
      </c>
      <c r="C709" s="38">
        <v>0.69822688526391374</v>
      </c>
      <c r="D709" s="14" t="s">
        <v>750</v>
      </c>
      <c r="E709" s="14" t="s">
        <v>40</v>
      </c>
    </row>
    <row r="710" spans="1:5" x14ac:dyDescent="0.25">
      <c r="A710" s="36">
        <v>708</v>
      </c>
      <c r="B710" s="37">
        <v>1241953921</v>
      </c>
      <c r="C710" s="38">
        <v>0.5783298618990601</v>
      </c>
      <c r="D710" s="14" t="s">
        <v>751</v>
      </c>
      <c r="E710" s="14" t="s">
        <v>43</v>
      </c>
    </row>
    <row r="711" spans="1:5" x14ac:dyDescent="0.25">
      <c r="A711" s="36">
        <v>709</v>
      </c>
      <c r="B711" s="37">
        <v>2116374080</v>
      </c>
      <c r="C711" s="38">
        <v>0.98551347897644781</v>
      </c>
      <c r="D711" s="14" t="s">
        <v>752</v>
      </c>
      <c r="E711" s="14" t="s">
        <v>46</v>
      </c>
    </row>
    <row r="712" spans="1:5" x14ac:dyDescent="0.25">
      <c r="A712" s="36">
        <v>710</v>
      </c>
      <c r="B712" s="37">
        <v>635073659</v>
      </c>
      <c r="C712" s="38">
        <v>0.29572921772288585</v>
      </c>
      <c r="D712" s="14" t="s">
        <v>753</v>
      </c>
      <c r="E712" s="14" t="s">
        <v>48</v>
      </c>
    </row>
    <row r="713" spans="1:5" x14ac:dyDescent="0.25">
      <c r="A713" s="36">
        <v>711</v>
      </c>
      <c r="B713" s="37">
        <v>318399095</v>
      </c>
      <c r="C713" s="38">
        <v>0.14826613252436097</v>
      </c>
      <c r="D713" s="14" t="s">
        <v>754</v>
      </c>
      <c r="E713" s="14" t="s">
        <v>37</v>
      </c>
    </row>
    <row r="714" spans="1:5" x14ac:dyDescent="0.25">
      <c r="A714" s="36">
        <v>712</v>
      </c>
      <c r="B714" s="37">
        <v>335815027</v>
      </c>
      <c r="C714" s="38">
        <v>0.1563760578429215</v>
      </c>
      <c r="D714" s="14" t="s">
        <v>755</v>
      </c>
      <c r="E714" s="14" t="s">
        <v>40</v>
      </c>
    </row>
    <row r="715" spans="1:5" x14ac:dyDescent="0.25">
      <c r="A715" s="36">
        <v>713</v>
      </c>
      <c r="B715" s="37">
        <v>708276474</v>
      </c>
      <c r="C715" s="38">
        <v>0.32981693480620949</v>
      </c>
      <c r="D715" s="14" t="s">
        <v>756</v>
      </c>
      <c r="E715" s="14" t="s">
        <v>43</v>
      </c>
    </row>
    <row r="716" spans="1:5" x14ac:dyDescent="0.25">
      <c r="A716" s="36">
        <v>714</v>
      </c>
      <c r="B716" s="37">
        <v>11906190</v>
      </c>
      <c r="C716" s="38">
        <v>5.5442517649122759E-3</v>
      </c>
      <c r="D716" s="14" t="s">
        <v>757</v>
      </c>
      <c r="E716" s="14" t="s">
        <v>46</v>
      </c>
    </row>
    <row r="717" spans="1:5" x14ac:dyDescent="0.25">
      <c r="A717" s="36">
        <v>715</v>
      </c>
      <c r="B717" s="37">
        <v>38235810</v>
      </c>
      <c r="C717" s="38">
        <v>1.7804936514145199E-2</v>
      </c>
      <c r="D717" s="14" t="s">
        <v>758</v>
      </c>
      <c r="E717" s="14" t="s">
        <v>48</v>
      </c>
    </row>
    <row r="718" spans="1:5" x14ac:dyDescent="0.25">
      <c r="A718" s="36">
        <v>716</v>
      </c>
      <c r="B718" s="37">
        <v>502698334</v>
      </c>
      <c r="C718" s="38">
        <v>0.2340871534469012</v>
      </c>
      <c r="D718" s="14" t="s">
        <v>759</v>
      </c>
      <c r="E718" s="14" t="s">
        <v>37</v>
      </c>
    </row>
    <row r="719" spans="1:5" x14ac:dyDescent="0.25">
      <c r="A719" s="36">
        <v>717</v>
      </c>
      <c r="B719" s="37">
        <v>840153905</v>
      </c>
      <c r="C719" s="38">
        <v>0.3912271491211034</v>
      </c>
      <c r="D719" s="14" t="s">
        <v>760</v>
      </c>
      <c r="E719" s="14" t="s">
        <v>40</v>
      </c>
    </row>
    <row r="720" spans="1:5" x14ac:dyDescent="0.25">
      <c r="A720" s="36">
        <v>718</v>
      </c>
      <c r="B720" s="37">
        <v>1809312419</v>
      </c>
      <c r="C720" s="38">
        <v>0.84252675056575177</v>
      </c>
      <c r="D720" s="14" t="s">
        <v>761</v>
      </c>
      <c r="E720" s="14" t="s">
        <v>43</v>
      </c>
    </row>
    <row r="721" spans="1:5" x14ac:dyDescent="0.25">
      <c r="A721" s="36">
        <v>719</v>
      </c>
      <c r="B721" s="37">
        <v>669201869</v>
      </c>
      <c r="C721" s="38">
        <v>0.31162140393239512</v>
      </c>
      <c r="D721" s="14" t="s">
        <v>762</v>
      </c>
      <c r="E721" s="14" t="s">
        <v>46</v>
      </c>
    </row>
    <row r="722" spans="1:5" x14ac:dyDescent="0.25">
      <c r="A722" s="36">
        <v>720</v>
      </c>
      <c r="B722" s="37">
        <v>192235254</v>
      </c>
      <c r="C722" s="38">
        <v>8.9516515885254611E-2</v>
      </c>
      <c r="D722" s="14" t="s">
        <v>763</v>
      </c>
      <c r="E722" s="14" t="s">
        <v>48</v>
      </c>
    </row>
    <row r="723" spans="1:5" x14ac:dyDescent="0.25">
      <c r="A723" s="36">
        <v>721</v>
      </c>
      <c r="B723" s="37">
        <v>2041698279</v>
      </c>
      <c r="C723" s="38">
        <v>0.95073984933585853</v>
      </c>
      <c r="D723" s="14" t="s">
        <v>764</v>
      </c>
      <c r="E723" s="14" t="s">
        <v>37</v>
      </c>
    </row>
    <row r="724" spans="1:5" x14ac:dyDescent="0.25">
      <c r="A724" s="36">
        <v>722</v>
      </c>
      <c r="B724" s="37">
        <v>1545869788</v>
      </c>
      <c r="C724" s="38">
        <v>0.71985171582542906</v>
      </c>
      <c r="D724" s="14" t="s">
        <v>765</v>
      </c>
      <c r="E724" s="14" t="s">
        <v>40</v>
      </c>
    </row>
    <row r="725" spans="1:5" x14ac:dyDescent="0.25">
      <c r="A725" s="36">
        <v>723</v>
      </c>
      <c r="B725" s="37">
        <v>1394619406</v>
      </c>
      <c r="C725" s="38">
        <v>0.64942026820472454</v>
      </c>
      <c r="D725" s="14" t="s">
        <v>766</v>
      </c>
      <c r="E725" s="14" t="s">
        <v>43</v>
      </c>
    </row>
    <row r="726" spans="1:5" x14ac:dyDescent="0.25">
      <c r="A726" s="36">
        <v>724</v>
      </c>
      <c r="B726" s="37">
        <v>1597876901</v>
      </c>
      <c r="C726" s="38">
        <v>0.74406941502544532</v>
      </c>
      <c r="D726" s="14" t="s">
        <v>767</v>
      </c>
      <c r="E726" s="14" t="s">
        <v>46</v>
      </c>
    </row>
    <row r="727" spans="1:5" x14ac:dyDescent="0.25">
      <c r="A727" s="36">
        <v>725</v>
      </c>
      <c r="B727" s="37">
        <v>1321091514</v>
      </c>
      <c r="C727" s="38">
        <v>0.61518117534703631</v>
      </c>
      <c r="D727" s="14" t="s">
        <v>768</v>
      </c>
      <c r="E727" s="14" t="s">
        <v>48</v>
      </c>
    </row>
    <row r="728" spans="1:5" x14ac:dyDescent="0.25">
      <c r="A728" s="36">
        <v>726</v>
      </c>
      <c r="B728" s="37">
        <v>1971455425</v>
      </c>
      <c r="C728" s="38">
        <v>0.91803047150281747</v>
      </c>
      <c r="D728" s="14" t="s">
        <v>769</v>
      </c>
      <c r="E728" s="14" t="s">
        <v>37</v>
      </c>
    </row>
    <row r="729" spans="1:5" x14ac:dyDescent="0.25">
      <c r="A729" s="36">
        <v>727</v>
      </c>
      <c r="B729" s="37">
        <v>306476353</v>
      </c>
      <c r="C729" s="38">
        <v>0.1427141731338176</v>
      </c>
      <c r="D729" s="14" t="s">
        <v>770</v>
      </c>
      <c r="E729" s="14" t="s">
        <v>40</v>
      </c>
    </row>
    <row r="730" spans="1:5" x14ac:dyDescent="0.25">
      <c r="A730" s="36">
        <v>728</v>
      </c>
      <c r="B730" s="37">
        <v>1677553051</v>
      </c>
      <c r="C730" s="38">
        <v>0.78117151361944692</v>
      </c>
      <c r="D730" s="14" t="s">
        <v>771</v>
      </c>
      <c r="E730" s="14" t="s">
        <v>43</v>
      </c>
    </row>
    <row r="731" spans="1:5" x14ac:dyDescent="0.25">
      <c r="A731" s="36">
        <v>729</v>
      </c>
      <c r="B731" s="37">
        <v>2117082485</v>
      </c>
      <c r="C731" s="38">
        <v>0.9858433557608367</v>
      </c>
      <c r="D731" s="14" t="s">
        <v>772</v>
      </c>
      <c r="E731" s="14" t="s">
        <v>46</v>
      </c>
    </row>
    <row r="732" spans="1:5" x14ac:dyDescent="0.25">
      <c r="A732" s="36">
        <v>730</v>
      </c>
      <c r="B732" s="37">
        <v>824384081</v>
      </c>
      <c r="C732" s="38">
        <v>0.38388375257322738</v>
      </c>
      <c r="D732" s="14" t="s">
        <v>773</v>
      </c>
      <c r="E732" s="14" t="s">
        <v>48</v>
      </c>
    </row>
    <row r="733" spans="1:5" x14ac:dyDescent="0.25">
      <c r="A733" s="36">
        <v>731</v>
      </c>
      <c r="B733" s="37">
        <v>1235636100</v>
      </c>
      <c r="C733" s="38">
        <v>0.57538789723785033</v>
      </c>
      <c r="D733" s="14" t="s">
        <v>774</v>
      </c>
      <c r="E733" s="14" t="s">
        <v>37</v>
      </c>
    </row>
    <row r="734" spans="1:5" x14ac:dyDescent="0.25">
      <c r="A734" s="36">
        <v>732</v>
      </c>
      <c r="B734" s="37">
        <v>25309767</v>
      </c>
      <c r="C734" s="38">
        <v>1.1785778688167119E-2</v>
      </c>
      <c r="D734" s="14" t="s">
        <v>775</v>
      </c>
      <c r="E734" s="14" t="s">
        <v>40</v>
      </c>
    </row>
    <row r="735" spans="1:5" x14ac:dyDescent="0.25">
      <c r="A735" s="36">
        <v>733</v>
      </c>
      <c r="B735" s="37">
        <v>419633052</v>
      </c>
      <c r="C735" s="38">
        <v>0.1954068672821889</v>
      </c>
      <c r="D735" s="14" t="s">
        <v>776</v>
      </c>
      <c r="E735" s="14" t="s">
        <v>43</v>
      </c>
    </row>
    <row r="736" spans="1:5" x14ac:dyDescent="0.25">
      <c r="A736" s="36">
        <v>734</v>
      </c>
      <c r="B736" s="37">
        <v>188761303</v>
      </c>
      <c r="C736" s="38">
        <v>8.7898831389797302E-2</v>
      </c>
      <c r="D736" s="14" t="s">
        <v>777</v>
      </c>
      <c r="E736" s="14" t="s">
        <v>46</v>
      </c>
    </row>
    <row r="737" spans="1:5" x14ac:dyDescent="0.25">
      <c r="A737" s="36">
        <v>735</v>
      </c>
      <c r="B737" s="37">
        <v>589387728</v>
      </c>
      <c r="C737" s="38">
        <v>0.27445504827166678</v>
      </c>
      <c r="D737" s="14" t="s">
        <v>778</v>
      </c>
      <c r="E737" s="14" t="s">
        <v>48</v>
      </c>
    </row>
    <row r="738" spans="1:5" x14ac:dyDescent="0.25">
      <c r="A738" s="36">
        <v>736</v>
      </c>
      <c r="B738" s="37">
        <v>1635008884</v>
      </c>
      <c r="C738" s="38">
        <v>0.7613603420375662</v>
      </c>
      <c r="D738" s="14" t="s">
        <v>779</v>
      </c>
      <c r="E738" s="14" t="s">
        <v>37</v>
      </c>
    </row>
    <row r="739" spans="1:5" x14ac:dyDescent="0.25">
      <c r="A739" s="36">
        <v>737</v>
      </c>
      <c r="B739" s="37">
        <v>1708250282</v>
      </c>
      <c r="C739" s="38">
        <v>0.7954660257303463</v>
      </c>
      <c r="D739" s="14" t="s">
        <v>780</v>
      </c>
      <c r="E739" s="14" t="s">
        <v>40</v>
      </c>
    </row>
    <row r="740" spans="1:5" x14ac:dyDescent="0.25">
      <c r="A740" s="36">
        <v>738</v>
      </c>
      <c r="B740" s="37">
        <v>1199616042</v>
      </c>
      <c r="C740" s="38">
        <v>0.55861475065286026</v>
      </c>
      <c r="D740" s="14" t="s">
        <v>781</v>
      </c>
      <c r="E740" s="14" t="s">
        <v>43</v>
      </c>
    </row>
    <row r="741" spans="1:5" x14ac:dyDescent="0.25">
      <c r="A741" s="36">
        <v>739</v>
      </c>
      <c r="B741" s="37">
        <v>1481691557</v>
      </c>
      <c r="C741" s="38">
        <v>0.68996639814691918</v>
      </c>
      <c r="D741" s="14" t="s">
        <v>782</v>
      </c>
      <c r="E741" s="14" t="s">
        <v>46</v>
      </c>
    </row>
    <row r="742" spans="1:5" x14ac:dyDescent="0.25">
      <c r="A742" s="36">
        <v>740</v>
      </c>
      <c r="B742" s="37">
        <v>1698684146</v>
      </c>
      <c r="C742" s="38">
        <v>0.79101144652395106</v>
      </c>
      <c r="D742" s="14" t="s">
        <v>783</v>
      </c>
      <c r="E742" s="14" t="s">
        <v>48</v>
      </c>
    </row>
    <row r="743" spans="1:5" x14ac:dyDescent="0.25">
      <c r="A743" s="36">
        <v>741</v>
      </c>
      <c r="B743" s="37">
        <v>1718333147</v>
      </c>
      <c r="C743" s="38">
        <v>0.80016122562818282</v>
      </c>
      <c r="D743" s="14" t="s">
        <v>784</v>
      </c>
      <c r="E743" s="14" t="s">
        <v>37</v>
      </c>
    </row>
    <row r="744" spans="1:5" x14ac:dyDescent="0.25">
      <c r="A744" s="36">
        <v>742</v>
      </c>
      <c r="B744" s="37">
        <v>1795778862</v>
      </c>
      <c r="C744" s="38">
        <v>0.83622469698834456</v>
      </c>
      <c r="D744" s="14" t="s">
        <v>785</v>
      </c>
      <c r="E744" s="14" t="s">
        <v>40</v>
      </c>
    </row>
    <row r="745" spans="1:5" x14ac:dyDescent="0.25">
      <c r="A745" s="36">
        <v>743</v>
      </c>
      <c r="B745" s="37">
        <v>828693474</v>
      </c>
      <c r="C745" s="38">
        <v>0.38589047006605681</v>
      </c>
      <c r="D745" s="14" t="s">
        <v>786</v>
      </c>
      <c r="E745" s="14" t="s">
        <v>43</v>
      </c>
    </row>
    <row r="746" spans="1:5" x14ac:dyDescent="0.25">
      <c r="A746" s="36">
        <v>744</v>
      </c>
      <c r="B746" s="37">
        <v>1732638445</v>
      </c>
      <c r="C746" s="38">
        <v>0.80682264911328561</v>
      </c>
      <c r="D746" s="14" t="s">
        <v>787</v>
      </c>
      <c r="E746" s="14" t="s">
        <v>46</v>
      </c>
    </row>
    <row r="747" spans="1:5" x14ac:dyDescent="0.25">
      <c r="A747" s="36">
        <v>745</v>
      </c>
      <c r="B747" s="37">
        <v>2023254376</v>
      </c>
      <c r="C747" s="38">
        <v>0.9421512377179001</v>
      </c>
      <c r="D747" s="14" t="s">
        <v>788</v>
      </c>
      <c r="E747" s="14" t="s">
        <v>48</v>
      </c>
    </row>
    <row r="748" spans="1:5" x14ac:dyDescent="0.25">
      <c r="A748" s="36">
        <v>746</v>
      </c>
      <c r="B748" s="37">
        <v>1634446225</v>
      </c>
      <c r="C748" s="38">
        <v>0.7610983335231889</v>
      </c>
      <c r="D748" s="14" t="s">
        <v>789</v>
      </c>
      <c r="E748" s="14" t="s">
        <v>37</v>
      </c>
    </row>
    <row r="749" spans="1:5" x14ac:dyDescent="0.25">
      <c r="A749" s="36">
        <v>747</v>
      </c>
      <c r="B749" s="37">
        <v>1451148399</v>
      </c>
      <c r="C749" s="38">
        <v>0.67574363186757247</v>
      </c>
      <c r="D749" s="14" t="s">
        <v>790</v>
      </c>
      <c r="E749" s="14" t="s">
        <v>40</v>
      </c>
    </row>
    <row r="750" spans="1:5" x14ac:dyDescent="0.25">
      <c r="A750" s="36">
        <v>748</v>
      </c>
      <c r="B750" s="37">
        <v>1376473274</v>
      </c>
      <c r="C750" s="38">
        <v>0.64097031701401352</v>
      </c>
      <c r="D750" s="14" t="s">
        <v>791</v>
      </c>
      <c r="E750" s="14" t="s">
        <v>43</v>
      </c>
    </row>
    <row r="751" spans="1:5" x14ac:dyDescent="0.25">
      <c r="A751" s="36">
        <v>749</v>
      </c>
      <c r="B751" s="37">
        <v>1265004656</v>
      </c>
      <c r="C751" s="38">
        <v>0.589063696837548</v>
      </c>
      <c r="D751" s="14" t="s">
        <v>792</v>
      </c>
      <c r="E751" s="14" t="s">
        <v>46</v>
      </c>
    </row>
    <row r="752" spans="1:5" x14ac:dyDescent="0.25">
      <c r="A752" s="36">
        <v>750</v>
      </c>
      <c r="B752" s="37">
        <v>1550729006</v>
      </c>
      <c r="C752" s="38">
        <v>0.72211446553567171</v>
      </c>
      <c r="D752" s="14" t="s">
        <v>793</v>
      </c>
      <c r="E752" s="14" t="s">
        <v>48</v>
      </c>
    </row>
    <row r="753" spans="1:5" x14ac:dyDescent="0.25">
      <c r="A753" s="36">
        <v>751</v>
      </c>
      <c r="B753" s="37">
        <v>113562607</v>
      </c>
      <c r="C753" s="38">
        <v>5.2881709790267843E-2</v>
      </c>
      <c r="D753" s="14" t="s">
        <v>794</v>
      </c>
      <c r="E753" s="14" t="s">
        <v>37</v>
      </c>
    </row>
    <row r="754" spans="1:5" x14ac:dyDescent="0.25">
      <c r="A754" s="36">
        <v>752</v>
      </c>
      <c r="B754" s="37">
        <v>859261017</v>
      </c>
      <c r="C754" s="38">
        <v>0.40012459149589974</v>
      </c>
      <c r="D754" s="14" t="s">
        <v>795</v>
      </c>
      <c r="E754" s="14" t="s">
        <v>40</v>
      </c>
    </row>
    <row r="755" spans="1:5" x14ac:dyDescent="0.25">
      <c r="A755" s="36">
        <v>753</v>
      </c>
      <c r="B755" s="37">
        <v>1842102149</v>
      </c>
      <c r="C755" s="38">
        <v>0.85779565845513517</v>
      </c>
      <c r="D755" s="14" t="s">
        <v>796</v>
      </c>
      <c r="E755" s="14" t="s">
        <v>43</v>
      </c>
    </row>
    <row r="756" spans="1:5" x14ac:dyDescent="0.25">
      <c r="A756" s="36">
        <v>754</v>
      </c>
      <c r="B756" s="37">
        <v>1697641614</v>
      </c>
      <c r="C756" s="38">
        <v>0.7905259797305455</v>
      </c>
      <c r="D756" s="14" t="s">
        <v>797</v>
      </c>
      <c r="E756" s="14" t="s">
        <v>46</v>
      </c>
    </row>
    <row r="757" spans="1:5" x14ac:dyDescent="0.25">
      <c r="A757" s="36">
        <v>755</v>
      </c>
      <c r="B757" s="37">
        <v>1564542623</v>
      </c>
      <c r="C757" s="38">
        <v>0.72854693221326305</v>
      </c>
      <c r="D757" s="14" t="s">
        <v>798</v>
      </c>
      <c r="E757" s="14" t="s">
        <v>48</v>
      </c>
    </row>
    <row r="758" spans="1:5" x14ac:dyDescent="0.25">
      <c r="A758" s="36">
        <v>756</v>
      </c>
      <c r="B758" s="37">
        <v>116991103</v>
      </c>
      <c r="C758" s="38">
        <v>5.4478227651900718E-2</v>
      </c>
      <c r="D758" s="14" t="s">
        <v>799</v>
      </c>
      <c r="E758" s="14" t="s">
        <v>37</v>
      </c>
    </row>
    <row r="759" spans="1:5" x14ac:dyDescent="0.25">
      <c r="A759" s="36">
        <v>757</v>
      </c>
      <c r="B759" s="37">
        <v>1812515338</v>
      </c>
      <c r="C759" s="38">
        <v>0.84401822595112874</v>
      </c>
      <c r="D759" s="14" t="s">
        <v>800</v>
      </c>
      <c r="E759" s="14" t="s">
        <v>40</v>
      </c>
    </row>
    <row r="760" spans="1:5" x14ac:dyDescent="0.25">
      <c r="A760" s="36">
        <v>758</v>
      </c>
      <c r="B760" s="37">
        <v>1953538490</v>
      </c>
      <c r="C760" s="38">
        <v>0.90968724848222327</v>
      </c>
      <c r="D760" s="14" t="s">
        <v>801</v>
      </c>
      <c r="E760" s="14" t="s">
        <v>43</v>
      </c>
    </row>
    <row r="761" spans="1:5" x14ac:dyDescent="0.25">
      <c r="A761" s="36">
        <v>759</v>
      </c>
      <c r="B761" s="37">
        <v>1373135014</v>
      </c>
      <c r="C761" s="38">
        <v>0.63941581856432173</v>
      </c>
      <c r="D761" s="14" t="s">
        <v>802</v>
      </c>
      <c r="E761" s="14" t="s">
        <v>46</v>
      </c>
    </row>
    <row r="762" spans="1:5" x14ac:dyDescent="0.25">
      <c r="A762" s="36">
        <v>760</v>
      </c>
      <c r="B762" s="37">
        <v>187972945</v>
      </c>
      <c r="C762" s="38">
        <v>8.7531723588487001E-2</v>
      </c>
      <c r="D762" s="14" t="s">
        <v>803</v>
      </c>
      <c r="E762" s="14" t="s">
        <v>48</v>
      </c>
    </row>
    <row r="763" spans="1:5" x14ac:dyDescent="0.25">
      <c r="A763" s="36">
        <v>761</v>
      </c>
      <c r="B763" s="37">
        <v>460296095</v>
      </c>
      <c r="C763" s="38">
        <v>0.21434207224023624</v>
      </c>
      <c r="D763" s="14" t="s">
        <v>804</v>
      </c>
      <c r="E763" s="14" t="s">
        <v>37</v>
      </c>
    </row>
    <row r="764" spans="1:5" x14ac:dyDescent="0.25">
      <c r="A764" s="36">
        <v>762</v>
      </c>
      <c r="B764" s="37">
        <v>450824732</v>
      </c>
      <c r="C764" s="38">
        <v>0.20993162515104358</v>
      </c>
      <c r="D764" s="14" t="s">
        <v>805</v>
      </c>
      <c r="E764" s="14" t="s">
        <v>40</v>
      </c>
    </row>
    <row r="765" spans="1:5" x14ac:dyDescent="0.25">
      <c r="A765" s="36">
        <v>763</v>
      </c>
      <c r="B765" s="37">
        <v>1955263431</v>
      </c>
      <c r="C765" s="38">
        <v>0.9104904867291872</v>
      </c>
      <c r="D765" s="14" t="s">
        <v>806</v>
      </c>
      <c r="E765" s="14" t="s">
        <v>43</v>
      </c>
    </row>
    <row r="766" spans="1:5" x14ac:dyDescent="0.25">
      <c r="A766" s="36">
        <v>764</v>
      </c>
      <c r="B766" s="37">
        <v>1394917000</v>
      </c>
      <c r="C766" s="38">
        <v>0.6495588462099241</v>
      </c>
      <c r="D766" s="14" t="s">
        <v>807</v>
      </c>
      <c r="E766" s="14" t="s">
        <v>46</v>
      </c>
    </row>
    <row r="767" spans="1:5" x14ac:dyDescent="0.25">
      <c r="A767" s="36">
        <v>765</v>
      </c>
      <c r="B767" s="37">
        <v>881807294</v>
      </c>
      <c r="C767" s="38">
        <v>0.41062351987260559</v>
      </c>
      <c r="D767" s="14" t="s">
        <v>808</v>
      </c>
      <c r="E767" s="14" t="s">
        <v>48</v>
      </c>
    </row>
    <row r="768" spans="1:5" x14ac:dyDescent="0.25">
      <c r="A768" s="36">
        <v>766</v>
      </c>
      <c r="B768" s="37">
        <v>1259610602</v>
      </c>
      <c r="C768" s="38">
        <v>0.58655189470693092</v>
      </c>
      <c r="D768" s="14" t="s">
        <v>809</v>
      </c>
      <c r="E768" s="14" t="s">
        <v>37</v>
      </c>
    </row>
    <row r="769" spans="1:5" x14ac:dyDescent="0.25">
      <c r="A769" s="36">
        <v>767</v>
      </c>
      <c r="B769" s="37">
        <v>1642122763</v>
      </c>
      <c r="C769" s="38">
        <v>0.76467300009200023</v>
      </c>
      <c r="D769" s="14" t="s">
        <v>810</v>
      </c>
      <c r="E769" s="14" t="s">
        <v>40</v>
      </c>
    </row>
    <row r="770" spans="1:5" x14ac:dyDescent="0.25">
      <c r="A770" s="36">
        <v>768</v>
      </c>
      <c r="B770" s="37">
        <v>1712863199</v>
      </c>
      <c r="C770" s="38">
        <v>0.79761408259981037</v>
      </c>
      <c r="D770" s="14" t="s">
        <v>811</v>
      </c>
      <c r="E770" s="14" t="s">
        <v>43</v>
      </c>
    </row>
    <row r="771" spans="1:5" x14ac:dyDescent="0.25">
      <c r="A771" s="36">
        <v>769</v>
      </c>
      <c r="B771" s="37">
        <v>113763795</v>
      </c>
      <c r="C771" s="38">
        <v>5.2975395253382344E-2</v>
      </c>
      <c r="D771" s="14" t="s">
        <v>812</v>
      </c>
      <c r="E771" s="14" t="s">
        <v>46</v>
      </c>
    </row>
    <row r="772" spans="1:5" x14ac:dyDescent="0.25">
      <c r="A772" s="36">
        <v>770</v>
      </c>
      <c r="B772" s="37">
        <v>734267785</v>
      </c>
      <c r="C772" s="38">
        <v>0.34192008215092129</v>
      </c>
      <c r="D772" s="14" t="s">
        <v>813</v>
      </c>
      <c r="E772" s="14" t="s">
        <v>48</v>
      </c>
    </row>
    <row r="773" spans="1:5" x14ac:dyDescent="0.25">
      <c r="A773" s="36">
        <v>771</v>
      </c>
      <c r="B773" s="37">
        <v>2140779650</v>
      </c>
      <c r="C773" s="38">
        <v>0.99687820812541905</v>
      </c>
      <c r="D773" s="14" t="s">
        <v>814</v>
      </c>
      <c r="E773" s="14" t="s">
        <v>37</v>
      </c>
    </row>
    <row r="774" spans="1:5" x14ac:dyDescent="0.25">
      <c r="A774" s="36">
        <v>772</v>
      </c>
      <c r="B774" s="37">
        <v>368327610</v>
      </c>
      <c r="C774" s="38">
        <v>0.17151590910345124</v>
      </c>
      <c r="D774" s="14" t="s">
        <v>815</v>
      </c>
      <c r="E774" s="14" t="s">
        <v>40</v>
      </c>
    </row>
    <row r="775" spans="1:5" x14ac:dyDescent="0.25">
      <c r="A775" s="36">
        <v>773</v>
      </c>
      <c r="B775" s="37">
        <v>2127590149</v>
      </c>
      <c r="C775" s="38">
        <v>0.9907363681079524</v>
      </c>
      <c r="D775" s="14" t="s">
        <v>816</v>
      </c>
      <c r="E775" s="14" t="s">
        <v>43</v>
      </c>
    </row>
    <row r="776" spans="1:5" x14ac:dyDescent="0.25">
      <c r="A776" s="36">
        <v>774</v>
      </c>
      <c r="B776" s="37">
        <v>1986982513</v>
      </c>
      <c r="C776" s="38">
        <v>0.92526083529240488</v>
      </c>
      <c r="D776" s="14" t="s">
        <v>817</v>
      </c>
      <c r="E776" s="14" t="s">
        <v>46</v>
      </c>
    </row>
    <row r="777" spans="1:5" x14ac:dyDescent="0.25">
      <c r="A777" s="36">
        <v>775</v>
      </c>
      <c r="B777" s="37">
        <v>566937908</v>
      </c>
      <c r="C777" s="38">
        <v>0.2640010361857717</v>
      </c>
      <c r="D777" s="14" t="s">
        <v>818</v>
      </c>
      <c r="E777" s="14" t="s">
        <v>48</v>
      </c>
    </row>
    <row r="778" spans="1:5" x14ac:dyDescent="0.25">
      <c r="A778" s="36">
        <v>776</v>
      </c>
      <c r="B778" s="37">
        <v>1711314831</v>
      </c>
      <c r="C778" s="38">
        <v>0.79689306756336853</v>
      </c>
      <c r="D778" s="14" t="s">
        <v>819</v>
      </c>
      <c r="E778" s="14" t="s">
        <v>37</v>
      </c>
    </row>
    <row r="779" spans="1:5" x14ac:dyDescent="0.25">
      <c r="A779" s="36">
        <v>777</v>
      </c>
      <c r="B779" s="37">
        <v>1944378642</v>
      </c>
      <c r="C779" s="38">
        <v>0.90542186186901386</v>
      </c>
      <c r="D779" s="14" t="s">
        <v>820</v>
      </c>
      <c r="E779" s="14" t="s">
        <v>40</v>
      </c>
    </row>
    <row r="780" spans="1:5" x14ac:dyDescent="0.25">
      <c r="A780" s="36">
        <v>778</v>
      </c>
      <c r="B780" s="37">
        <v>1711036514</v>
      </c>
      <c r="C780" s="38">
        <v>0.7967634661108085</v>
      </c>
      <c r="D780" s="14" t="s">
        <v>821</v>
      </c>
      <c r="E780" s="14" t="s">
        <v>43</v>
      </c>
    </row>
    <row r="781" spans="1:5" x14ac:dyDescent="0.25">
      <c r="A781" s="36">
        <v>779</v>
      </c>
      <c r="B781" s="37">
        <v>387758322</v>
      </c>
      <c r="C781" s="38">
        <v>0.18056403947089056</v>
      </c>
      <c r="D781" s="14" t="s">
        <v>822</v>
      </c>
      <c r="E781" s="14" t="s">
        <v>46</v>
      </c>
    </row>
    <row r="782" spans="1:5" x14ac:dyDescent="0.25">
      <c r="A782" s="36">
        <v>780</v>
      </c>
      <c r="B782" s="37">
        <v>1782274482</v>
      </c>
      <c r="C782" s="38">
        <v>0.82993623001032335</v>
      </c>
      <c r="D782" s="14" t="s">
        <v>823</v>
      </c>
      <c r="E782" s="14" t="s">
        <v>48</v>
      </c>
    </row>
    <row r="783" spans="1:5" x14ac:dyDescent="0.25">
      <c r="A783" s="36">
        <v>781</v>
      </c>
      <c r="B783" s="37">
        <v>161907123</v>
      </c>
      <c r="C783" s="38">
        <v>7.5393879355580493E-2</v>
      </c>
      <c r="D783" s="14" t="s">
        <v>824</v>
      </c>
      <c r="E783" s="14" t="s">
        <v>37</v>
      </c>
    </row>
    <row r="784" spans="1:5" x14ac:dyDescent="0.25">
      <c r="A784" s="36">
        <v>782</v>
      </c>
      <c r="B784" s="37">
        <v>1007535533</v>
      </c>
      <c r="C784" s="38">
        <v>0.46917029352354367</v>
      </c>
      <c r="D784" s="14" t="s">
        <v>825</v>
      </c>
      <c r="E784" s="14" t="s">
        <v>40</v>
      </c>
    </row>
    <row r="785" spans="1:5" x14ac:dyDescent="0.25">
      <c r="A785" s="36">
        <v>783</v>
      </c>
      <c r="B785" s="37">
        <v>332780986</v>
      </c>
      <c r="C785" s="38">
        <v>0.15496322240445912</v>
      </c>
      <c r="D785" s="14" t="s">
        <v>826</v>
      </c>
      <c r="E785" s="14" t="s">
        <v>43</v>
      </c>
    </row>
    <row r="786" spans="1:5" x14ac:dyDescent="0.25">
      <c r="A786" s="36">
        <v>784</v>
      </c>
      <c r="B786" s="37">
        <v>1352718693</v>
      </c>
      <c r="C786" s="38">
        <v>0.62990872824094668</v>
      </c>
      <c r="D786" s="14" t="s">
        <v>827</v>
      </c>
      <c r="E786" s="14" t="s">
        <v>46</v>
      </c>
    </row>
    <row r="787" spans="1:5" x14ac:dyDescent="0.25">
      <c r="A787" s="36">
        <v>785</v>
      </c>
      <c r="B787" s="37">
        <v>639974195</v>
      </c>
      <c r="C787" s="38">
        <v>0.29801120762620642</v>
      </c>
      <c r="D787" s="14" t="s">
        <v>828</v>
      </c>
      <c r="E787" s="14" t="s">
        <v>48</v>
      </c>
    </row>
    <row r="788" spans="1:5" x14ac:dyDescent="0.25">
      <c r="A788" s="36">
        <v>786</v>
      </c>
      <c r="B788" s="37">
        <v>1240193189</v>
      </c>
      <c r="C788" s="38">
        <v>0.57750995716895437</v>
      </c>
      <c r="D788" s="14" t="s">
        <v>829</v>
      </c>
      <c r="E788" s="14" t="s">
        <v>37</v>
      </c>
    </row>
    <row r="789" spans="1:5" x14ac:dyDescent="0.25">
      <c r="A789" s="36">
        <v>787</v>
      </c>
      <c r="B789" s="37">
        <v>501636288</v>
      </c>
      <c r="C789" s="38">
        <v>0.23359259973913088</v>
      </c>
      <c r="D789" s="14" t="s">
        <v>830</v>
      </c>
      <c r="E789" s="14" t="s">
        <v>40</v>
      </c>
    </row>
    <row r="790" spans="1:5" x14ac:dyDescent="0.25">
      <c r="A790" s="36">
        <v>788</v>
      </c>
      <c r="B790" s="37">
        <v>417077236</v>
      </c>
      <c r="C790" s="38">
        <v>0.19421672271295298</v>
      </c>
      <c r="D790" s="14" t="s">
        <v>831</v>
      </c>
      <c r="E790" s="14" t="s">
        <v>43</v>
      </c>
    </row>
    <row r="791" spans="1:5" x14ac:dyDescent="0.25">
      <c r="A791" s="36">
        <v>789</v>
      </c>
      <c r="B791" s="37">
        <v>134238610</v>
      </c>
      <c r="C791" s="38">
        <v>6.2509723968109915E-2</v>
      </c>
      <c r="D791" s="14" t="s">
        <v>832</v>
      </c>
      <c r="E791" s="14" t="s">
        <v>46</v>
      </c>
    </row>
    <row r="792" spans="1:5" x14ac:dyDescent="0.25">
      <c r="A792" s="36">
        <v>790</v>
      </c>
      <c r="B792" s="37">
        <v>1010227770</v>
      </c>
      <c r="C792" s="38">
        <v>0.47042396407128495</v>
      </c>
      <c r="D792" s="14" t="s">
        <v>833</v>
      </c>
      <c r="E792" s="14" t="s">
        <v>48</v>
      </c>
    </row>
    <row r="793" spans="1:5" x14ac:dyDescent="0.25">
      <c r="A793" s="36">
        <v>791</v>
      </c>
      <c r="B793" s="37">
        <v>1977685769</v>
      </c>
      <c r="C793" s="38">
        <v>0.92093170151157855</v>
      </c>
      <c r="D793" s="14" t="s">
        <v>834</v>
      </c>
      <c r="E793" s="14" t="s">
        <v>37</v>
      </c>
    </row>
    <row r="794" spans="1:5" x14ac:dyDescent="0.25">
      <c r="A794" s="36">
        <v>792</v>
      </c>
      <c r="B794" s="37">
        <v>671291590</v>
      </c>
      <c r="C794" s="38">
        <v>0.31259450610382228</v>
      </c>
      <c r="D794" s="14" t="s">
        <v>835</v>
      </c>
      <c r="E794" s="14" t="s">
        <v>40</v>
      </c>
    </row>
    <row r="795" spans="1:5" x14ac:dyDescent="0.25">
      <c r="A795" s="36">
        <v>793</v>
      </c>
      <c r="B795" s="37">
        <v>1809058286</v>
      </c>
      <c r="C795" s="38">
        <v>0.84240841066576932</v>
      </c>
      <c r="D795" s="14" t="s">
        <v>836</v>
      </c>
      <c r="E795" s="14" t="s">
        <v>43</v>
      </c>
    </row>
    <row r="796" spans="1:5" x14ac:dyDescent="0.25">
      <c r="A796" s="36">
        <v>794</v>
      </c>
      <c r="B796" s="37">
        <v>712748503</v>
      </c>
      <c r="C796" s="38">
        <v>0.33189938558819676</v>
      </c>
      <c r="D796" s="14" t="s">
        <v>837</v>
      </c>
      <c r="E796" s="14" t="s">
        <v>46</v>
      </c>
    </row>
    <row r="797" spans="1:5" x14ac:dyDescent="0.25">
      <c r="A797" s="36">
        <v>795</v>
      </c>
      <c r="B797" s="37">
        <v>637656913</v>
      </c>
      <c r="C797" s="38">
        <v>0.29693213910652888</v>
      </c>
      <c r="D797" s="14" t="s">
        <v>838</v>
      </c>
      <c r="E797" s="14" t="s">
        <v>48</v>
      </c>
    </row>
    <row r="798" spans="1:5" x14ac:dyDescent="0.25">
      <c r="A798" s="36">
        <v>796</v>
      </c>
      <c r="B798" s="37">
        <v>947002151</v>
      </c>
      <c r="C798" s="38">
        <v>0.44098224092320643</v>
      </c>
      <c r="D798" s="14" t="s">
        <v>839</v>
      </c>
      <c r="E798" s="14" t="s">
        <v>37</v>
      </c>
    </row>
    <row r="799" spans="1:5" x14ac:dyDescent="0.25">
      <c r="A799" s="36">
        <v>797</v>
      </c>
      <c r="B799" s="37">
        <v>937824676</v>
      </c>
      <c r="C799" s="38">
        <v>0.43670864609848181</v>
      </c>
      <c r="D799" s="14" t="s">
        <v>840</v>
      </c>
      <c r="E799" s="14" t="s">
        <v>40</v>
      </c>
    </row>
    <row r="800" spans="1:5" x14ac:dyDescent="0.25">
      <c r="A800" s="36">
        <v>798</v>
      </c>
      <c r="B800" s="37">
        <v>1999915059</v>
      </c>
      <c r="C800" s="38">
        <v>0.93128302131373575</v>
      </c>
      <c r="D800" s="14" t="s">
        <v>841</v>
      </c>
      <c r="E800" s="14" t="s">
        <v>43</v>
      </c>
    </row>
    <row r="801" spans="1:5" x14ac:dyDescent="0.25">
      <c r="A801" s="36">
        <v>799</v>
      </c>
      <c r="B801" s="37">
        <v>736991030</v>
      </c>
      <c r="C801" s="38">
        <v>0.34318819192386613</v>
      </c>
      <c r="D801" s="14" t="s">
        <v>842</v>
      </c>
      <c r="E801" s="14" t="s">
        <v>46</v>
      </c>
    </row>
    <row r="802" spans="1:5" x14ac:dyDescent="0.25">
      <c r="A802" s="36">
        <v>800</v>
      </c>
      <c r="B802" s="37">
        <v>1712184458</v>
      </c>
      <c r="C802" s="38">
        <v>0.79729801919185461</v>
      </c>
      <c r="D802" s="14" t="s">
        <v>843</v>
      </c>
      <c r="E802" s="14" t="s">
        <v>48</v>
      </c>
    </row>
    <row r="803" spans="1:5" x14ac:dyDescent="0.25">
      <c r="A803" s="36">
        <v>801</v>
      </c>
      <c r="B803" s="37">
        <v>2056282739</v>
      </c>
      <c r="C803" s="38">
        <v>0.95753126775730923</v>
      </c>
      <c r="D803" s="14" t="s">
        <v>844</v>
      </c>
      <c r="E803" s="14" t="s">
        <v>37</v>
      </c>
    </row>
    <row r="804" spans="1:5" x14ac:dyDescent="0.25">
      <c r="A804" s="36">
        <v>802</v>
      </c>
      <c r="B804" s="37">
        <v>441521953</v>
      </c>
      <c r="C804" s="38">
        <v>0.20559968110434695</v>
      </c>
      <c r="D804" s="14" t="s">
        <v>845</v>
      </c>
      <c r="E804" s="14" t="s">
        <v>40</v>
      </c>
    </row>
    <row r="805" spans="1:5" x14ac:dyDescent="0.25">
      <c r="A805" s="36">
        <v>803</v>
      </c>
      <c r="B805" s="37">
        <v>604143326</v>
      </c>
      <c r="C805" s="38">
        <v>0.28132615903454189</v>
      </c>
      <c r="D805" s="14" t="s">
        <v>846</v>
      </c>
      <c r="E805" s="14" t="s">
        <v>43</v>
      </c>
    </row>
    <row r="806" spans="1:5" x14ac:dyDescent="0.25">
      <c r="A806" s="36">
        <v>804</v>
      </c>
      <c r="B806" s="37">
        <v>1926299095</v>
      </c>
      <c r="C806" s="38">
        <v>0.89700291673513266</v>
      </c>
      <c r="D806" s="14" t="s">
        <v>847</v>
      </c>
      <c r="E806" s="14" t="s">
        <v>46</v>
      </c>
    </row>
    <row r="807" spans="1:5" x14ac:dyDescent="0.25">
      <c r="A807" s="36">
        <v>805</v>
      </c>
      <c r="B807" s="37">
        <v>541411750</v>
      </c>
      <c r="C807" s="38">
        <v>0.25211449258593588</v>
      </c>
      <c r="D807" s="14" t="s">
        <v>848</v>
      </c>
      <c r="E807" s="14" t="s">
        <v>48</v>
      </c>
    </row>
    <row r="808" spans="1:5" x14ac:dyDescent="0.25">
      <c r="A808" s="36">
        <v>806</v>
      </c>
      <c r="B808" s="37">
        <v>747125776</v>
      </c>
      <c r="C808" s="38">
        <v>0.34790755079496072</v>
      </c>
      <c r="D808" s="14" t="s">
        <v>849</v>
      </c>
      <c r="E808" s="14" t="s">
        <v>37</v>
      </c>
    </row>
    <row r="809" spans="1:5" x14ac:dyDescent="0.25">
      <c r="A809" s="36">
        <v>807</v>
      </c>
      <c r="B809" s="37">
        <v>618739276</v>
      </c>
      <c r="C809" s="38">
        <v>0.28812292790418625</v>
      </c>
      <c r="D809" s="14" t="s">
        <v>850</v>
      </c>
      <c r="E809" s="14" t="s">
        <v>40</v>
      </c>
    </row>
    <row r="810" spans="1:5" x14ac:dyDescent="0.25">
      <c r="A810" s="36">
        <v>808</v>
      </c>
      <c r="B810" s="37">
        <v>619990687</v>
      </c>
      <c r="C810" s="38">
        <v>0.28870566156166871</v>
      </c>
      <c r="D810" s="14" t="s">
        <v>851</v>
      </c>
      <c r="E810" s="14" t="s">
        <v>43</v>
      </c>
    </row>
    <row r="811" spans="1:5" x14ac:dyDescent="0.25">
      <c r="A811" s="36">
        <v>809</v>
      </c>
      <c r="B811" s="37">
        <v>565747872</v>
      </c>
      <c r="C811" s="38">
        <v>0.26344688248981113</v>
      </c>
      <c r="D811" s="14" t="s">
        <v>852</v>
      </c>
      <c r="E811" s="14" t="s">
        <v>46</v>
      </c>
    </row>
    <row r="812" spans="1:5" x14ac:dyDescent="0.25">
      <c r="A812" s="36">
        <v>810</v>
      </c>
      <c r="B812" s="37">
        <v>846564465</v>
      </c>
      <c r="C812" s="38">
        <v>0.39421229874445696</v>
      </c>
      <c r="D812" s="14" t="s">
        <v>853</v>
      </c>
      <c r="E812" s="14" t="s">
        <v>48</v>
      </c>
    </row>
    <row r="813" spans="1:5" x14ac:dyDescent="0.25">
      <c r="A813" s="36">
        <v>811</v>
      </c>
      <c r="B813" s="37">
        <v>1500454476</v>
      </c>
      <c r="C813" s="38">
        <v>0.69870356316617854</v>
      </c>
      <c r="D813" s="14" t="s">
        <v>854</v>
      </c>
      <c r="E813" s="14" t="s">
        <v>37</v>
      </c>
    </row>
    <row r="814" spans="1:5" x14ac:dyDescent="0.25">
      <c r="A814" s="36">
        <v>812</v>
      </c>
      <c r="B814" s="37">
        <v>44270653</v>
      </c>
      <c r="C814" s="38">
        <v>2.0615129275533897E-2</v>
      </c>
      <c r="D814" s="14" t="s">
        <v>855</v>
      </c>
      <c r="E814" s="14" t="s">
        <v>40</v>
      </c>
    </row>
    <row r="815" spans="1:5" x14ac:dyDescent="0.25">
      <c r="A815" s="36">
        <v>813</v>
      </c>
      <c r="B815" s="37">
        <v>1868725890</v>
      </c>
      <c r="C815" s="38">
        <v>0.87019330396791605</v>
      </c>
      <c r="D815" s="14" t="s">
        <v>856</v>
      </c>
      <c r="E815" s="14" t="s">
        <v>43</v>
      </c>
    </row>
    <row r="816" spans="1:5" x14ac:dyDescent="0.25">
      <c r="A816" s="36">
        <v>814</v>
      </c>
      <c r="B816" s="37">
        <v>2107590147</v>
      </c>
      <c r="C816" s="38">
        <v>0.98142314142613818</v>
      </c>
      <c r="D816" s="14" t="s">
        <v>857</v>
      </c>
      <c r="E816" s="14" t="s">
        <v>46</v>
      </c>
    </row>
    <row r="817" spans="1:5" x14ac:dyDescent="0.25">
      <c r="A817" s="36">
        <v>815</v>
      </c>
      <c r="B817" s="37">
        <v>1775149257</v>
      </c>
      <c r="C817" s="38">
        <v>0.82661828856292097</v>
      </c>
      <c r="D817" s="14" t="s">
        <v>858</v>
      </c>
      <c r="E817" s="14" t="s">
        <v>48</v>
      </c>
    </row>
    <row r="818" spans="1:5" x14ac:dyDescent="0.25">
      <c r="A818" s="36">
        <v>816</v>
      </c>
      <c r="B818" s="37">
        <v>598946379</v>
      </c>
      <c r="C818" s="38">
        <v>0.27890614200332486</v>
      </c>
      <c r="D818" s="14" t="s">
        <v>859</v>
      </c>
      <c r="E818" s="14" t="s">
        <v>37</v>
      </c>
    </row>
    <row r="819" spans="1:5" x14ac:dyDescent="0.25">
      <c r="A819" s="36">
        <v>817</v>
      </c>
      <c r="B819" s="37">
        <v>1542224036</v>
      </c>
      <c r="C819" s="38">
        <v>0.71815403025511371</v>
      </c>
      <c r="D819" s="14" t="s">
        <v>860</v>
      </c>
      <c r="E819" s="14" t="s">
        <v>40</v>
      </c>
    </row>
    <row r="820" spans="1:5" x14ac:dyDescent="0.25">
      <c r="A820" s="36">
        <v>818</v>
      </c>
      <c r="B820" s="37">
        <v>1738058028</v>
      </c>
      <c r="C820" s="38">
        <v>0.80934633911091203</v>
      </c>
      <c r="D820" s="14" t="s">
        <v>861</v>
      </c>
      <c r="E820" s="14" t="s">
        <v>43</v>
      </c>
    </row>
    <row r="821" spans="1:5" x14ac:dyDescent="0.25">
      <c r="A821" s="36">
        <v>819</v>
      </c>
      <c r="B821" s="37">
        <v>1475846404</v>
      </c>
      <c r="C821" s="38">
        <v>0.68724453667516106</v>
      </c>
      <c r="D821" s="14" t="s">
        <v>862</v>
      </c>
      <c r="E821" s="14" t="s">
        <v>46</v>
      </c>
    </row>
    <row r="822" spans="1:5" x14ac:dyDescent="0.25">
      <c r="A822" s="36">
        <v>820</v>
      </c>
      <c r="B822" s="37">
        <v>396307731</v>
      </c>
      <c r="C822" s="38">
        <v>0.18454516827340478</v>
      </c>
      <c r="D822" s="14" t="s">
        <v>863</v>
      </c>
      <c r="E822" s="14" t="s">
        <v>48</v>
      </c>
    </row>
    <row r="823" spans="1:5" x14ac:dyDescent="0.25">
      <c r="A823" s="36">
        <v>821</v>
      </c>
      <c r="B823" s="37">
        <v>1113161538</v>
      </c>
      <c r="C823" s="38">
        <v>0.51835623500792138</v>
      </c>
      <c r="D823" s="14" t="s">
        <v>864</v>
      </c>
      <c r="E823" s="14" t="s">
        <v>37</v>
      </c>
    </row>
    <row r="824" spans="1:5" x14ac:dyDescent="0.25">
      <c r="A824" s="36">
        <v>822</v>
      </c>
      <c r="B824" s="37">
        <v>825090074</v>
      </c>
      <c r="C824" s="38">
        <v>0.38421250618259073</v>
      </c>
      <c r="D824" s="14" t="s">
        <v>865</v>
      </c>
      <c r="E824" s="14" t="s">
        <v>40</v>
      </c>
    </row>
    <row r="825" spans="1:5" x14ac:dyDescent="0.25">
      <c r="A825" s="36">
        <v>823</v>
      </c>
      <c r="B825" s="37">
        <v>1705079516</v>
      </c>
      <c r="C825" s="38">
        <v>0.79398952275234713</v>
      </c>
      <c r="D825" s="14" t="s">
        <v>866</v>
      </c>
      <c r="E825" s="14" t="s">
        <v>43</v>
      </c>
    </row>
    <row r="826" spans="1:5" x14ac:dyDescent="0.25">
      <c r="A826" s="36">
        <v>824</v>
      </c>
      <c r="B826" s="37">
        <v>1895144218</v>
      </c>
      <c r="C826" s="38">
        <v>0.88249529659864279</v>
      </c>
      <c r="D826" s="14" t="s">
        <v>867</v>
      </c>
      <c r="E826" s="14" t="s">
        <v>46</v>
      </c>
    </row>
    <row r="827" spans="1:5" x14ac:dyDescent="0.25">
      <c r="A827" s="36">
        <v>825</v>
      </c>
      <c r="B827" s="37">
        <v>2052364728</v>
      </c>
      <c r="C827" s="38">
        <v>0.95570680171051381</v>
      </c>
      <c r="D827" s="14" t="s">
        <v>868</v>
      </c>
      <c r="E827" s="14" t="s">
        <v>48</v>
      </c>
    </row>
    <row r="828" spans="1:5" x14ac:dyDescent="0.25">
      <c r="A828" s="36">
        <v>826</v>
      </c>
      <c r="B828" s="37">
        <v>722098117</v>
      </c>
      <c r="C828" s="38">
        <v>0.3362531388812946</v>
      </c>
      <c r="D828" s="14" t="s">
        <v>869</v>
      </c>
      <c r="E828" s="14" t="s">
        <v>37</v>
      </c>
    </row>
    <row r="829" spans="1:5" x14ac:dyDescent="0.25">
      <c r="A829" s="36">
        <v>827</v>
      </c>
      <c r="B829" s="37">
        <v>489910454</v>
      </c>
      <c r="C829" s="38">
        <v>0.22813233278139136</v>
      </c>
      <c r="D829" s="14" t="s">
        <v>870</v>
      </c>
      <c r="E829" s="14" t="s">
        <v>40</v>
      </c>
    </row>
    <row r="830" spans="1:5" x14ac:dyDescent="0.25">
      <c r="A830" s="36">
        <v>828</v>
      </c>
      <c r="B830" s="37">
        <v>952105969</v>
      </c>
      <c r="C830" s="38">
        <v>0.44335889138437756</v>
      </c>
      <c r="D830" s="14" t="s">
        <v>871</v>
      </c>
      <c r="E830" s="14" t="s">
        <v>43</v>
      </c>
    </row>
    <row r="831" spans="1:5" x14ac:dyDescent="0.25">
      <c r="A831" s="36">
        <v>829</v>
      </c>
      <c r="B831" s="37">
        <v>925173594</v>
      </c>
      <c r="C831" s="38">
        <v>0.43081752696578274</v>
      </c>
      <c r="D831" s="14" t="s">
        <v>872</v>
      </c>
      <c r="E831" s="14" t="s">
        <v>46</v>
      </c>
    </row>
    <row r="832" spans="1:5" x14ac:dyDescent="0.25">
      <c r="A832" s="36">
        <v>830</v>
      </c>
      <c r="B832" s="37">
        <v>34807844</v>
      </c>
      <c r="C832" s="38">
        <v>1.6208665452994715E-2</v>
      </c>
      <c r="D832" s="14" t="s">
        <v>873</v>
      </c>
      <c r="E832" s="14" t="s">
        <v>48</v>
      </c>
    </row>
    <row r="833" spans="1:5" x14ac:dyDescent="0.25">
      <c r="A833" s="36">
        <v>831</v>
      </c>
      <c r="B833" s="37">
        <v>431642263</v>
      </c>
      <c r="C833" s="38">
        <v>0.20099909193860324</v>
      </c>
      <c r="D833" s="14" t="s">
        <v>874</v>
      </c>
      <c r="E833" s="14" t="s">
        <v>37</v>
      </c>
    </row>
    <row r="834" spans="1:5" x14ac:dyDescent="0.25">
      <c r="A834" s="36">
        <v>832</v>
      </c>
      <c r="B834" s="37">
        <v>1042914802</v>
      </c>
      <c r="C834" s="38">
        <v>0.4856450494777621</v>
      </c>
      <c r="D834" s="14" t="s">
        <v>875</v>
      </c>
      <c r="E834" s="14" t="s">
        <v>40</v>
      </c>
    </row>
    <row r="835" spans="1:5" x14ac:dyDescent="0.25">
      <c r="A835" s="36">
        <v>833</v>
      </c>
      <c r="B835" s="37">
        <v>1713945177</v>
      </c>
      <c r="C835" s="38">
        <v>0.79811791786836361</v>
      </c>
      <c r="D835" s="14" t="s">
        <v>876</v>
      </c>
      <c r="E835" s="14" t="s">
        <v>43</v>
      </c>
    </row>
    <row r="836" spans="1:5" x14ac:dyDescent="0.25">
      <c r="A836" s="36">
        <v>834</v>
      </c>
      <c r="B836" s="37">
        <v>1501898059</v>
      </c>
      <c r="C836" s="38">
        <v>0.69937578388460719</v>
      </c>
      <c r="D836" s="14" t="s">
        <v>877</v>
      </c>
      <c r="E836" s="14" t="s">
        <v>46</v>
      </c>
    </row>
    <row r="837" spans="1:5" x14ac:dyDescent="0.25">
      <c r="A837" s="36">
        <v>835</v>
      </c>
      <c r="B837" s="37">
        <v>2037546382</v>
      </c>
      <c r="C837" s="38">
        <v>0.94880647163316911</v>
      </c>
      <c r="D837" s="14" t="s">
        <v>878</v>
      </c>
      <c r="E837" s="14" t="s">
        <v>48</v>
      </c>
    </row>
    <row r="838" spans="1:5" x14ac:dyDescent="0.25">
      <c r="A838" s="36">
        <v>836</v>
      </c>
      <c r="B838" s="37">
        <v>1211891909</v>
      </c>
      <c r="C838" s="38">
        <v>0.56433114668556073</v>
      </c>
      <c r="D838" s="14" t="s">
        <v>879</v>
      </c>
      <c r="E838" s="14" t="s">
        <v>37</v>
      </c>
    </row>
    <row r="839" spans="1:5" x14ac:dyDescent="0.25">
      <c r="A839" s="36">
        <v>837</v>
      </c>
      <c r="B839" s="37">
        <v>1662308527</v>
      </c>
      <c r="C839" s="38">
        <v>0.77407272894590751</v>
      </c>
      <c r="D839" s="14" t="s">
        <v>880</v>
      </c>
      <c r="E839" s="14" t="s">
        <v>40</v>
      </c>
    </row>
    <row r="840" spans="1:5" x14ac:dyDescent="0.25">
      <c r="A840" s="36">
        <v>838</v>
      </c>
      <c r="B840" s="37">
        <v>1892544337</v>
      </c>
      <c r="C840" s="38">
        <v>0.88128463266477208</v>
      </c>
      <c r="D840" s="14" t="s">
        <v>881</v>
      </c>
      <c r="E840" s="14" t="s">
        <v>43</v>
      </c>
    </row>
    <row r="841" spans="1:5" x14ac:dyDescent="0.25">
      <c r="A841" s="36">
        <v>839</v>
      </c>
      <c r="B841" s="37">
        <v>1664991908</v>
      </c>
      <c r="C841" s="38">
        <v>0.7753222755972865</v>
      </c>
      <c r="D841" s="14" t="s">
        <v>882</v>
      </c>
      <c r="E841" s="14" t="s">
        <v>46</v>
      </c>
    </row>
    <row r="842" spans="1:5" x14ac:dyDescent="0.25">
      <c r="A842" s="36">
        <v>840</v>
      </c>
      <c r="B842" s="37">
        <v>1681317602</v>
      </c>
      <c r="C842" s="38">
        <v>0.7829245192850588</v>
      </c>
      <c r="D842" s="14" t="s">
        <v>883</v>
      </c>
      <c r="E842" s="14" t="s">
        <v>48</v>
      </c>
    </row>
    <row r="843" spans="1:5" x14ac:dyDescent="0.25">
      <c r="A843" s="36">
        <v>841</v>
      </c>
      <c r="B843" s="37">
        <v>1949053814</v>
      </c>
      <c r="C843" s="38">
        <v>0.9075989084819327</v>
      </c>
      <c r="D843" s="14" t="s">
        <v>884</v>
      </c>
      <c r="E843" s="14" t="s">
        <v>37</v>
      </c>
    </row>
    <row r="844" spans="1:5" x14ac:dyDescent="0.25">
      <c r="A844" s="36">
        <v>842</v>
      </c>
      <c r="B844" s="37">
        <v>1170973086</v>
      </c>
      <c r="C844" s="38">
        <v>0.5452768348833904</v>
      </c>
      <c r="D844" s="14" t="s">
        <v>885</v>
      </c>
      <c r="E844" s="14" t="s">
        <v>40</v>
      </c>
    </row>
    <row r="845" spans="1:5" x14ac:dyDescent="0.25">
      <c r="A845" s="36">
        <v>843</v>
      </c>
      <c r="B845" s="37">
        <v>849802704</v>
      </c>
      <c r="C845" s="38">
        <v>0.3957202212865093</v>
      </c>
      <c r="D845" s="14" t="s">
        <v>886</v>
      </c>
      <c r="E845" s="14" t="s">
        <v>43</v>
      </c>
    </row>
    <row r="846" spans="1:5" x14ac:dyDescent="0.25">
      <c r="A846" s="36">
        <v>844</v>
      </c>
      <c r="B846" s="37">
        <v>1446271981</v>
      </c>
      <c r="C846" s="38">
        <v>0.67347287278318446</v>
      </c>
      <c r="D846" s="14" t="s">
        <v>887</v>
      </c>
      <c r="E846" s="14" t="s">
        <v>46</v>
      </c>
    </row>
    <row r="847" spans="1:5" x14ac:dyDescent="0.25">
      <c r="A847" s="36">
        <v>845</v>
      </c>
      <c r="B847" s="37">
        <v>1944987484</v>
      </c>
      <c r="C847" s="38">
        <v>0.90570537601863288</v>
      </c>
      <c r="D847" s="14" t="s">
        <v>888</v>
      </c>
      <c r="E847" s="14" t="s">
        <v>48</v>
      </c>
    </row>
    <row r="848" spans="1:5" x14ac:dyDescent="0.25">
      <c r="A848" s="36">
        <v>846</v>
      </c>
      <c r="B848" s="37">
        <v>1531485180</v>
      </c>
      <c r="C848" s="38">
        <v>0.71315336074361269</v>
      </c>
      <c r="D848" s="14" t="s">
        <v>889</v>
      </c>
      <c r="E848" s="14" t="s">
        <v>37</v>
      </c>
    </row>
    <row r="849" spans="1:5" x14ac:dyDescent="0.25">
      <c r="A849" s="36">
        <v>847</v>
      </c>
      <c r="B849" s="37">
        <v>150168609</v>
      </c>
      <c r="C849" s="38">
        <v>6.9927707812715192E-2</v>
      </c>
      <c r="D849" s="14" t="s">
        <v>890</v>
      </c>
      <c r="E849" s="14" t="s">
        <v>40</v>
      </c>
    </row>
    <row r="850" spans="1:5" x14ac:dyDescent="0.25">
      <c r="A850" s="36">
        <v>848</v>
      </c>
      <c r="B850" s="37">
        <v>1911223736</v>
      </c>
      <c r="C850" s="38">
        <v>0.88998290565329741</v>
      </c>
      <c r="D850" s="14" t="s">
        <v>891</v>
      </c>
      <c r="E850" s="14" t="s">
        <v>43</v>
      </c>
    </row>
    <row r="851" spans="1:5" x14ac:dyDescent="0.25">
      <c r="A851" s="36">
        <v>849</v>
      </c>
      <c r="B851" s="37">
        <v>575887470</v>
      </c>
      <c r="C851" s="38">
        <v>0.26816850074947274</v>
      </c>
      <c r="D851" s="14" t="s">
        <v>892</v>
      </c>
      <c r="E851" s="14" t="s">
        <v>46</v>
      </c>
    </row>
    <row r="852" spans="1:5" x14ac:dyDescent="0.25">
      <c r="A852" s="36">
        <v>850</v>
      </c>
      <c r="B852" s="37">
        <v>1386943642</v>
      </c>
      <c r="C852" s="38">
        <v>0.64584596205774969</v>
      </c>
      <c r="D852" s="14" t="s">
        <v>893</v>
      </c>
      <c r="E852" s="14" t="s">
        <v>48</v>
      </c>
    </row>
    <row r="853" spans="1:5" x14ac:dyDescent="0.25">
      <c r="A853" s="36">
        <v>851</v>
      </c>
      <c r="B853" s="37">
        <v>477020804</v>
      </c>
      <c r="C853" s="38">
        <v>0.22213012176665017</v>
      </c>
      <c r="D853" s="14" t="s">
        <v>894</v>
      </c>
      <c r="E853" s="14" t="s">
        <v>37</v>
      </c>
    </row>
    <row r="854" spans="1:5" x14ac:dyDescent="0.25">
      <c r="A854" s="36">
        <v>852</v>
      </c>
      <c r="B854" s="37">
        <v>1316556896</v>
      </c>
      <c r="C854" s="38">
        <v>0.61306957929072414</v>
      </c>
      <c r="D854" s="14" t="s">
        <v>895</v>
      </c>
      <c r="E854" s="14" t="s">
        <v>40</v>
      </c>
    </row>
    <row r="855" spans="1:5" x14ac:dyDescent="0.25">
      <c r="A855" s="36">
        <v>853</v>
      </c>
      <c r="B855" s="37">
        <v>243964533</v>
      </c>
      <c r="C855" s="38">
        <v>0.11360483854711281</v>
      </c>
      <c r="D855" s="14" t="s">
        <v>896</v>
      </c>
      <c r="E855" s="14" t="s">
        <v>43</v>
      </c>
    </row>
    <row r="856" spans="1:5" x14ac:dyDescent="0.25">
      <c r="A856" s="36">
        <v>854</v>
      </c>
      <c r="B856" s="37">
        <v>1215515642</v>
      </c>
      <c r="C856" s="38">
        <v>0.56601857885998608</v>
      </c>
      <c r="D856" s="14" t="s">
        <v>897</v>
      </c>
      <c r="E856" s="14" t="s">
        <v>46</v>
      </c>
    </row>
    <row r="857" spans="1:5" x14ac:dyDescent="0.25">
      <c r="A857" s="36">
        <v>855</v>
      </c>
      <c r="B857" s="37">
        <v>1174915929</v>
      </c>
      <c r="C857" s="38">
        <v>0.5471128642312777</v>
      </c>
      <c r="D857" s="14" t="s">
        <v>898</v>
      </c>
      <c r="E857" s="14" t="s">
        <v>48</v>
      </c>
    </row>
    <row r="858" spans="1:5" x14ac:dyDescent="0.25">
      <c r="A858" s="36">
        <v>856</v>
      </c>
      <c r="B858" s="37">
        <v>1100522047</v>
      </c>
      <c r="C858" s="38">
        <v>0.51247051335520599</v>
      </c>
      <c r="D858" s="14" t="s">
        <v>899</v>
      </c>
      <c r="E858" s="14" t="s">
        <v>37</v>
      </c>
    </row>
    <row r="859" spans="1:5" x14ac:dyDescent="0.25">
      <c r="A859" s="36">
        <v>857</v>
      </c>
      <c r="B859" s="37">
        <v>973622958</v>
      </c>
      <c r="C859" s="38">
        <v>0.4533785201857698</v>
      </c>
      <c r="D859" s="14" t="s">
        <v>900</v>
      </c>
      <c r="E859" s="14" t="s">
        <v>40</v>
      </c>
    </row>
    <row r="860" spans="1:5" x14ac:dyDescent="0.25">
      <c r="A860" s="36">
        <v>858</v>
      </c>
      <c r="B860" s="37">
        <v>759024153</v>
      </c>
      <c r="C860" s="38">
        <v>0.35344816434823356</v>
      </c>
      <c r="D860" s="14" t="s">
        <v>901</v>
      </c>
      <c r="E860" s="14" t="s">
        <v>43</v>
      </c>
    </row>
    <row r="861" spans="1:5" x14ac:dyDescent="0.25">
      <c r="A861" s="36">
        <v>859</v>
      </c>
      <c r="B861" s="37">
        <v>1670522567</v>
      </c>
      <c r="C861" s="38">
        <v>0.7778976893880859</v>
      </c>
      <c r="D861" s="14" t="s">
        <v>902</v>
      </c>
      <c r="E861" s="14" t="s">
        <v>46</v>
      </c>
    </row>
    <row r="862" spans="1:5" x14ac:dyDescent="0.25">
      <c r="A862" s="36">
        <v>860</v>
      </c>
      <c r="B862" s="37">
        <v>1339094888</v>
      </c>
      <c r="C862" s="38">
        <v>0.62356464966366287</v>
      </c>
      <c r="D862" s="14" t="s">
        <v>903</v>
      </c>
      <c r="E862" s="14" t="s">
        <v>48</v>
      </c>
    </row>
    <row r="863" spans="1:5" x14ac:dyDescent="0.25">
      <c r="A863" s="36">
        <v>861</v>
      </c>
      <c r="B863" s="37">
        <v>903268890</v>
      </c>
      <c r="C863" s="38">
        <v>0.42061735429829794</v>
      </c>
      <c r="D863" s="14" t="s">
        <v>904</v>
      </c>
      <c r="E863" s="14" t="s">
        <v>37</v>
      </c>
    </row>
    <row r="864" spans="1:5" x14ac:dyDescent="0.25">
      <c r="A864" s="36">
        <v>862</v>
      </c>
      <c r="B864" s="37">
        <v>1232224657</v>
      </c>
      <c r="C864" s="38">
        <v>0.57379932029815361</v>
      </c>
      <c r="D864" s="14" t="s">
        <v>905</v>
      </c>
      <c r="E864" s="14" t="s">
        <v>40</v>
      </c>
    </row>
    <row r="865" spans="1:5" x14ac:dyDescent="0.25">
      <c r="A865" s="36">
        <v>863</v>
      </c>
      <c r="B865" s="37">
        <v>1687396507</v>
      </c>
      <c r="C865" s="38">
        <v>0.78575523001409842</v>
      </c>
      <c r="D865" s="14" t="s">
        <v>906</v>
      </c>
      <c r="E865" s="14" t="s">
        <v>43</v>
      </c>
    </row>
    <row r="866" spans="1:5" x14ac:dyDescent="0.25">
      <c r="A866" s="36">
        <v>864</v>
      </c>
      <c r="B866" s="37">
        <v>1495454275</v>
      </c>
      <c r="C866" s="38">
        <v>0.69637516313063685</v>
      </c>
      <c r="D866" s="14" t="s">
        <v>907</v>
      </c>
      <c r="E866" s="14" t="s">
        <v>46</v>
      </c>
    </row>
    <row r="867" spans="1:5" x14ac:dyDescent="0.25">
      <c r="A867" s="36">
        <v>865</v>
      </c>
      <c r="B867" s="37">
        <v>731316900</v>
      </c>
      <c r="C867" s="38">
        <v>0.34054596924248431</v>
      </c>
      <c r="D867" s="14" t="s">
        <v>908</v>
      </c>
      <c r="E867" s="14" t="s">
        <v>48</v>
      </c>
    </row>
    <row r="868" spans="1:5" x14ac:dyDescent="0.25">
      <c r="A868" s="36">
        <v>866</v>
      </c>
      <c r="B868" s="37">
        <v>1614025714</v>
      </c>
      <c r="C868" s="38">
        <v>0.75158929207901903</v>
      </c>
      <c r="D868" s="14" t="s">
        <v>909</v>
      </c>
      <c r="E868" s="14" t="s">
        <v>37</v>
      </c>
    </row>
    <row r="869" spans="1:5" x14ac:dyDescent="0.25">
      <c r="A869" s="36">
        <v>867</v>
      </c>
      <c r="B869" s="37">
        <v>1371240840</v>
      </c>
      <c r="C869" s="38">
        <v>0.6385337750606862</v>
      </c>
      <c r="D869" s="14" t="s">
        <v>910</v>
      </c>
      <c r="E869" s="14" t="s">
        <v>40</v>
      </c>
    </row>
    <row r="870" spans="1:5" x14ac:dyDescent="0.25">
      <c r="A870" s="36">
        <v>868</v>
      </c>
      <c r="B870" s="37">
        <v>1941473038</v>
      </c>
      <c r="C870" s="38">
        <v>0.90406883456933729</v>
      </c>
      <c r="D870" s="14" t="s">
        <v>911</v>
      </c>
      <c r="E870" s="14" t="s">
        <v>43</v>
      </c>
    </row>
    <row r="871" spans="1:5" x14ac:dyDescent="0.25">
      <c r="A871" s="36">
        <v>869</v>
      </c>
      <c r="B871" s="37">
        <v>1393711458</v>
      </c>
      <c r="C871" s="38">
        <v>0.64899747197003921</v>
      </c>
      <c r="D871" s="14" t="s">
        <v>912</v>
      </c>
      <c r="E871" s="14" t="s">
        <v>46</v>
      </c>
    </row>
    <row r="872" spans="1:5" x14ac:dyDescent="0.25">
      <c r="A872" s="36">
        <v>870</v>
      </c>
      <c r="B872" s="37">
        <v>2124219689</v>
      </c>
      <c r="C872" s="38">
        <v>0.9891668753648023</v>
      </c>
      <c r="D872" s="14" t="s">
        <v>913</v>
      </c>
      <c r="E872" s="14" t="s">
        <v>48</v>
      </c>
    </row>
    <row r="873" spans="1:5" x14ac:dyDescent="0.25">
      <c r="A873" s="36">
        <v>871</v>
      </c>
      <c r="B873" s="37">
        <v>999336977</v>
      </c>
      <c r="C873" s="38">
        <v>0.46535254338074128</v>
      </c>
      <c r="D873" s="14" t="s">
        <v>914</v>
      </c>
      <c r="E873" s="14" t="s">
        <v>37</v>
      </c>
    </row>
    <row r="874" spans="1:5" x14ac:dyDescent="0.25">
      <c r="A874" s="36">
        <v>872</v>
      </c>
      <c r="B874" s="37">
        <v>889931771</v>
      </c>
      <c r="C874" s="38">
        <v>0.41440677429288941</v>
      </c>
      <c r="D874" s="14" t="s">
        <v>915</v>
      </c>
      <c r="E874" s="14" t="s">
        <v>40</v>
      </c>
    </row>
    <row r="875" spans="1:5" x14ac:dyDescent="0.25">
      <c r="A875" s="36">
        <v>873</v>
      </c>
      <c r="B875" s="37">
        <v>1950163868</v>
      </c>
      <c r="C875" s="38">
        <v>0.9081158176567945</v>
      </c>
      <c r="D875" s="14" t="s">
        <v>916</v>
      </c>
      <c r="E875" s="14" t="s">
        <v>43</v>
      </c>
    </row>
    <row r="876" spans="1:5" x14ac:dyDescent="0.25">
      <c r="A876" s="36">
        <v>874</v>
      </c>
      <c r="B876" s="37">
        <v>2047671016</v>
      </c>
      <c r="C876" s="38">
        <v>0.95352112173732417</v>
      </c>
      <c r="D876" s="14" t="s">
        <v>917</v>
      </c>
      <c r="E876" s="14" t="s">
        <v>46</v>
      </c>
    </row>
    <row r="877" spans="1:5" x14ac:dyDescent="0.25">
      <c r="A877" s="36">
        <v>875</v>
      </c>
      <c r="B877" s="37">
        <v>466639103</v>
      </c>
      <c r="C877" s="38">
        <v>0.21729576551229496</v>
      </c>
      <c r="D877" s="14" t="s">
        <v>918</v>
      </c>
      <c r="E877" s="14" t="s">
        <v>48</v>
      </c>
    </row>
    <row r="878" spans="1:5" x14ac:dyDescent="0.25">
      <c r="A878" s="36">
        <v>876</v>
      </c>
      <c r="B878" s="37">
        <v>1516607280</v>
      </c>
      <c r="C878" s="38">
        <v>0.70622529867395079</v>
      </c>
      <c r="D878" s="14" t="s">
        <v>919</v>
      </c>
      <c r="E878" s="14" t="s">
        <v>37</v>
      </c>
    </row>
    <row r="879" spans="1:5" x14ac:dyDescent="0.25">
      <c r="A879" s="36">
        <v>877</v>
      </c>
      <c r="B879" s="37">
        <v>295088313</v>
      </c>
      <c r="C879" s="38">
        <v>0.13741120376503616</v>
      </c>
      <c r="D879" s="14" t="s">
        <v>920</v>
      </c>
      <c r="E879" s="14" t="s">
        <v>40</v>
      </c>
    </row>
    <row r="880" spans="1:5" x14ac:dyDescent="0.25">
      <c r="A880" s="36">
        <v>878</v>
      </c>
      <c r="B880" s="37">
        <v>1838424120</v>
      </c>
      <c r="C880" s="38">
        <v>0.85608294273544239</v>
      </c>
      <c r="D880" s="14" t="s">
        <v>921</v>
      </c>
      <c r="E880" s="14" t="s">
        <v>43</v>
      </c>
    </row>
    <row r="881" spans="1:5" x14ac:dyDescent="0.25">
      <c r="A881" s="36">
        <v>879</v>
      </c>
      <c r="B881" s="37">
        <v>2002297986</v>
      </c>
      <c r="C881" s="38">
        <v>0.93239265816863282</v>
      </c>
      <c r="D881" s="14" t="s">
        <v>922</v>
      </c>
      <c r="E881" s="14" t="s">
        <v>46</v>
      </c>
    </row>
    <row r="882" spans="1:5" x14ac:dyDescent="0.25">
      <c r="A882" s="36">
        <v>880</v>
      </c>
      <c r="B882" s="37">
        <v>776259696</v>
      </c>
      <c r="C882" s="38">
        <v>0.3614740894927988</v>
      </c>
      <c r="D882" s="14" t="s">
        <v>923</v>
      </c>
      <c r="E882" s="14" t="s">
        <v>48</v>
      </c>
    </row>
    <row r="883" spans="1:5" x14ac:dyDescent="0.25">
      <c r="A883" s="36">
        <v>881</v>
      </c>
      <c r="B883" s="37">
        <v>281210722</v>
      </c>
      <c r="C883" s="38">
        <v>0.13094894687223665</v>
      </c>
      <c r="D883" s="14" t="s">
        <v>924</v>
      </c>
      <c r="E883" s="14" t="s">
        <v>37</v>
      </c>
    </row>
    <row r="884" spans="1:5" x14ac:dyDescent="0.25">
      <c r="A884" s="36">
        <v>882</v>
      </c>
      <c r="B884" s="37">
        <v>575371977</v>
      </c>
      <c r="C884" s="38">
        <v>0.26792845561538287</v>
      </c>
      <c r="D884" s="14" t="s">
        <v>925</v>
      </c>
      <c r="E884" s="14" t="s">
        <v>40</v>
      </c>
    </row>
    <row r="885" spans="1:5" x14ac:dyDescent="0.25">
      <c r="A885" s="36">
        <v>883</v>
      </c>
      <c r="B885" s="37">
        <v>181932970</v>
      </c>
      <c r="C885" s="38">
        <v>8.4719141053370736E-2</v>
      </c>
      <c r="D885" s="14" t="s">
        <v>926</v>
      </c>
      <c r="E885" s="14" t="s">
        <v>43</v>
      </c>
    </row>
    <row r="886" spans="1:5" x14ac:dyDescent="0.25">
      <c r="A886" s="36">
        <v>884</v>
      </c>
      <c r="B886" s="37">
        <v>1289344474</v>
      </c>
      <c r="C886" s="38">
        <v>0.60039780782554197</v>
      </c>
      <c r="D886" s="14" t="s">
        <v>927</v>
      </c>
      <c r="E886" s="14" t="s">
        <v>46</v>
      </c>
    </row>
    <row r="887" spans="1:5" x14ac:dyDescent="0.25">
      <c r="A887" s="36">
        <v>885</v>
      </c>
      <c r="B887" s="37">
        <v>1359801154</v>
      </c>
      <c r="C887" s="38">
        <v>0.63320675614904931</v>
      </c>
      <c r="D887" s="14" t="s">
        <v>928</v>
      </c>
      <c r="E887" s="14" t="s">
        <v>48</v>
      </c>
    </row>
    <row r="888" spans="1:5" x14ac:dyDescent="0.25">
      <c r="A888" s="36">
        <v>886</v>
      </c>
      <c r="B888" s="37">
        <v>2035631837</v>
      </c>
      <c r="C888" s="38">
        <v>0.94791494214344529</v>
      </c>
      <c r="D888" s="14" t="s">
        <v>929</v>
      </c>
      <c r="E888" s="14" t="s">
        <v>37</v>
      </c>
    </row>
    <row r="889" spans="1:5" x14ac:dyDescent="0.25">
      <c r="A889" s="36">
        <v>887</v>
      </c>
      <c r="B889" s="37">
        <v>1269607932</v>
      </c>
      <c r="C889" s="38">
        <v>0.59120726426653902</v>
      </c>
      <c r="D889" s="14" t="s">
        <v>930</v>
      </c>
      <c r="E889" s="14" t="s">
        <v>40</v>
      </c>
    </row>
    <row r="890" spans="1:5" x14ac:dyDescent="0.25">
      <c r="A890" s="36">
        <v>888</v>
      </c>
      <c r="B890" s="37">
        <v>1597060410</v>
      </c>
      <c r="C890" s="38">
        <v>0.74368920677513317</v>
      </c>
      <c r="D890" s="14" t="s">
        <v>931</v>
      </c>
      <c r="E890" s="14" t="s">
        <v>43</v>
      </c>
    </row>
    <row r="891" spans="1:5" x14ac:dyDescent="0.25">
      <c r="A891" s="36">
        <v>889</v>
      </c>
      <c r="B891" s="37">
        <v>1608558290</v>
      </c>
      <c r="C891" s="38">
        <v>0.7490433243797362</v>
      </c>
      <c r="D891" s="14" t="s">
        <v>932</v>
      </c>
      <c r="E891" s="14" t="s">
        <v>46</v>
      </c>
    </row>
    <row r="892" spans="1:5" x14ac:dyDescent="0.25">
      <c r="A892" s="36">
        <v>890</v>
      </c>
      <c r="B892" s="37">
        <v>1743003226</v>
      </c>
      <c r="C892" s="38">
        <v>0.81164912637865594</v>
      </c>
      <c r="D892" s="14" t="s">
        <v>933</v>
      </c>
      <c r="E892" s="14" t="s">
        <v>48</v>
      </c>
    </row>
    <row r="893" spans="1:5" x14ac:dyDescent="0.25">
      <c r="A893" s="36">
        <v>891</v>
      </c>
      <c r="B893" s="37">
        <v>1576728403</v>
      </c>
      <c r="C893" s="38">
        <v>0.7342213782175544</v>
      </c>
      <c r="D893" s="14" t="s">
        <v>934</v>
      </c>
      <c r="E893" s="14" t="s">
        <v>37</v>
      </c>
    </row>
    <row r="894" spans="1:5" x14ac:dyDescent="0.25">
      <c r="A894" s="36">
        <v>892</v>
      </c>
      <c r="B894" s="37">
        <v>669399688</v>
      </c>
      <c r="C894" s="38">
        <v>0.31171352058263196</v>
      </c>
      <c r="D894" s="14" t="s">
        <v>935</v>
      </c>
      <c r="E894" s="14" t="s">
        <v>40</v>
      </c>
    </row>
    <row r="895" spans="1:5" x14ac:dyDescent="0.25">
      <c r="A895" s="36">
        <v>893</v>
      </c>
      <c r="B895" s="37">
        <v>901908238</v>
      </c>
      <c r="C895" s="38">
        <v>0.41998375133610505</v>
      </c>
      <c r="D895" s="14" t="s">
        <v>936</v>
      </c>
      <c r="E895" s="14" t="s">
        <v>43</v>
      </c>
    </row>
    <row r="896" spans="1:5" x14ac:dyDescent="0.25">
      <c r="A896" s="36">
        <v>894</v>
      </c>
      <c r="B896" s="37">
        <v>1988201942</v>
      </c>
      <c r="C896" s="38">
        <v>0.92582867617058973</v>
      </c>
      <c r="D896" s="14" t="s">
        <v>937</v>
      </c>
      <c r="E896" s="14" t="s">
        <v>46</v>
      </c>
    </row>
    <row r="897" spans="1:5" x14ac:dyDescent="0.25">
      <c r="A897" s="36">
        <v>895</v>
      </c>
      <c r="B897" s="37">
        <v>964947718</v>
      </c>
      <c r="C897" s="38">
        <v>0.44933879675778504</v>
      </c>
      <c r="D897" s="14" t="s">
        <v>938</v>
      </c>
      <c r="E897" s="14" t="s">
        <v>48</v>
      </c>
    </row>
    <row r="898" spans="1:5" x14ac:dyDescent="0.25">
      <c r="A898" s="36">
        <v>896</v>
      </c>
      <c r="B898" s="37">
        <v>285205581</v>
      </c>
      <c r="C898" s="38">
        <v>0.13280919805765581</v>
      </c>
      <c r="D898" s="14" t="s">
        <v>939</v>
      </c>
      <c r="E898" s="14" t="s">
        <v>37</v>
      </c>
    </row>
    <row r="899" spans="1:5" x14ac:dyDescent="0.25">
      <c r="A899" s="36">
        <v>897</v>
      </c>
      <c r="B899" s="37">
        <v>1508677840</v>
      </c>
      <c r="C899" s="38">
        <v>0.70253286543420179</v>
      </c>
      <c r="D899" s="14" t="s">
        <v>940</v>
      </c>
      <c r="E899" s="14" t="s">
        <v>40</v>
      </c>
    </row>
    <row r="900" spans="1:5" x14ac:dyDescent="0.25">
      <c r="A900" s="36">
        <v>898</v>
      </c>
      <c r="B900" s="37">
        <v>2125950422</v>
      </c>
      <c r="C900" s="38">
        <v>0.98997281072194354</v>
      </c>
      <c r="D900" s="14" t="s">
        <v>941</v>
      </c>
      <c r="E900" s="14" t="s">
        <v>43</v>
      </c>
    </row>
    <row r="901" spans="1:5" x14ac:dyDescent="0.25">
      <c r="A901" s="36">
        <v>899</v>
      </c>
      <c r="B901" s="37">
        <v>2072113175</v>
      </c>
      <c r="C901" s="38">
        <v>0.96490288896714471</v>
      </c>
      <c r="D901" s="14" t="s">
        <v>942</v>
      </c>
      <c r="E901" s="14" t="s">
        <v>46</v>
      </c>
    </row>
    <row r="902" spans="1:5" x14ac:dyDescent="0.25">
      <c r="A902" s="36">
        <v>900</v>
      </c>
      <c r="B902" s="37">
        <v>973656163</v>
      </c>
      <c r="C902" s="38">
        <v>0.45339398246882201</v>
      </c>
      <c r="D902" s="14" t="s">
        <v>943</v>
      </c>
      <c r="E902" s="14" t="s">
        <v>48</v>
      </c>
    </row>
    <row r="903" spans="1:5" x14ac:dyDescent="0.25">
      <c r="A903" s="36">
        <v>901</v>
      </c>
      <c r="B903" s="37">
        <v>195001956</v>
      </c>
      <c r="C903" s="38">
        <v>9.0804861900771444E-2</v>
      </c>
      <c r="D903" s="14" t="s">
        <v>944</v>
      </c>
      <c r="E903" s="14" t="s">
        <v>37</v>
      </c>
    </row>
    <row r="904" spans="1:5" x14ac:dyDescent="0.25">
      <c r="A904" s="36">
        <v>902</v>
      </c>
      <c r="B904" s="37">
        <v>933922014</v>
      </c>
      <c r="C904" s="38">
        <v>0.43489132748678855</v>
      </c>
      <c r="D904" s="14" t="s">
        <v>945</v>
      </c>
      <c r="E904" s="14" t="s">
        <v>40</v>
      </c>
    </row>
    <row r="905" spans="1:5" x14ac:dyDescent="0.25">
      <c r="A905" s="36">
        <v>903</v>
      </c>
      <c r="B905" s="37">
        <v>2059481684</v>
      </c>
      <c r="C905" s="38">
        <v>0.95902089260472956</v>
      </c>
      <c r="D905" s="14" t="s">
        <v>946</v>
      </c>
      <c r="E905" s="14" t="s">
        <v>43</v>
      </c>
    </row>
    <row r="906" spans="1:5" x14ac:dyDescent="0.25">
      <c r="A906" s="36">
        <v>904</v>
      </c>
      <c r="B906" s="37">
        <v>1553487165</v>
      </c>
      <c r="C906" s="38">
        <v>0.72339883340680922</v>
      </c>
      <c r="D906" s="14" t="s">
        <v>947</v>
      </c>
      <c r="E906" s="14" t="s">
        <v>46</v>
      </c>
    </row>
    <row r="907" spans="1:5" x14ac:dyDescent="0.25">
      <c r="A907" s="36">
        <v>905</v>
      </c>
      <c r="B907" s="37">
        <v>1965618443</v>
      </c>
      <c r="C907" s="38">
        <v>0.91531241494943971</v>
      </c>
      <c r="D907" s="14" t="s">
        <v>948</v>
      </c>
      <c r="E907" s="14" t="s">
        <v>48</v>
      </c>
    </row>
    <row r="908" spans="1:5" x14ac:dyDescent="0.25">
      <c r="A908" s="36">
        <v>906</v>
      </c>
      <c r="B908" s="37">
        <v>1867515478</v>
      </c>
      <c r="C908" s="38">
        <v>0.86962966195756086</v>
      </c>
      <c r="D908" s="14" t="s">
        <v>949</v>
      </c>
      <c r="E908" s="14" t="s">
        <v>37</v>
      </c>
    </row>
    <row r="909" spans="1:5" x14ac:dyDescent="0.25">
      <c r="A909" s="36">
        <v>907</v>
      </c>
      <c r="B909" s="37">
        <v>1686216733</v>
      </c>
      <c r="C909" s="38">
        <v>0.78520585493427042</v>
      </c>
      <c r="D909" s="14" t="s">
        <v>950</v>
      </c>
      <c r="E909" s="14" t="s">
        <v>40</v>
      </c>
    </row>
    <row r="910" spans="1:5" x14ac:dyDescent="0.25">
      <c r="A910" s="36">
        <v>908</v>
      </c>
      <c r="B910" s="37">
        <v>532190283</v>
      </c>
      <c r="C910" s="38">
        <v>0.24782041238985045</v>
      </c>
      <c r="D910" s="14" t="s">
        <v>951</v>
      </c>
      <c r="E910" s="14" t="s">
        <v>43</v>
      </c>
    </row>
    <row r="911" spans="1:5" x14ac:dyDescent="0.25">
      <c r="A911" s="36">
        <v>909</v>
      </c>
      <c r="B911" s="37">
        <v>1597876357</v>
      </c>
      <c r="C911" s="38">
        <v>0.74406916170570492</v>
      </c>
      <c r="D911" s="14" t="s">
        <v>952</v>
      </c>
      <c r="E911" s="14" t="s">
        <v>46</v>
      </c>
    </row>
    <row r="912" spans="1:5" x14ac:dyDescent="0.25">
      <c r="A912" s="36">
        <v>910</v>
      </c>
      <c r="B912" s="37">
        <v>415589914</v>
      </c>
      <c r="C912" s="38">
        <v>0.19352413443546934</v>
      </c>
      <c r="D912" s="14" t="s">
        <v>953</v>
      </c>
      <c r="E912" s="14" t="s">
        <v>48</v>
      </c>
    </row>
    <row r="913" spans="1:5" x14ac:dyDescent="0.25">
      <c r="A913" s="36">
        <v>911</v>
      </c>
      <c r="B913" s="37">
        <v>498231551</v>
      </c>
      <c r="C913" s="38">
        <v>0.23200714552402829</v>
      </c>
      <c r="D913" s="14" t="s">
        <v>954</v>
      </c>
      <c r="E913" s="14" t="s">
        <v>37</v>
      </c>
    </row>
    <row r="914" spans="1:5" x14ac:dyDescent="0.25">
      <c r="A914" s="36">
        <v>912</v>
      </c>
      <c r="B914" s="37">
        <v>356566744</v>
      </c>
      <c r="C914" s="38">
        <v>0.16603932909948721</v>
      </c>
      <c r="D914" s="14" t="s">
        <v>955</v>
      </c>
      <c r="E914" s="14" t="s">
        <v>40</v>
      </c>
    </row>
    <row r="915" spans="1:5" x14ac:dyDescent="0.25">
      <c r="A915" s="36">
        <v>913</v>
      </c>
      <c r="B915" s="37">
        <v>185553904</v>
      </c>
      <c r="C915" s="38">
        <v>8.6405269841852261E-2</v>
      </c>
      <c r="D915" s="14" t="s">
        <v>956</v>
      </c>
      <c r="E915" s="14" t="s">
        <v>43</v>
      </c>
    </row>
    <row r="916" spans="1:5" x14ac:dyDescent="0.25">
      <c r="A916" s="36">
        <v>914</v>
      </c>
      <c r="B916" s="37">
        <v>437913695</v>
      </c>
      <c r="C916" s="38">
        <v>0.2039194550383461</v>
      </c>
      <c r="D916" s="14" t="s">
        <v>957</v>
      </c>
      <c r="E916" s="14" t="s">
        <v>46</v>
      </c>
    </row>
    <row r="917" spans="1:5" x14ac:dyDescent="0.25">
      <c r="A917" s="36">
        <v>915</v>
      </c>
      <c r="B917" s="37">
        <v>1080256535</v>
      </c>
      <c r="C917" s="38">
        <v>0.50303364894494118</v>
      </c>
      <c r="D917" s="14" t="s">
        <v>958</v>
      </c>
      <c r="E917" s="14" t="s">
        <v>48</v>
      </c>
    </row>
    <row r="918" spans="1:5" x14ac:dyDescent="0.25">
      <c r="A918" s="36">
        <v>916</v>
      </c>
      <c r="B918" s="37">
        <v>1195388234</v>
      </c>
      <c r="C918" s="38">
        <v>0.55664602413617359</v>
      </c>
      <c r="D918" s="14" t="s">
        <v>959</v>
      </c>
      <c r="E918" s="14" t="s">
        <v>37</v>
      </c>
    </row>
    <row r="919" spans="1:5" x14ac:dyDescent="0.25">
      <c r="A919" s="36">
        <v>917</v>
      </c>
      <c r="B919" s="37">
        <v>1493491576</v>
      </c>
      <c r="C919" s="38">
        <v>0.69546121018727369</v>
      </c>
      <c r="D919" s="14" t="s">
        <v>960</v>
      </c>
      <c r="E919" s="14" t="s">
        <v>40</v>
      </c>
    </row>
    <row r="920" spans="1:5" x14ac:dyDescent="0.25">
      <c r="A920" s="36">
        <v>918</v>
      </c>
      <c r="B920" s="37">
        <v>92391012</v>
      </c>
      <c r="C920" s="38">
        <v>4.3022917603618892E-2</v>
      </c>
      <c r="D920" s="14" t="s">
        <v>961</v>
      </c>
      <c r="E920" s="14" t="s">
        <v>43</v>
      </c>
    </row>
    <row r="921" spans="1:5" x14ac:dyDescent="0.25">
      <c r="A921" s="36">
        <v>919</v>
      </c>
      <c r="B921" s="37">
        <v>416740912</v>
      </c>
      <c r="C921" s="38">
        <v>0.19406010964608755</v>
      </c>
      <c r="D921" s="14" t="s">
        <v>962</v>
      </c>
      <c r="E921" s="14" t="s">
        <v>46</v>
      </c>
    </row>
    <row r="922" spans="1:5" x14ac:dyDescent="0.25">
      <c r="A922" s="36">
        <v>920</v>
      </c>
      <c r="B922" s="37">
        <v>807764377</v>
      </c>
      <c r="C922" s="38">
        <v>0.37614459981031001</v>
      </c>
      <c r="D922" s="14" t="s">
        <v>963</v>
      </c>
      <c r="E922" s="14" t="s">
        <v>48</v>
      </c>
    </row>
    <row r="923" spans="1:5" x14ac:dyDescent="0.25">
      <c r="A923" s="36">
        <v>921</v>
      </c>
      <c r="B923" s="37">
        <v>1207176154</v>
      </c>
      <c r="C923" s="38">
        <v>0.5621352021406103</v>
      </c>
      <c r="D923" s="14" t="s">
        <v>964</v>
      </c>
      <c r="E923" s="14" t="s">
        <v>37</v>
      </c>
    </row>
    <row r="924" spans="1:5" x14ac:dyDescent="0.25">
      <c r="A924" s="36">
        <v>922</v>
      </c>
      <c r="B924" s="37">
        <v>1222946937</v>
      </c>
      <c r="C924" s="38">
        <v>0.56947904525766102</v>
      </c>
      <c r="D924" s="14" t="s">
        <v>965</v>
      </c>
      <c r="E924" s="14" t="s">
        <v>40</v>
      </c>
    </row>
    <row r="925" spans="1:5" x14ac:dyDescent="0.25">
      <c r="A925" s="36">
        <v>923</v>
      </c>
      <c r="B925" s="37">
        <v>1245419084</v>
      </c>
      <c r="C925" s="38">
        <v>0.57994345416312265</v>
      </c>
      <c r="D925" s="14" t="s">
        <v>966</v>
      </c>
      <c r="E925" s="14" t="s">
        <v>43</v>
      </c>
    </row>
    <row r="926" spans="1:5" x14ac:dyDescent="0.25">
      <c r="A926" s="36">
        <v>924</v>
      </c>
      <c r="B926" s="37">
        <v>1825740813</v>
      </c>
      <c r="C926" s="38">
        <v>0.85017681766775288</v>
      </c>
      <c r="D926" s="14" t="s">
        <v>967</v>
      </c>
      <c r="E926" s="14" t="s">
        <v>46</v>
      </c>
    </row>
    <row r="927" spans="1:5" x14ac:dyDescent="0.25">
      <c r="A927" s="36">
        <v>925</v>
      </c>
      <c r="B927" s="37">
        <v>84963821</v>
      </c>
      <c r="C927" s="38">
        <v>3.9564362279867919E-2</v>
      </c>
      <c r="D927" s="14" t="s">
        <v>968</v>
      </c>
      <c r="E927" s="14" t="s">
        <v>48</v>
      </c>
    </row>
    <row r="928" spans="1:5" x14ac:dyDescent="0.25">
      <c r="A928" s="36">
        <v>926</v>
      </c>
      <c r="B928" s="37">
        <v>734997416</v>
      </c>
      <c r="C928" s="38">
        <v>0.34225984306179913</v>
      </c>
      <c r="D928" s="14" t="s">
        <v>969</v>
      </c>
      <c r="E928" s="14" t="s">
        <v>37</v>
      </c>
    </row>
    <row r="929" spans="1:5" x14ac:dyDescent="0.25">
      <c r="A929" s="36">
        <v>927</v>
      </c>
      <c r="B929" s="37">
        <v>1154075723</v>
      </c>
      <c r="C929" s="38">
        <v>0.53740838707304017</v>
      </c>
      <c r="D929" s="14" t="s">
        <v>970</v>
      </c>
      <c r="E929" s="14" t="s">
        <v>40</v>
      </c>
    </row>
    <row r="930" spans="1:5" x14ac:dyDescent="0.25">
      <c r="A930" s="36">
        <v>928</v>
      </c>
      <c r="B930" s="37">
        <v>359979888</v>
      </c>
      <c r="C930" s="38">
        <v>0.167628698129034</v>
      </c>
      <c r="D930" s="14" t="s">
        <v>971</v>
      </c>
      <c r="E930" s="14" t="s">
        <v>43</v>
      </c>
    </row>
    <row r="931" spans="1:5" x14ac:dyDescent="0.25">
      <c r="A931" s="36">
        <v>929</v>
      </c>
      <c r="B931" s="37">
        <v>1354824189</v>
      </c>
      <c r="C931" s="38">
        <v>0.6308891762191845</v>
      </c>
      <c r="D931" s="14" t="s">
        <v>972</v>
      </c>
      <c r="E931" s="14" t="s">
        <v>46</v>
      </c>
    </row>
    <row r="932" spans="1:5" x14ac:dyDescent="0.25">
      <c r="A932" s="36">
        <v>930</v>
      </c>
      <c r="B932" s="37">
        <v>597391691</v>
      </c>
      <c r="C932" s="38">
        <v>0.27818218398754585</v>
      </c>
      <c r="D932" s="14" t="s">
        <v>973</v>
      </c>
      <c r="E932" s="14" t="s">
        <v>48</v>
      </c>
    </row>
    <row r="933" spans="1:5" x14ac:dyDescent="0.25">
      <c r="A933" s="36">
        <v>931</v>
      </c>
      <c r="B933" s="37">
        <v>1442975471</v>
      </c>
      <c r="C933" s="38">
        <v>0.67193781569224675</v>
      </c>
      <c r="D933" s="14" t="s">
        <v>974</v>
      </c>
      <c r="E933" s="14" t="s">
        <v>37</v>
      </c>
    </row>
    <row r="934" spans="1:5" x14ac:dyDescent="0.25">
      <c r="A934" s="36">
        <v>932</v>
      </c>
      <c r="B934" s="37">
        <v>1642397819</v>
      </c>
      <c r="C934" s="38">
        <v>0.76480108302310157</v>
      </c>
      <c r="D934" s="14" t="s">
        <v>975</v>
      </c>
      <c r="E934" s="14" t="s">
        <v>40</v>
      </c>
    </row>
    <row r="935" spans="1:5" x14ac:dyDescent="0.25">
      <c r="A935" s="36">
        <v>933</v>
      </c>
      <c r="B935" s="37">
        <v>2136434788</v>
      </c>
      <c r="C935" s="38">
        <v>0.99485497409238244</v>
      </c>
      <c r="D935" s="14" t="s">
        <v>976</v>
      </c>
      <c r="E935" s="14" t="s">
        <v>43</v>
      </c>
    </row>
    <row r="936" spans="1:5" x14ac:dyDescent="0.25">
      <c r="A936" s="36">
        <v>934</v>
      </c>
      <c r="B936" s="37">
        <v>961830156</v>
      </c>
      <c r="C936" s="38">
        <v>0.44788706882292734</v>
      </c>
      <c r="D936" s="14" t="s">
        <v>977</v>
      </c>
      <c r="E936" s="14" t="s">
        <v>46</v>
      </c>
    </row>
    <row r="937" spans="1:5" x14ac:dyDescent="0.25">
      <c r="A937" s="36">
        <v>935</v>
      </c>
      <c r="B937" s="37">
        <v>1493292330</v>
      </c>
      <c r="C937" s="38">
        <v>0.69536842903837959</v>
      </c>
      <c r="D937" s="14" t="s">
        <v>978</v>
      </c>
      <c r="E937" s="14" t="s">
        <v>48</v>
      </c>
    </row>
    <row r="938" spans="1:5" x14ac:dyDescent="0.25">
      <c r="A938" s="36">
        <v>936</v>
      </c>
      <c r="B938" s="37">
        <v>1302408147</v>
      </c>
      <c r="C938" s="38">
        <v>0.60648105461452206</v>
      </c>
      <c r="D938" s="14" t="s">
        <v>979</v>
      </c>
      <c r="E938" s="14" t="s">
        <v>37</v>
      </c>
    </row>
    <row r="939" spans="1:5" x14ac:dyDescent="0.25">
      <c r="A939" s="36">
        <v>937</v>
      </c>
      <c r="B939" s="37">
        <v>750691957</v>
      </c>
      <c r="C939" s="38">
        <v>0.34956818323096639</v>
      </c>
      <c r="D939" s="14" t="s">
        <v>980</v>
      </c>
      <c r="E939" s="14" t="s">
        <v>40</v>
      </c>
    </row>
    <row r="940" spans="1:5" x14ac:dyDescent="0.25">
      <c r="A940" s="36">
        <v>938</v>
      </c>
      <c r="B940" s="37">
        <v>971367993</v>
      </c>
      <c r="C940" s="38">
        <v>0.4523284702805469</v>
      </c>
      <c r="D940" s="14" t="s">
        <v>981</v>
      </c>
      <c r="E940" s="14" t="s">
        <v>43</v>
      </c>
    </row>
    <row r="941" spans="1:5" x14ac:dyDescent="0.25">
      <c r="A941" s="36">
        <v>939</v>
      </c>
      <c r="B941" s="37">
        <v>1114822484</v>
      </c>
      <c r="C941" s="38">
        <v>0.51912967326079018</v>
      </c>
      <c r="D941" s="14" t="s">
        <v>982</v>
      </c>
      <c r="E941" s="14" t="s">
        <v>46</v>
      </c>
    </row>
    <row r="942" spans="1:5" x14ac:dyDescent="0.25">
      <c r="A942" s="36">
        <v>940</v>
      </c>
      <c r="B942" s="37">
        <v>1699777035</v>
      </c>
      <c r="C942" s="38">
        <v>0.79152036262281256</v>
      </c>
      <c r="D942" s="14" t="s">
        <v>983</v>
      </c>
      <c r="E942" s="14" t="s">
        <v>48</v>
      </c>
    </row>
    <row r="943" spans="1:5" x14ac:dyDescent="0.25">
      <c r="A943" s="36">
        <v>941</v>
      </c>
      <c r="B943" s="37">
        <v>1940746863</v>
      </c>
      <c r="C943" s="38">
        <v>0.90373068298386905</v>
      </c>
      <c r="D943" s="14" t="s">
        <v>984</v>
      </c>
      <c r="E943" s="14" t="s">
        <v>37</v>
      </c>
    </row>
    <row r="944" spans="1:5" x14ac:dyDescent="0.25">
      <c r="A944" s="36">
        <v>942</v>
      </c>
      <c r="B944" s="37">
        <v>1690562844</v>
      </c>
      <c r="C944" s="38">
        <v>0.78722967057825521</v>
      </c>
      <c r="D944" s="14" t="s">
        <v>985</v>
      </c>
      <c r="E944" s="14" t="s">
        <v>40</v>
      </c>
    </row>
    <row r="945" spans="1:5" x14ac:dyDescent="0.25">
      <c r="A945" s="36">
        <v>943</v>
      </c>
      <c r="B945" s="37">
        <v>2017679462</v>
      </c>
      <c r="C945" s="38">
        <v>0.93955521608682124</v>
      </c>
      <c r="D945" s="14" t="s">
        <v>986</v>
      </c>
      <c r="E945" s="14" t="s">
        <v>43</v>
      </c>
    </row>
    <row r="946" spans="1:5" x14ac:dyDescent="0.25">
      <c r="A946" s="36">
        <v>944</v>
      </c>
      <c r="B946" s="37">
        <v>1327559062</v>
      </c>
      <c r="C946" s="38">
        <v>0.61819286207584334</v>
      </c>
      <c r="D946" s="14" t="s">
        <v>987</v>
      </c>
      <c r="E946" s="14" t="s">
        <v>46</v>
      </c>
    </row>
    <row r="947" spans="1:5" x14ac:dyDescent="0.25">
      <c r="A947" s="36">
        <v>945</v>
      </c>
      <c r="B947" s="37">
        <v>2031267714</v>
      </c>
      <c r="C947" s="38">
        <v>0.94588273900834974</v>
      </c>
      <c r="D947" s="14" t="s">
        <v>988</v>
      </c>
      <c r="E947" s="14" t="s">
        <v>48</v>
      </c>
    </row>
    <row r="948" spans="1:5" x14ac:dyDescent="0.25">
      <c r="A948" s="36">
        <v>946</v>
      </c>
      <c r="B948" s="37">
        <v>2014949158</v>
      </c>
      <c r="C948" s="38">
        <v>0.9382838192108478</v>
      </c>
      <c r="D948" s="14" t="s">
        <v>989</v>
      </c>
      <c r="E948" s="14" t="s">
        <v>37</v>
      </c>
    </row>
    <row r="949" spans="1:5" x14ac:dyDescent="0.25">
      <c r="A949" s="36">
        <v>947</v>
      </c>
      <c r="B949" s="37">
        <v>743690514</v>
      </c>
      <c r="C949" s="38">
        <v>0.34630788226905646</v>
      </c>
      <c r="D949" s="14" t="s">
        <v>990</v>
      </c>
      <c r="E949" s="14" t="s">
        <v>40</v>
      </c>
    </row>
    <row r="950" spans="1:5" x14ac:dyDescent="0.25">
      <c r="A950" s="36">
        <v>948</v>
      </c>
      <c r="B950" s="37">
        <v>1288210687</v>
      </c>
      <c r="C950" s="38">
        <v>0.59986984711134328</v>
      </c>
      <c r="D950" s="14" t="s">
        <v>991</v>
      </c>
      <c r="E950" s="14" t="s">
        <v>43</v>
      </c>
    </row>
    <row r="951" spans="1:5" x14ac:dyDescent="0.25">
      <c r="A951" s="36">
        <v>949</v>
      </c>
      <c r="B951" s="37">
        <v>1781120692</v>
      </c>
      <c r="C951" s="38">
        <v>0.82939895467339031</v>
      </c>
      <c r="D951" s="14" t="s">
        <v>992</v>
      </c>
      <c r="E951" s="14" t="s">
        <v>46</v>
      </c>
    </row>
    <row r="952" spans="1:5" x14ac:dyDescent="0.25">
      <c r="A952" s="36">
        <v>950</v>
      </c>
      <c r="B952" s="37">
        <v>1647471438</v>
      </c>
      <c r="C952" s="38">
        <v>0.7671636709790508</v>
      </c>
      <c r="D952" s="14" t="s">
        <v>993</v>
      </c>
      <c r="E952" s="14" t="s">
        <v>48</v>
      </c>
    </row>
    <row r="953" spans="1:5" x14ac:dyDescent="0.25">
      <c r="A953" s="36">
        <v>951</v>
      </c>
      <c r="B953" s="37">
        <v>1248917112</v>
      </c>
      <c r="C953" s="38">
        <v>0.58157235038539967</v>
      </c>
      <c r="D953" s="14" t="s">
        <v>994</v>
      </c>
      <c r="E953" s="14" t="s">
        <v>37</v>
      </c>
    </row>
    <row r="954" spans="1:5" x14ac:dyDescent="0.25">
      <c r="A954" s="36">
        <v>952</v>
      </c>
      <c r="B954" s="37">
        <v>405146849</v>
      </c>
      <c r="C954" s="38">
        <v>0.18866120334186648</v>
      </c>
      <c r="D954" s="14" t="s">
        <v>995</v>
      </c>
      <c r="E954" s="14" t="s">
        <v>40</v>
      </c>
    </row>
    <row r="955" spans="1:5" x14ac:dyDescent="0.25">
      <c r="A955" s="36">
        <v>953</v>
      </c>
      <c r="B955" s="37">
        <v>1635584891</v>
      </c>
      <c r="C955" s="38">
        <v>0.76162856619880936</v>
      </c>
      <c r="D955" s="14" t="s">
        <v>996</v>
      </c>
      <c r="E955" s="14" t="s">
        <v>43</v>
      </c>
    </row>
    <row r="956" spans="1:5" x14ac:dyDescent="0.25">
      <c r="A956" s="36">
        <v>954</v>
      </c>
      <c r="B956" s="37">
        <v>561111748</v>
      </c>
      <c r="C956" s="38">
        <v>0.26128801901884752</v>
      </c>
      <c r="D956" s="14" t="s">
        <v>997</v>
      </c>
      <c r="E956" s="14" t="s">
        <v>46</v>
      </c>
    </row>
    <row r="957" spans="1:5" x14ac:dyDescent="0.25">
      <c r="A957" s="36">
        <v>955</v>
      </c>
      <c r="B957" s="37">
        <v>1958490683</v>
      </c>
      <c r="C957" s="38">
        <v>0.91199329305067345</v>
      </c>
      <c r="D957" s="14" t="s">
        <v>998</v>
      </c>
      <c r="E957" s="14" t="s">
        <v>48</v>
      </c>
    </row>
    <row r="958" spans="1:5" x14ac:dyDescent="0.25">
      <c r="A958" s="36">
        <v>956</v>
      </c>
      <c r="B958" s="37">
        <v>232467506</v>
      </c>
      <c r="C958" s="38">
        <v>0.10825111815158796</v>
      </c>
      <c r="D958" s="14" t="s">
        <v>999</v>
      </c>
      <c r="E958" s="14" t="s">
        <v>37</v>
      </c>
    </row>
    <row r="959" spans="1:5" x14ac:dyDescent="0.25">
      <c r="A959" s="36">
        <v>957</v>
      </c>
      <c r="B959" s="37">
        <v>353426884</v>
      </c>
      <c r="C959" s="38">
        <v>0.16457721784924029</v>
      </c>
      <c r="D959" s="14" t="s">
        <v>1000</v>
      </c>
      <c r="E959" s="14" t="s">
        <v>40</v>
      </c>
    </row>
    <row r="960" spans="1:5" x14ac:dyDescent="0.25">
      <c r="A960" s="36">
        <v>958</v>
      </c>
      <c r="B960" s="37">
        <v>785284202</v>
      </c>
      <c r="C960" s="38">
        <v>0.3656764525760321</v>
      </c>
      <c r="D960" s="14" t="s">
        <v>1001</v>
      </c>
      <c r="E960" s="14" t="s">
        <v>43</v>
      </c>
    </row>
    <row r="961" spans="1:5" x14ac:dyDescent="0.25">
      <c r="A961" s="36">
        <v>959</v>
      </c>
      <c r="B961" s="37">
        <v>148949607</v>
      </c>
      <c r="C961" s="38">
        <v>6.9360065771900153E-2</v>
      </c>
      <c r="D961" s="14" t="s">
        <v>1002</v>
      </c>
      <c r="E961" s="14" t="s">
        <v>46</v>
      </c>
    </row>
    <row r="962" spans="1:5" x14ac:dyDescent="0.25">
      <c r="A962" s="36">
        <v>960</v>
      </c>
      <c r="B962" s="37">
        <v>76482454</v>
      </c>
      <c r="C962" s="38">
        <v>3.5614918002679442E-2</v>
      </c>
      <c r="D962" s="14" t="s">
        <v>1003</v>
      </c>
      <c r="E962" s="14" t="s">
        <v>48</v>
      </c>
    </row>
    <row r="963" spans="1:5" x14ac:dyDescent="0.25">
      <c r="A963" s="36">
        <v>961</v>
      </c>
      <c r="B963" s="37">
        <v>845087119</v>
      </c>
      <c r="C963" s="38">
        <v>0.39352435590397772</v>
      </c>
      <c r="D963" s="14" t="s">
        <v>1004</v>
      </c>
      <c r="E963" s="14" t="s">
        <v>37</v>
      </c>
    </row>
    <row r="964" spans="1:5" x14ac:dyDescent="0.25">
      <c r="A964" s="36">
        <v>962</v>
      </c>
      <c r="B964" s="37">
        <v>1289879641</v>
      </c>
      <c r="C964" s="38">
        <v>0.60064701437980261</v>
      </c>
      <c r="D964" s="14" t="s">
        <v>1005</v>
      </c>
      <c r="E964" s="14" t="s">
        <v>40</v>
      </c>
    </row>
    <row r="965" spans="1:5" x14ac:dyDescent="0.25">
      <c r="A965" s="36">
        <v>963</v>
      </c>
      <c r="B965" s="37">
        <v>952938324</v>
      </c>
      <c r="C965" s="38">
        <v>0.44374648688535506</v>
      </c>
      <c r="D965" s="14" t="s">
        <v>1006</v>
      </c>
      <c r="E965" s="14" t="s">
        <v>43</v>
      </c>
    </row>
    <row r="966" spans="1:5" x14ac:dyDescent="0.25">
      <c r="A966" s="36">
        <v>964</v>
      </c>
      <c r="B966" s="37">
        <v>1273927654</v>
      </c>
      <c r="C966" s="38">
        <v>0.59321879157480728</v>
      </c>
      <c r="D966" s="14" t="s">
        <v>1007</v>
      </c>
      <c r="E966" s="14" t="s">
        <v>46</v>
      </c>
    </row>
    <row r="967" spans="1:5" x14ac:dyDescent="0.25">
      <c r="A967" s="36">
        <v>965</v>
      </c>
      <c r="B967" s="37">
        <v>2107072304</v>
      </c>
      <c r="C967" s="38">
        <v>0.98118200198802263</v>
      </c>
      <c r="D967" s="14" t="s">
        <v>1008</v>
      </c>
      <c r="E967" s="14" t="s">
        <v>48</v>
      </c>
    </row>
    <row r="968" spans="1:5" x14ac:dyDescent="0.25">
      <c r="A968" s="36">
        <v>966</v>
      </c>
      <c r="B968" s="37">
        <v>953472129</v>
      </c>
      <c r="C968" s="38">
        <v>0.44399505920894217</v>
      </c>
      <c r="D968" s="14" t="s">
        <v>1009</v>
      </c>
      <c r="E968" s="14" t="s">
        <v>37</v>
      </c>
    </row>
    <row r="969" spans="1:5" x14ac:dyDescent="0.25">
      <c r="A969" s="36">
        <v>967</v>
      </c>
      <c r="B969" s="37">
        <v>747465421</v>
      </c>
      <c r="C969" s="38">
        <v>0.34806571032296202</v>
      </c>
      <c r="D969" s="14" t="s">
        <v>1010</v>
      </c>
      <c r="E969" s="14" t="s">
        <v>40</v>
      </c>
    </row>
    <row r="970" spans="1:5" x14ac:dyDescent="0.25">
      <c r="A970" s="36">
        <v>968</v>
      </c>
      <c r="B970" s="37">
        <v>1178133740</v>
      </c>
      <c r="C970" s="38">
        <v>0.54861127424454836</v>
      </c>
      <c r="D970" s="14" t="s">
        <v>1011</v>
      </c>
      <c r="E970" s="14" t="s">
        <v>43</v>
      </c>
    </row>
    <row r="971" spans="1:5" x14ac:dyDescent="0.25">
      <c r="A971" s="36">
        <v>969</v>
      </c>
      <c r="B971" s="37">
        <v>1403161204</v>
      </c>
      <c r="C971" s="38">
        <v>0.6533978528591794</v>
      </c>
      <c r="D971" s="14" t="s">
        <v>1012</v>
      </c>
      <c r="E971" s="14" t="s">
        <v>46</v>
      </c>
    </row>
    <row r="972" spans="1:5" x14ac:dyDescent="0.25">
      <c r="A972" s="36">
        <v>970</v>
      </c>
      <c r="B972" s="37">
        <v>1144966064</v>
      </c>
      <c r="C972" s="38">
        <v>0.53316637153419033</v>
      </c>
      <c r="D972" s="14" t="s">
        <v>1013</v>
      </c>
      <c r="E972" s="14" t="s">
        <v>48</v>
      </c>
    </row>
    <row r="973" spans="1:5" x14ac:dyDescent="0.25">
      <c r="A973" s="36">
        <v>971</v>
      </c>
      <c r="B973" s="37">
        <v>486864380</v>
      </c>
      <c r="C973" s="38">
        <v>0.22671389404065623</v>
      </c>
      <c r="D973" s="14" t="s">
        <v>1014</v>
      </c>
      <c r="E973" s="14" t="s">
        <v>37</v>
      </c>
    </row>
    <row r="974" spans="1:5" x14ac:dyDescent="0.25">
      <c r="A974" s="36">
        <v>972</v>
      </c>
      <c r="B974" s="37">
        <v>894671686</v>
      </c>
      <c r="C974" s="38">
        <v>0.41661396921454646</v>
      </c>
      <c r="D974" s="14" t="s">
        <v>1015</v>
      </c>
      <c r="E974" s="14" t="s">
        <v>40</v>
      </c>
    </row>
    <row r="975" spans="1:5" x14ac:dyDescent="0.25">
      <c r="A975" s="36">
        <v>973</v>
      </c>
      <c r="B975" s="37">
        <v>1802260165</v>
      </c>
      <c r="C975" s="38">
        <v>0.8392427888881614</v>
      </c>
      <c r="D975" s="14" t="s">
        <v>1016</v>
      </c>
      <c r="E975" s="14" t="s">
        <v>43</v>
      </c>
    </row>
    <row r="976" spans="1:5" x14ac:dyDescent="0.25">
      <c r="A976" s="36">
        <v>974</v>
      </c>
      <c r="B976" s="37">
        <v>161727021</v>
      </c>
      <c r="C976" s="38">
        <v>7.5310012826374742E-2</v>
      </c>
      <c r="D976" s="14" t="s">
        <v>1017</v>
      </c>
      <c r="E976" s="14" t="s">
        <v>46</v>
      </c>
    </row>
    <row r="977" spans="1:5" x14ac:dyDescent="0.25">
      <c r="A977" s="36">
        <v>975</v>
      </c>
      <c r="B977" s="37">
        <v>1870964563</v>
      </c>
      <c r="C977" s="38">
        <v>0.87123576731944263</v>
      </c>
      <c r="D977" s="14" t="s">
        <v>1018</v>
      </c>
      <c r="E977" s="14" t="s">
        <v>48</v>
      </c>
    </row>
    <row r="978" spans="1:5" x14ac:dyDescent="0.25">
      <c r="A978" s="36">
        <v>976</v>
      </c>
      <c r="B978" s="37">
        <v>403154280</v>
      </c>
      <c r="C978" s="38">
        <v>0.18773334109584491</v>
      </c>
      <c r="D978" s="14" t="s">
        <v>1019</v>
      </c>
      <c r="E978" s="14" t="s">
        <v>37</v>
      </c>
    </row>
    <row r="979" spans="1:5" x14ac:dyDescent="0.25">
      <c r="A979" s="36">
        <v>977</v>
      </c>
      <c r="B979" s="37">
        <v>669421134</v>
      </c>
      <c r="C979" s="38">
        <v>0.31172350715460417</v>
      </c>
      <c r="D979" s="14" t="s">
        <v>1020</v>
      </c>
      <c r="E979" s="14" t="s">
        <v>40</v>
      </c>
    </row>
    <row r="980" spans="1:5" x14ac:dyDescent="0.25">
      <c r="A980" s="36">
        <v>978</v>
      </c>
      <c r="B980" s="37">
        <v>92089389</v>
      </c>
      <c r="C980" s="38">
        <v>4.2882463449091864E-2</v>
      </c>
      <c r="D980" s="14" t="s">
        <v>1021</v>
      </c>
      <c r="E980" s="14" t="s">
        <v>43</v>
      </c>
    </row>
    <row r="981" spans="1:5" x14ac:dyDescent="0.25">
      <c r="A981" s="36">
        <v>979</v>
      </c>
      <c r="B981" s="37">
        <v>868890235</v>
      </c>
      <c r="C981" s="38">
        <v>0.40460854554763459</v>
      </c>
      <c r="D981" s="14" t="s">
        <v>1022</v>
      </c>
      <c r="E981" s="14" t="s">
        <v>46</v>
      </c>
    </row>
    <row r="982" spans="1:5" x14ac:dyDescent="0.25">
      <c r="A982" s="36">
        <v>980</v>
      </c>
      <c r="B982" s="37">
        <v>1098252391</v>
      </c>
      <c r="C982" s="38">
        <v>0.5114136224200081</v>
      </c>
      <c r="D982" s="14" t="s">
        <v>1023</v>
      </c>
      <c r="E982" s="14" t="s">
        <v>48</v>
      </c>
    </row>
    <row r="983" spans="1:5" x14ac:dyDescent="0.25">
      <c r="A983" s="36">
        <v>981</v>
      </c>
      <c r="B983" s="37">
        <v>498204631</v>
      </c>
      <c r="C983" s="38">
        <v>0.23199460992216814</v>
      </c>
      <c r="D983" s="14" t="s">
        <v>1024</v>
      </c>
      <c r="E983" s="14" t="s">
        <v>37</v>
      </c>
    </row>
    <row r="984" spans="1:5" x14ac:dyDescent="0.25">
      <c r="A984" s="36">
        <v>982</v>
      </c>
      <c r="B984" s="37">
        <v>644710331</v>
      </c>
      <c r="C984" s="38">
        <v>0.30021664281385796</v>
      </c>
      <c r="D984" s="14" t="s">
        <v>1025</v>
      </c>
      <c r="E984" s="14" t="s">
        <v>40</v>
      </c>
    </row>
    <row r="985" spans="1:5" x14ac:dyDescent="0.25">
      <c r="A985" s="36">
        <v>983</v>
      </c>
      <c r="B985" s="37">
        <v>1244500452</v>
      </c>
      <c r="C985" s="38">
        <v>0.57951568280324139</v>
      </c>
      <c r="D985" s="14" t="s">
        <v>1026</v>
      </c>
      <c r="E985" s="14" t="s">
        <v>43</v>
      </c>
    </row>
    <row r="986" spans="1:5" x14ac:dyDescent="0.25">
      <c r="A986" s="36">
        <v>984</v>
      </c>
      <c r="B986" s="37">
        <v>1748167677</v>
      </c>
      <c r="C986" s="38">
        <v>0.81405401128067356</v>
      </c>
      <c r="D986" s="14" t="s">
        <v>1027</v>
      </c>
      <c r="E986" s="14" t="s">
        <v>46</v>
      </c>
    </row>
    <row r="987" spans="1:5" x14ac:dyDescent="0.25">
      <c r="A987" s="36">
        <v>985</v>
      </c>
      <c r="B987" s="37">
        <v>1557490237</v>
      </c>
      <c r="C987" s="38">
        <v>0.72526290906838276</v>
      </c>
      <c r="D987" s="14" t="s">
        <v>1028</v>
      </c>
      <c r="E987" s="14" t="s">
        <v>48</v>
      </c>
    </row>
    <row r="988" spans="1:5" x14ac:dyDescent="0.25">
      <c r="A988" s="36">
        <v>986</v>
      </c>
      <c r="B988" s="37">
        <v>1537282602</v>
      </c>
      <c r="C988" s="38">
        <v>0.715852995736456</v>
      </c>
      <c r="D988" s="14" t="s">
        <v>1029</v>
      </c>
      <c r="E988" s="14" t="s">
        <v>37</v>
      </c>
    </row>
    <row r="989" spans="1:5" x14ac:dyDescent="0.25">
      <c r="A989" s="36">
        <v>987</v>
      </c>
      <c r="B989" s="37">
        <v>1459997188</v>
      </c>
      <c r="C989" s="38">
        <v>0.67986417034634583</v>
      </c>
      <c r="D989" s="14" t="s">
        <v>1030</v>
      </c>
      <c r="E989" s="14" t="s">
        <v>40</v>
      </c>
    </row>
    <row r="990" spans="1:5" x14ac:dyDescent="0.25">
      <c r="A990" s="36">
        <v>988</v>
      </c>
      <c r="B990" s="37">
        <v>816648726</v>
      </c>
      <c r="C990" s="38">
        <v>0.38028169720446769</v>
      </c>
      <c r="D990" s="14" t="s">
        <v>1031</v>
      </c>
      <c r="E990" s="14" t="s">
        <v>43</v>
      </c>
    </row>
    <row r="991" spans="1:5" x14ac:dyDescent="0.25">
      <c r="A991" s="36">
        <v>989</v>
      </c>
      <c r="B991" s="37">
        <v>1855802137</v>
      </c>
      <c r="C991" s="38">
        <v>0.86417521250628648</v>
      </c>
      <c r="D991" s="14" t="s">
        <v>1032</v>
      </c>
      <c r="E991" s="14" t="s">
        <v>46</v>
      </c>
    </row>
    <row r="992" spans="1:5" x14ac:dyDescent="0.25">
      <c r="A992" s="36">
        <v>990</v>
      </c>
      <c r="B992" s="37">
        <v>1541319821</v>
      </c>
      <c r="C992" s="38">
        <v>0.71773297233401467</v>
      </c>
      <c r="D992" s="14" t="s">
        <v>1033</v>
      </c>
      <c r="E992" s="14" t="s">
        <v>48</v>
      </c>
    </row>
    <row r="993" spans="1:5" x14ac:dyDescent="0.25">
      <c r="A993" s="36">
        <v>991</v>
      </c>
      <c r="B993" s="37">
        <v>2035621700</v>
      </c>
      <c r="C993" s="38">
        <v>0.94791022173497375</v>
      </c>
      <c r="D993" s="14" t="s">
        <v>1034</v>
      </c>
      <c r="E993" s="14" t="s">
        <v>37</v>
      </c>
    </row>
    <row r="994" spans="1:5" x14ac:dyDescent="0.25">
      <c r="A994" s="36">
        <v>992</v>
      </c>
      <c r="B994" s="37">
        <v>1576187183</v>
      </c>
      <c r="C994" s="38">
        <v>0.73396935301552035</v>
      </c>
      <c r="D994" s="14" t="s">
        <v>1035</v>
      </c>
      <c r="E994" s="14" t="s">
        <v>40</v>
      </c>
    </row>
    <row r="995" spans="1:5" x14ac:dyDescent="0.25">
      <c r="A995" s="36">
        <v>993</v>
      </c>
      <c r="B995" s="37">
        <v>1738310928</v>
      </c>
      <c r="C995" s="38">
        <v>0.809464104850527</v>
      </c>
      <c r="D995" s="14" t="s">
        <v>1036</v>
      </c>
      <c r="E995" s="14" t="s">
        <v>43</v>
      </c>
    </row>
    <row r="996" spans="1:5" x14ac:dyDescent="0.25">
      <c r="A996" s="36">
        <v>994</v>
      </c>
      <c r="B996" s="37">
        <v>1527424092</v>
      </c>
      <c r="C996" s="38">
        <v>0.71126226927678204</v>
      </c>
      <c r="D996" s="14" t="s">
        <v>1037</v>
      </c>
      <c r="E996" s="14" t="s">
        <v>46</v>
      </c>
    </row>
    <row r="997" spans="1:5" x14ac:dyDescent="0.25">
      <c r="A997" s="36">
        <v>995</v>
      </c>
      <c r="B997" s="37">
        <v>646186165</v>
      </c>
      <c r="C997" s="38">
        <v>0.30090388157447051</v>
      </c>
      <c r="D997" s="14" t="s">
        <v>1038</v>
      </c>
      <c r="E997" s="14" t="s">
        <v>48</v>
      </c>
    </row>
    <row r="998" spans="1:5" x14ac:dyDescent="0.25">
      <c r="A998" s="36">
        <v>996</v>
      </c>
      <c r="B998" s="37">
        <v>1085797134</v>
      </c>
      <c r="C998" s="38">
        <v>0.50561369140893864</v>
      </c>
      <c r="D998" s="14" t="s">
        <v>1039</v>
      </c>
      <c r="E998" s="14" t="s">
        <v>37</v>
      </c>
    </row>
    <row r="999" spans="1:5" x14ac:dyDescent="0.25">
      <c r="A999" s="36">
        <v>997</v>
      </c>
      <c r="B999" s="37">
        <v>218674844</v>
      </c>
      <c r="C999" s="38">
        <v>0.1018284094062766</v>
      </c>
      <c r="D999" s="14" t="s">
        <v>1040</v>
      </c>
      <c r="E999" s="14" t="s">
        <v>40</v>
      </c>
    </row>
    <row r="1000" spans="1:5" x14ac:dyDescent="0.25">
      <c r="A1000" s="36">
        <v>998</v>
      </c>
      <c r="B1000" s="37">
        <v>870381411</v>
      </c>
      <c r="C1000" s="38">
        <v>0.40530292848372035</v>
      </c>
      <c r="D1000" s="14" t="s">
        <v>1041</v>
      </c>
      <c r="E1000" s="14" t="s">
        <v>43</v>
      </c>
    </row>
    <row r="1001" spans="1:5" x14ac:dyDescent="0.25">
      <c r="A1001" s="36">
        <v>999</v>
      </c>
      <c r="B1001" s="37">
        <v>706887859</v>
      </c>
      <c r="C1001" s="38">
        <v>0.32917031055743357</v>
      </c>
      <c r="D1001" s="14" t="s">
        <v>1042</v>
      </c>
      <c r="E1001" s="14" t="s">
        <v>46</v>
      </c>
    </row>
    <row r="1002" spans="1:5" x14ac:dyDescent="0.25">
      <c r="A1002" s="36">
        <v>1000</v>
      </c>
      <c r="B1002" s="37">
        <v>1467411134</v>
      </c>
      <c r="C1002" s="38">
        <v>0.6833165579863435</v>
      </c>
      <c r="D1002" s="14" t="s">
        <v>1043</v>
      </c>
      <c r="E1002" s="14" t="s">
        <v>48</v>
      </c>
    </row>
    <row r="1003" spans="1:5" x14ac:dyDescent="0.25">
      <c r="A1003" s="36">
        <v>1001</v>
      </c>
      <c r="B1003" s="37">
        <v>2074078714</v>
      </c>
      <c r="C1003" s="38">
        <v>0.96581816438856449</v>
      </c>
      <c r="D1003" s="14" t="s">
        <v>1044</v>
      </c>
      <c r="E1003" s="14" t="s">
        <v>37</v>
      </c>
    </row>
    <row r="1004" spans="1:5" x14ac:dyDescent="0.25">
      <c r="A1004" s="36">
        <v>1002</v>
      </c>
      <c r="B1004" s="37">
        <v>2044865757</v>
      </c>
      <c r="C1004" s="38">
        <v>0.95221482121954426</v>
      </c>
      <c r="D1004" s="14" t="s">
        <v>1045</v>
      </c>
      <c r="E1004" s="14" t="s">
        <v>40</v>
      </c>
    </row>
    <row r="1005" spans="1:5" x14ac:dyDescent="0.25">
      <c r="A1005" s="36">
        <v>1003</v>
      </c>
      <c r="B1005" s="37">
        <v>1819834353</v>
      </c>
      <c r="C1005" s="38">
        <v>0.84742640789944046</v>
      </c>
      <c r="D1005" s="14" t="s">
        <v>1046</v>
      </c>
      <c r="E1005" s="14" t="s">
        <v>43</v>
      </c>
    </row>
    <row r="1006" spans="1:5" x14ac:dyDescent="0.25">
      <c r="A1006" s="36">
        <v>1004</v>
      </c>
      <c r="B1006" s="37">
        <v>1962251934</v>
      </c>
      <c r="C1006" s="38">
        <v>0.91374476203403654</v>
      </c>
      <c r="D1006" s="14" t="s">
        <v>1047</v>
      </c>
      <c r="E1006" s="14" t="s">
        <v>46</v>
      </c>
    </row>
    <row r="1007" spans="1:5" x14ac:dyDescent="0.25">
      <c r="A1007" s="36">
        <v>1005</v>
      </c>
      <c r="B1007" s="37">
        <v>1013957276</v>
      </c>
      <c r="C1007" s="38">
        <v>0.47216065063707563</v>
      </c>
      <c r="D1007" s="14" t="s">
        <v>1048</v>
      </c>
      <c r="E1007" s="14" t="s">
        <v>48</v>
      </c>
    </row>
    <row r="1008" spans="1:5" x14ac:dyDescent="0.25">
      <c r="A1008" s="36">
        <v>1006</v>
      </c>
      <c r="B1008" s="37">
        <v>1458436942</v>
      </c>
      <c r="C1008" s="38">
        <v>0.67913762418513079</v>
      </c>
      <c r="D1008" s="14" t="s">
        <v>1049</v>
      </c>
      <c r="E1008" s="14" t="s">
        <v>37</v>
      </c>
    </row>
    <row r="1009" spans="1:5" x14ac:dyDescent="0.25">
      <c r="A1009" s="36">
        <v>1007</v>
      </c>
      <c r="B1009" s="37">
        <v>55904799</v>
      </c>
      <c r="C1009" s="38">
        <v>2.6032700681142835E-2</v>
      </c>
      <c r="D1009" s="14" t="s">
        <v>1050</v>
      </c>
      <c r="E1009" s="14" t="s">
        <v>40</v>
      </c>
    </row>
    <row r="1010" spans="1:5" x14ac:dyDescent="0.25">
      <c r="A1010" s="36">
        <v>1008</v>
      </c>
      <c r="B1010" s="37">
        <v>1188067894</v>
      </c>
      <c r="C1010" s="38">
        <v>0.55323722518665586</v>
      </c>
      <c r="D1010" s="14" t="s">
        <v>1051</v>
      </c>
      <c r="E1010" s="14" t="s">
        <v>43</v>
      </c>
    </row>
    <row r="1011" spans="1:5" x14ac:dyDescent="0.25">
      <c r="A1011" s="36">
        <v>1009</v>
      </c>
      <c r="B1011" s="37">
        <v>1426766154</v>
      </c>
      <c r="C1011" s="38">
        <v>0.66438976426813279</v>
      </c>
      <c r="D1011" s="14" t="s">
        <v>1052</v>
      </c>
      <c r="E1011" s="14" t="s">
        <v>46</v>
      </c>
    </row>
    <row r="1012" spans="1:5" x14ac:dyDescent="0.25">
      <c r="A1012" s="36">
        <v>1010</v>
      </c>
      <c r="B1012" s="37">
        <v>1813559302</v>
      </c>
      <c r="C1012" s="38">
        <v>0.84450435957149805</v>
      </c>
      <c r="D1012" s="14" t="s">
        <v>1053</v>
      </c>
      <c r="E1012" s="14" t="s">
        <v>48</v>
      </c>
    </row>
    <row r="1013" spans="1:5" x14ac:dyDescent="0.25">
      <c r="A1013" s="36">
        <v>1011</v>
      </c>
      <c r="B1013" s="37">
        <v>195961520</v>
      </c>
      <c r="C1013" s="38">
        <v>9.1251693708473677E-2</v>
      </c>
      <c r="D1013" s="14" t="s">
        <v>1054</v>
      </c>
      <c r="E1013" s="14" t="s">
        <v>37</v>
      </c>
    </row>
    <row r="1014" spans="1:5" x14ac:dyDescent="0.25">
      <c r="A1014" s="36">
        <v>1012</v>
      </c>
      <c r="B1014" s="37">
        <v>424355746</v>
      </c>
      <c r="C1014" s="38">
        <v>0.1976060430508135</v>
      </c>
      <c r="D1014" s="14" t="s">
        <v>1055</v>
      </c>
      <c r="E1014" s="14" t="s">
        <v>40</v>
      </c>
    </row>
    <row r="1015" spans="1:5" x14ac:dyDescent="0.25">
      <c r="A1015" s="36">
        <v>1013</v>
      </c>
      <c r="B1015" s="37">
        <v>1440843633</v>
      </c>
      <c r="C1015" s="38">
        <v>0.67094510126437301</v>
      </c>
      <c r="D1015" s="14" t="s">
        <v>1056</v>
      </c>
      <c r="E1015" s="14" t="s">
        <v>43</v>
      </c>
    </row>
    <row r="1016" spans="1:5" x14ac:dyDescent="0.25">
      <c r="A1016" s="36">
        <v>1014</v>
      </c>
      <c r="B1016" s="37">
        <v>787735713</v>
      </c>
      <c r="C1016" s="38">
        <v>0.36681802634467281</v>
      </c>
      <c r="D1016" s="14" t="s">
        <v>1057</v>
      </c>
      <c r="E1016" s="14" t="s">
        <v>46</v>
      </c>
    </row>
    <row r="1017" spans="1:5" x14ac:dyDescent="0.25">
      <c r="A1017" s="36">
        <v>1015</v>
      </c>
      <c r="B1017" s="37">
        <v>531367582</v>
      </c>
      <c r="C1017" s="38">
        <v>0.24743731238294267</v>
      </c>
      <c r="D1017" s="14" t="s">
        <v>1058</v>
      </c>
      <c r="E1017" s="14" t="s">
        <v>48</v>
      </c>
    </row>
    <row r="1018" spans="1:5" x14ac:dyDescent="0.25">
      <c r="A1018" s="36">
        <v>1016</v>
      </c>
      <c r="B1018" s="37">
        <v>138577471</v>
      </c>
      <c r="C1018" s="38">
        <v>6.4530163567760104E-2</v>
      </c>
      <c r="D1018" s="14" t="s">
        <v>1059</v>
      </c>
      <c r="E1018" s="14" t="s">
        <v>37</v>
      </c>
    </row>
    <row r="1019" spans="1:5" x14ac:dyDescent="0.25">
      <c r="A1019" s="36">
        <v>1017</v>
      </c>
      <c r="B1019" s="37">
        <v>1165328934</v>
      </c>
      <c r="C1019" s="38">
        <v>0.54264857179608594</v>
      </c>
      <c r="D1019" s="14" t="s">
        <v>1060</v>
      </c>
      <c r="E1019" s="14" t="s">
        <v>40</v>
      </c>
    </row>
    <row r="1020" spans="1:5" x14ac:dyDescent="0.25">
      <c r="A1020" s="36">
        <v>1018</v>
      </c>
      <c r="B1020" s="37">
        <v>1258650529</v>
      </c>
      <c r="C1020" s="38">
        <v>0.58610482587763335</v>
      </c>
      <c r="D1020" s="14" t="s">
        <v>1061</v>
      </c>
      <c r="E1020" s="14" t="s">
        <v>43</v>
      </c>
    </row>
    <row r="1021" spans="1:5" x14ac:dyDescent="0.25">
      <c r="A1021" s="36">
        <v>1019</v>
      </c>
      <c r="B1021" s="37">
        <v>1304445806</v>
      </c>
      <c r="C1021" s="38">
        <v>0.60742991352799813</v>
      </c>
      <c r="D1021" s="14" t="s">
        <v>1062</v>
      </c>
      <c r="E1021" s="14" t="s">
        <v>46</v>
      </c>
    </row>
    <row r="1022" spans="1:5" x14ac:dyDescent="0.25">
      <c r="A1022" s="36">
        <v>1020</v>
      </c>
      <c r="B1022" s="37">
        <v>1608360319</v>
      </c>
      <c r="C1022" s="38">
        <v>0.74895113694898374</v>
      </c>
      <c r="D1022" s="14" t="s">
        <v>1063</v>
      </c>
      <c r="E1022" s="14" t="s">
        <v>48</v>
      </c>
    </row>
    <row r="1023" spans="1:5" x14ac:dyDescent="0.25">
      <c r="A1023" s="36">
        <v>1021</v>
      </c>
      <c r="B1023" s="37">
        <v>780322442</v>
      </c>
      <c r="C1023" s="38">
        <v>0.36336595302604419</v>
      </c>
      <c r="D1023" s="14" t="s">
        <v>1064</v>
      </c>
      <c r="E1023" s="14" t="s">
        <v>37</v>
      </c>
    </row>
    <row r="1024" spans="1:5" x14ac:dyDescent="0.25">
      <c r="A1024" s="36">
        <v>1022</v>
      </c>
      <c r="B1024" s="37">
        <v>397491969</v>
      </c>
      <c r="C1024" s="38">
        <v>0.18509662206522032</v>
      </c>
      <c r="D1024" s="14" t="s">
        <v>1065</v>
      </c>
      <c r="E1024" s="14" t="s">
        <v>40</v>
      </c>
    </row>
    <row r="1025" spans="1:5" x14ac:dyDescent="0.25">
      <c r="A1025" s="36">
        <v>1023</v>
      </c>
      <c r="B1025" s="37">
        <v>916930542</v>
      </c>
      <c r="C1025" s="38">
        <v>0.4269790567583307</v>
      </c>
      <c r="D1025" s="14" t="s">
        <v>1066</v>
      </c>
      <c r="E1025" s="14" t="s">
        <v>43</v>
      </c>
    </row>
    <row r="1026" spans="1:5" x14ac:dyDescent="0.25">
      <c r="A1026" s="36">
        <v>1024</v>
      </c>
      <c r="B1026" s="37">
        <v>1689181874</v>
      </c>
      <c r="C1026" s="38">
        <v>0.78658660631002231</v>
      </c>
      <c r="D1026" s="14" t="s">
        <v>1067</v>
      </c>
      <c r="E1026" s="14" t="s">
        <v>46</v>
      </c>
    </row>
    <row r="1027" spans="1:5" x14ac:dyDescent="0.25">
      <c r="A1027" s="36">
        <v>1025</v>
      </c>
      <c r="B1027" s="37">
        <v>1166092502</v>
      </c>
      <c r="C1027" s="38">
        <v>0.54300413585407847</v>
      </c>
      <c r="D1027" s="14" t="s">
        <v>1068</v>
      </c>
      <c r="E1027" s="14" t="s">
        <v>48</v>
      </c>
    </row>
    <row r="1028" spans="1:5" x14ac:dyDescent="0.25">
      <c r="A1028" s="36">
        <v>1026</v>
      </c>
      <c r="B1028" s="37">
        <v>926356705</v>
      </c>
      <c r="C1028" s="38">
        <v>0.43136845595732726</v>
      </c>
      <c r="D1028" s="14" t="s">
        <v>1069</v>
      </c>
      <c r="E1028" s="14" t="s">
        <v>37</v>
      </c>
    </row>
    <row r="1029" spans="1:5" x14ac:dyDescent="0.25">
      <c r="A1029" s="36">
        <v>1027</v>
      </c>
      <c r="B1029" s="37">
        <v>110140820</v>
      </c>
      <c r="C1029" s="38">
        <v>5.128831605021298E-2</v>
      </c>
      <c r="D1029" s="14" t="s">
        <v>1070</v>
      </c>
      <c r="E1029" s="14" t="s">
        <v>40</v>
      </c>
    </row>
    <row r="1030" spans="1:5" x14ac:dyDescent="0.25">
      <c r="A1030" s="36">
        <v>1028</v>
      </c>
      <c r="B1030" s="37">
        <v>335886686</v>
      </c>
      <c r="C1030" s="38">
        <v>0.15640942666512422</v>
      </c>
      <c r="D1030" s="14" t="s">
        <v>1071</v>
      </c>
      <c r="E1030" s="14" t="s">
        <v>43</v>
      </c>
    </row>
    <row r="1031" spans="1:5" x14ac:dyDescent="0.25">
      <c r="A1031" s="36">
        <v>1029</v>
      </c>
      <c r="B1031" s="37">
        <v>1874872864</v>
      </c>
      <c r="C1031" s="38">
        <v>0.87305571179513619</v>
      </c>
      <c r="D1031" s="14" t="s">
        <v>1072</v>
      </c>
      <c r="E1031" s="14" t="s">
        <v>46</v>
      </c>
    </row>
    <row r="1032" spans="1:5" x14ac:dyDescent="0.25">
      <c r="A1032" s="36">
        <v>1030</v>
      </c>
      <c r="B1032" s="37">
        <v>1139909542</v>
      </c>
      <c r="C1032" s="38">
        <v>0.53081174498927397</v>
      </c>
      <c r="D1032" s="14" t="s">
        <v>1073</v>
      </c>
      <c r="E1032" s="14" t="s">
        <v>48</v>
      </c>
    </row>
    <row r="1033" spans="1:5" x14ac:dyDescent="0.25">
      <c r="A1033" s="36">
        <v>1031</v>
      </c>
      <c r="B1033" s="37">
        <v>1915478570</v>
      </c>
      <c r="C1033" s="38">
        <v>0.89196421713194074</v>
      </c>
      <c r="D1033" s="14" t="s">
        <v>1074</v>
      </c>
      <c r="E1033" s="14" t="s">
        <v>37</v>
      </c>
    </row>
    <row r="1034" spans="1:5" x14ac:dyDescent="0.25">
      <c r="A1034" s="36">
        <v>1032</v>
      </c>
      <c r="B1034" s="37">
        <v>452383514</v>
      </c>
      <c r="C1034" s="38">
        <v>0.21065748958413372</v>
      </c>
      <c r="D1034" s="14" t="s">
        <v>1075</v>
      </c>
      <c r="E1034" s="14" t="s">
        <v>40</v>
      </c>
    </row>
    <row r="1035" spans="1:5" x14ac:dyDescent="0.25">
      <c r="A1035" s="36">
        <v>1033</v>
      </c>
      <c r="B1035" s="37">
        <v>279142758</v>
      </c>
      <c r="C1035" s="38">
        <v>0.12998597609344217</v>
      </c>
      <c r="D1035" s="14" t="s">
        <v>1076</v>
      </c>
      <c r="E1035" s="14" t="s">
        <v>43</v>
      </c>
    </row>
    <row r="1036" spans="1:5" x14ac:dyDescent="0.25">
      <c r="A1036" s="36">
        <v>1034</v>
      </c>
      <c r="B1036" s="37">
        <v>813881018</v>
      </c>
      <c r="C1036" s="38">
        <v>0.37899288273369564</v>
      </c>
      <c r="D1036" s="14" t="s">
        <v>1077</v>
      </c>
      <c r="E1036" s="14" t="s">
        <v>46</v>
      </c>
    </row>
    <row r="1037" spans="1:5" x14ac:dyDescent="0.25">
      <c r="A1037" s="36">
        <v>1035</v>
      </c>
      <c r="B1037" s="37">
        <v>1289066252</v>
      </c>
      <c r="C1037" s="38">
        <v>0.60026825061080435</v>
      </c>
      <c r="D1037" s="14" t="s">
        <v>1078</v>
      </c>
      <c r="E1037" s="14" t="s">
        <v>48</v>
      </c>
    </row>
    <row r="1038" spans="1:5" x14ac:dyDescent="0.25">
      <c r="A1038" s="36">
        <v>1036</v>
      </c>
      <c r="B1038" s="37">
        <v>2108794356</v>
      </c>
      <c r="C1038" s="38">
        <v>0.98198389493952687</v>
      </c>
      <c r="D1038" s="14" t="s">
        <v>1079</v>
      </c>
      <c r="E1038" s="14" t="s">
        <v>37</v>
      </c>
    </row>
    <row r="1039" spans="1:5" x14ac:dyDescent="0.25">
      <c r="A1039" s="36">
        <v>1037</v>
      </c>
      <c r="B1039" s="37">
        <v>461408684</v>
      </c>
      <c r="C1039" s="38">
        <v>0.21486016186646192</v>
      </c>
      <c r="D1039" s="14" t="s">
        <v>1080</v>
      </c>
      <c r="E1039" s="14" t="s">
        <v>40</v>
      </c>
    </row>
    <row r="1040" spans="1:5" x14ac:dyDescent="0.25">
      <c r="A1040" s="36">
        <v>1038</v>
      </c>
      <c r="B1040" s="37">
        <v>1252126243</v>
      </c>
      <c r="C1040" s="38">
        <v>0.58306671845869473</v>
      </c>
      <c r="D1040" s="14" t="s">
        <v>1081</v>
      </c>
      <c r="E1040" s="14" t="s">
        <v>43</v>
      </c>
    </row>
    <row r="1041" spans="1:5" x14ac:dyDescent="0.25">
      <c r="A1041" s="36">
        <v>1039</v>
      </c>
      <c r="B1041" s="37">
        <v>1292094535</v>
      </c>
      <c r="C1041" s="38">
        <v>0.60167840477157308</v>
      </c>
      <c r="D1041" s="14" t="s">
        <v>1082</v>
      </c>
      <c r="E1041" s="14" t="s">
        <v>46</v>
      </c>
    </row>
    <row r="1042" spans="1:5" x14ac:dyDescent="0.25">
      <c r="A1042" s="36">
        <v>1040</v>
      </c>
      <c r="B1042" s="37">
        <v>469951775</v>
      </c>
      <c r="C1042" s="38">
        <v>0.21883834862096158</v>
      </c>
      <c r="D1042" s="14" t="s">
        <v>1083</v>
      </c>
      <c r="E1042" s="14" t="s">
        <v>48</v>
      </c>
    </row>
    <row r="1043" spans="1:5" x14ac:dyDescent="0.25">
      <c r="A1043" s="36">
        <v>1041</v>
      </c>
      <c r="B1043" s="37">
        <v>803962584</v>
      </c>
      <c r="C1043" s="38">
        <v>0.37437425198702806</v>
      </c>
      <c r="D1043" s="14" t="s">
        <v>1084</v>
      </c>
      <c r="E1043" s="14" t="s">
        <v>37</v>
      </c>
    </row>
    <row r="1044" spans="1:5" x14ac:dyDescent="0.25">
      <c r="A1044" s="36">
        <v>1042</v>
      </c>
      <c r="B1044" s="37">
        <v>1661990538</v>
      </c>
      <c r="C1044" s="38">
        <v>0.77392465377874886</v>
      </c>
      <c r="D1044" s="14" t="s">
        <v>1085</v>
      </c>
      <c r="E1044" s="14" t="s">
        <v>40</v>
      </c>
    </row>
    <row r="1045" spans="1:5" x14ac:dyDescent="0.25">
      <c r="A1045" s="36">
        <v>1043</v>
      </c>
      <c r="B1045" s="37">
        <v>872881274</v>
      </c>
      <c r="C1045" s="38">
        <v>0.4064670179069354</v>
      </c>
      <c r="D1045" s="14" t="s">
        <v>1086</v>
      </c>
      <c r="E1045" s="14" t="s">
        <v>43</v>
      </c>
    </row>
    <row r="1046" spans="1:5" x14ac:dyDescent="0.25">
      <c r="A1046" s="36">
        <v>1044</v>
      </c>
      <c r="B1046" s="37">
        <v>2115523695</v>
      </c>
      <c r="C1046" s="38">
        <v>0.98511748760245621</v>
      </c>
      <c r="D1046" s="14" t="s">
        <v>1087</v>
      </c>
      <c r="E1046" s="14" t="s">
        <v>46</v>
      </c>
    </row>
    <row r="1047" spans="1:5" x14ac:dyDescent="0.25">
      <c r="A1047" s="36">
        <v>1045</v>
      </c>
      <c r="B1047" s="37">
        <v>339704907</v>
      </c>
      <c r="C1047" s="38">
        <v>0.15818742437203762</v>
      </c>
      <c r="D1047" s="14" t="s">
        <v>1088</v>
      </c>
      <c r="E1047" s="14" t="s">
        <v>48</v>
      </c>
    </row>
    <row r="1048" spans="1:5" x14ac:dyDescent="0.25">
      <c r="A1048" s="36">
        <v>1046</v>
      </c>
      <c r="B1048" s="37">
        <v>847587769</v>
      </c>
      <c r="C1048" s="38">
        <v>0.39468881180262605</v>
      </c>
      <c r="D1048" s="14" t="s">
        <v>1089</v>
      </c>
      <c r="E1048" s="14" t="s">
        <v>37</v>
      </c>
    </row>
    <row r="1049" spans="1:5" x14ac:dyDescent="0.25">
      <c r="A1049" s="36">
        <v>1047</v>
      </c>
      <c r="B1049" s="37">
        <v>1861013005</v>
      </c>
      <c r="C1049" s="38">
        <v>0.86660171200828706</v>
      </c>
      <c r="D1049" s="14" t="s">
        <v>1090</v>
      </c>
      <c r="E1049" s="14" t="s">
        <v>40</v>
      </c>
    </row>
    <row r="1050" spans="1:5" x14ac:dyDescent="0.25">
      <c r="A1050" s="36">
        <v>1048</v>
      </c>
      <c r="B1050" s="37">
        <v>1474927288</v>
      </c>
      <c r="C1050" s="38">
        <v>0.68681653993521652</v>
      </c>
      <c r="D1050" s="14" t="s">
        <v>1091</v>
      </c>
      <c r="E1050" s="14" t="s">
        <v>43</v>
      </c>
    </row>
    <row r="1051" spans="1:5" x14ac:dyDescent="0.25">
      <c r="A1051" s="36">
        <v>1049</v>
      </c>
      <c r="B1051" s="37">
        <v>1660588142</v>
      </c>
      <c r="C1051" s="38">
        <v>0.77327161225176955</v>
      </c>
      <c r="D1051" s="14" t="s">
        <v>1092</v>
      </c>
      <c r="E1051" s="14" t="s">
        <v>46</v>
      </c>
    </row>
    <row r="1052" spans="1:5" x14ac:dyDescent="0.25">
      <c r="A1052" s="36">
        <v>1050</v>
      </c>
      <c r="B1052" s="37">
        <v>864403663</v>
      </c>
      <c r="C1052" s="38">
        <v>0.4025193226535429</v>
      </c>
      <c r="D1052" s="14" t="s">
        <v>1093</v>
      </c>
      <c r="E1052" s="14" t="s">
        <v>48</v>
      </c>
    </row>
    <row r="1053" spans="1:5" x14ac:dyDescent="0.25">
      <c r="A1053" s="36">
        <v>1051</v>
      </c>
      <c r="B1053" s="37">
        <v>2035118357</v>
      </c>
      <c r="C1053" s="38">
        <v>0.94767583438552727</v>
      </c>
      <c r="D1053" s="14" t="s">
        <v>1094</v>
      </c>
      <c r="E1053" s="14" t="s">
        <v>37</v>
      </c>
    </row>
    <row r="1054" spans="1:5" x14ac:dyDescent="0.25">
      <c r="A1054" s="36">
        <v>1052</v>
      </c>
      <c r="B1054" s="37">
        <v>1267802438</v>
      </c>
      <c r="C1054" s="38">
        <v>0.59036651560588116</v>
      </c>
      <c r="D1054" s="14" t="s">
        <v>1095</v>
      </c>
      <c r="E1054" s="14" t="s">
        <v>40</v>
      </c>
    </row>
    <row r="1055" spans="1:5" x14ac:dyDescent="0.25">
      <c r="A1055" s="36">
        <v>1053</v>
      </c>
      <c r="B1055" s="37">
        <v>636782213</v>
      </c>
      <c r="C1055" s="38">
        <v>0.29652482517833118</v>
      </c>
      <c r="D1055" s="14" t="s">
        <v>1096</v>
      </c>
      <c r="E1055" s="14" t="s">
        <v>43</v>
      </c>
    </row>
    <row r="1056" spans="1:5" x14ac:dyDescent="0.25">
      <c r="A1056" s="36">
        <v>1054</v>
      </c>
      <c r="B1056" s="37">
        <v>980897317</v>
      </c>
      <c r="C1056" s="38">
        <v>0.45676590756362578</v>
      </c>
      <c r="D1056" s="14" t="s">
        <v>1097</v>
      </c>
      <c r="E1056" s="14" t="s">
        <v>46</v>
      </c>
    </row>
    <row r="1057" spans="1:5" x14ac:dyDescent="0.25">
      <c r="A1057" s="36">
        <v>1055</v>
      </c>
      <c r="B1057" s="37">
        <v>1598636842</v>
      </c>
      <c r="C1057" s="38">
        <v>0.74442329012994812</v>
      </c>
      <c r="D1057" s="14" t="s">
        <v>1098</v>
      </c>
      <c r="E1057" s="14" t="s">
        <v>48</v>
      </c>
    </row>
    <row r="1058" spans="1:5" x14ac:dyDescent="0.25">
      <c r="A1058" s="36">
        <v>1056</v>
      </c>
      <c r="B1058" s="37">
        <v>1394016456</v>
      </c>
      <c r="C1058" s="38">
        <v>0.64913949773141155</v>
      </c>
      <c r="D1058" s="14" t="s">
        <v>1099</v>
      </c>
      <c r="E1058" s="14" t="s">
        <v>37</v>
      </c>
    </row>
    <row r="1059" spans="1:5" x14ac:dyDescent="0.25">
      <c r="A1059" s="36">
        <v>1057</v>
      </c>
      <c r="B1059" s="37">
        <v>847391300</v>
      </c>
      <c r="C1059" s="38">
        <v>0.39459732379512735</v>
      </c>
      <c r="D1059" s="14" t="s">
        <v>1100</v>
      </c>
      <c r="E1059" s="14" t="s">
        <v>40</v>
      </c>
    </row>
    <row r="1060" spans="1:5" x14ac:dyDescent="0.25">
      <c r="A1060" s="36">
        <v>1058</v>
      </c>
      <c r="B1060" s="37">
        <v>1250965124</v>
      </c>
      <c r="C1060" s="38">
        <v>0.58252603029018546</v>
      </c>
      <c r="D1060" s="14" t="s">
        <v>1101</v>
      </c>
      <c r="E1060" s="14" t="s">
        <v>43</v>
      </c>
    </row>
    <row r="1061" spans="1:5" x14ac:dyDescent="0.25">
      <c r="A1061" s="36">
        <v>1059</v>
      </c>
      <c r="B1061" s="37">
        <v>1315773360</v>
      </c>
      <c r="C1061" s="38">
        <v>0.61270471690814232</v>
      </c>
      <c r="D1061" s="14" t="s">
        <v>1102</v>
      </c>
      <c r="E1061" s="14" t="s">
        <v>46</v>
      </c>
    </row>
    <row r="1062" spans="1:5" x14ac:dyDescent="0.25">
      <c r="A1062" s="36">
        <v>1060</v>
      </c>
      <c r="B1062" s="37">
        <v>1698761509</v>
      </c>
      <c r="C1062" s="38">
        <v>0.79104747147813792</v>
      </c>
      <c r="D1062" s="14" t="s">
        <v>1103</v>
      </c>
      <c r="E1062" s="14" t="s">
        <v>48</v>
      </c>
    </row>
    <row r="1063" spans="1:5" x14ac:dyDescent="0.25">
      <c r="A1063" s="36">
        <v>1061</v>
      </c>
      <c r="B1063" s="37">
        <v>1641961902</v>
      </c>
      <c r="C1063" s="38">
        <v>0.76459809335162776</v>
      </c>
      <c r="D1063" s="14" t="s">
        <v>1104</v>
      </c>
      <c r="E1063" s="14" t="s">
        <v>37</v>
      </c>
    </row>
    <row r="1064" spans="1:5" x14ac:dyDescent="0.25">
      <c r="A1064" s="36">
        <v>1062</v>
      </c>
      <c r="B1064" s="37">
        <v>243679402</v>
      </c>
      <c r="C1064" s="38">
        <v>0.11347206407853964</v>
      </c>
      <c r="D1064" s="14" t="s">
        <v>1105</v>
      </c>
      <c r="E1064" s="14" t="s">
        <v>40</v>
      </c>
    </row>
    <row r="1065" spans="1:5" x14ac:dyDescent="0.25">
      <c r="A1065" s="36">
        <v>1063</v>
      </c>
      <c r="B1065" s="37">
        <v>1201723854</v>
      </c>
      <c r="C1065" s="38">
        <v>0.55959627710264004</v>
      </c>
      <c r="D1065" s="14" t="s">
        <v>1106</v>
      </c>
      <c r="E1065" s="14" t="s">
        <v>43</v>
      </c>
    </row>
    <row r="1066" spans="1:5" x14ac:dyDescent="0.25">
      <c r="A1066" s="36">
        <v>1064</v>
      </c>
      <c r="B1066" s="37">
        <v>999181659</v>
      </c>
      <c r="C1066" s="38">
        <v>0.46528021780088552</v>
      </c>
      <c r="D1066" s="14" t="s">
        <v>1107</v>
      </c>
      <c r="E1066" s="14" t="s">
        <v>46</v>
      </c>
    </row>
    <row r="1067" spans="1:5" x14ac:dyDescent="0.25">
      <c r="A1067" s="36">
        <v>1065</v>
      </c>
      <c r="B1067" s="37">
        <v>57275461</v>
      </c>
      <c r="C1067" s="38">
        <v>2.667096491282385E-2</v>
      </c>
      <c r="D1067" s="14" t="s">
        <v>1108</v>
      </c>
      <c r="E1067" s="14" t="s">
        <v>48</v>
      </c>
    </row>
    <row r="1068" spans="1:5" x14ac:dyDescent="0.25">
      <c r="A1068" s="36">
        <v>1066</v>
      </c>
      <c r="B1068" s="37">
        <v>2061600330</v>
      </c>
      <c r="C1068" s="38">
        <v>0.96000746402889836</v>
      </c>
      <c r="D1068" s="14" t="s">
        <v>1109</v>
      </c>
      <c r="E1068" s="14" t="s">
        <v>37</v>
      </c>
    </row>
    <row r="1069" spans="1:5" x14ac:dyDescent="0.25">
      <c r="A1069" s="36">
        <v>1067</v>
      </c>
      <c r="B1069" s="37">
        <v>1924571941</v>
      </c>
      <c r="C1069" s="38">
        <v>0.89619864797973947</v>
      </c>
      <c r="D1069" s="14" t="s">
        <v>1110</v>
      </c>
      <c r="E1069" s="14" t="s">
        <v>40</v>
      </c>
    </row>
    <row r="1070" spans="1:5" x14ac:dyDescent="0.25">
      <c r="A1070" s="36">
        <v>1068</v>
      </c>
      <c r="B1070" s="37">
        <v>1131003233</v>
      </c>
      <c r="C1070" s="38">
        <v>0.52666442167324223</v>
      </c>
      <c r="D1070" s="14" t="s">
        <v>1111</v>
      </c>
      <c r="E1070" s="14" t="s">
        <v>43</v>
      </c>
    </row>
    <row r="1071" spans="1:5" x14ac:dyDescent="0.25">
      <c r="A1071" s="36">
        <v>1069</v>
      </c>
      <c r="B1071" s="37">
        <v>1221105586</v>
      </c>
      <c r="C1071" s="38">
        <v>0.56862159938021639</v>
      </c>
      <c r="D1071" s="14" t="s">
        <v>1112</v>
      </c>
      <c r="E1071" s="14" t="s">
        <v>46</v>
      </c>
    </row>
    <row r="1072" spans="1:5" x14ac:dyDescent="0.25">
      <c r="A1072" s="36">
        <v>1070</v>
      </c>
      <c r="B1072" s="37">
        <v>729810078</v>
      </c>
      <c r="C1072" s="38">
        <v>0.33984430056989395</v>
      </c>
      <c r="D1072" s="14" t="s">
        <v>1113</v>
      </c>
      <c r="E1072" s="14" t="s">
        <v>48</v>
      </c>
    </row>
    <row r="1073" spans="1:5" x14ac:dyDescent="0.25">
      <c r="A1073" s="36">
        <v>1071</v>
      </c>
      <c r="B1073" s="37">
        <v>1732035860</v>
      </c>
      <c r="C1073" s="38">
        <v>0.80654204860634271</v>
      </c>
      <c r="D1073" s="14" t="s">
        <v>1114</v>
      </c>
      <c r="E1073" s="14" t="s">
        <v>37</v>
      </c>
    </row>
    <row r="1074" spans="1:5" x14ac:dyDescent="0.25">
      <c r="A1074" s="36">
        <v>1072</v>
      </c>
      <c r="B1074" s="37">
        <v>1880320400</v>
      </c>
      <c r="C1074" s="38">
        <v>0.87559241842273272</v>
      </c>
      <c r="D1074" s="14" t="s">
        <v>1115</v>
      </c>
      <c r="E1074" s="14" t="s">
        <v>40</v>
      </c>
    </row>
    <row r="1075" spans="1:5" x14ac:dyDescent="0.25">
      <c r="A1075" s="36">
        <v>1073</v>
      </c>
      <c r="B1075" s="37">
        <v>2023812308</v>
      </c>
      <c r="C1075" s="38">
        <v>0.94241104505137119</v>
      </c>
      <c r="D1075" s="14" t="s">
        <v>1116</v>
      </c>
      <c r="E1075" s="14" t="s">
        <v>43</v>
      </c>
    </row>
    <row r="1076" spans="1:5" x14ac:dyDescent="0.25">
      <c r="A1076" s="36">
        <v>1074</v>
      </c>
      <c r="B1076" s="37">
        <v>465789374</v>
      </c>
      <c r="C1076" s="38">
        <v>0.21690007961210797</v>
      </c>
      <c r="D1076" s="14" t="s">
        <v>1117</v>
      </c>
      <c r="E1076" s="14" t="s">
        <v>46</v>
      </c>
    </row>
    <row r="1077" spans="1:5" x14ac:dyDescent="0.25">
      <c r="A1077" s="36">
        <v>1075</v>
      </c>
      <c r="B1077" s="37">
        <v>165683281</v>
      </c>
      <c r="C1077" s="38">
        <v>7.7152289951756728E-2</v>
      </c>
      <c r="D1077" s="14" t="s">
        <v>1118</v>
      </c>
      <c r="E1077" s="14" t="s">
        <v>48</v>
      </c>
    </row>
    <row r="1078" spans="1:5" x14ac:dyDescent="0.25">
      <c r="A1078" s="36">
        <v>1076</v>
      </c>
      <c r="B1078" s="37">
        <v>832295714</v>
      </c>
      <c r="C1078" s="38">
        <v>0.38756789378242934</v>
      </c>
      <c r="D1078" s="14" t="s">
        <v>1119</v>
      </c>
      <c r="E1078" s="14" t="s">
        <v>37</v>
      </c>
    </row>
    <row r="1079" spans="1:5" x14ac:dyDescent="0.25">
      <c r="A1079" s="36">
        <v>1077</v>
      </c>
      <c r="B1079" s="37">
        <v>1976832021</v>
      </c>
      <c r="C1079" s="38">
        <v>0.92053414411867696</v>
      </c>
      <c r="D1079" s="14" t="s">
        <v>1120</v>
      </c>
      <c r="E1079" s="14" t="s">
        <v>40</v>
      </c>
    </row>
    <row r="1080" spans="1:5" x14ac:dyDescent="0.25">
      <c r="A1080" s="36">
        <v>1078</v>
      </c>
      <c r="B1080" s="37">
        <v>1220576204</v>
      </c>
      <c r="C1080" s="38">
        <v>0.56837508667650405</v>
      </c>
      <c r="D1080" s="14" t="s">
        <v>1121</v>
      </c>
      <c r="E1080" s="14" t="s">
        <v>43</v>
      </c>
    </row>
    <row r="1081" spans="1:5" x14ac:dyDescent="0.25">
      <c r="A1081" s="36">
        <v>1079</v>
      </c>
      <c r="B1081" s="37">
        <v>28531798</v>
      </c>
      <c r="C1081" s="38">
        <v>1.3286153792071228E-2</v>
      </c>
      <c r="D1081" s="14" t="s">
        <v>1122</v>
      </c>
      <c r="E1081" s="14" t="s">
        <v>46</v>
      </c>
    </row>
    <row r="1082" spans="1:5" x14ac:dyDescent="0.25">
      <c r="A1082" s="36">
        <v>1080</v>
      </c>
      <c r="B1082" s="37">
        <v>1304116768</v>
      </c>
      <c r="C1082" s="38">
        <v>0.60727669326927358</v>
      </c>
      <c r="D1082" s="14" t="s">
        <v>1123</v>
      </c>
      <c r="E1082" s="14" t="s">
        <v>48</v>
      </c>
    </row>
    <row r="1083" spans="1:5" x14ac:dyDescent="0.25">
      <c r="A1083" s="36">
        <v>1081</v>
      </c>
      <c r="B1083" s="37">
        <v>1524713354</v>
      </c>
      <c r="C1083" s="38">
        <v>0.70999998352956029</v>
      </c>
      <c r="D1083" s="14" t="s">
        <v>1124</v>
      </c>
      <c r="E1083" s="14" t="s">
        <v>37</v>
      </c>
    </row>
    <row r="1084" spans="1:5" x14ac:dyDescent="0.25">
      <c r="A1084" s="36">
        <v>1082</v>
      </c>
      <c r="B1084" s="37">
        <v>418159062</v>
      </c>
      <c r="C1084" s="38">
        <v>0.19472048720099056</v>
      </c>
      <c r="D1084" s="14" t="s">
        <v>1125</v>
      </c>
      <c r="E1084" s="14" t="s">
        <v>40</v>
      </c>
    </row>
    <row r="1085" spans="1:5" x14ac:dyDescent="0.25">
      <c r="A1085" s="36">
        <v>1083</v>
      </c>
      <c r="B1085" s="37">
        <v>1269365074</v>
      </c>
      <c r="C1085" s="38">
        <v>0.59109417469757342</v>
      </c>
      <c r="D1085" s="14" t="s">
        <v>1126</v>
      </c>
      <c r="E1085" s="14" t="s">
        <v>43</v>
      </c>
    </row>
    <row r="1086" spans="1:5" x14ac:dyDescent="0.25">
      <c r="A1086" s="36">
        <v>1084</v>
      </c>
      <c r="B1086" s="37">
        <v>1080773596</v>
      </c>
      <c r="C1086" s="38">
        <v>0.50327442423592994</v>
      </c>
      <c r="D1086" s="14" t="s">
        <v>1127</v>
      </c>
      <c r="E1086" s="14" t="s">
        <v>46</v>
      </c>
    </row>
    <row r="1087" spans="1:5" x14ac:dyDescent="0.25">
      <c r="A1087" s="36">
        <v>1085</v>
      </c>
      <c r="B1087" s="37">
        <v>715406812</v>
      </c>
      <c r="C1087" s="38">
        <v>0.33313725717977494</v>
      </c>
      <c r="D1087" s="14" t="s">
        <v>1128</v>
      </c>
      <c r="E1087" s="14" t="s">
        <v>48</v>
      </c>
    </row>
    <row r="1088" spans="1:5" x14ac:dyDescent="0.25">
      <c r="A1088" s="36">
        <v>1086</v>
      </c>
      <c r="B1088" s="37">
        <v>1643132318</v>
      </c>
      <c r="C1088" s="38">
        <v>0.76514311077312713</v>
      </c>
      <c r="D1088" s="14" t="s">
        <v>1129</v>
      </c>
      <c r="E1088" s="14" t="s">
        <v>37</v>
      </c>
    </row>
    <row r="1089" spans="1:5" x14ac:dyDescent="0.25">
      <c r="A1089" s="36">
        <v>1087</v>
      </c>
      <c r="B1089" s="37">
        <v>662703973</v>
      </c>
      <c r="C1089" s="38">
        <v>0.30859558531483428</v>
      </c>
      <c r="D1089" s="14" t="s">
        <v>1130</v>
      </c>
      <c r="E1089" s="14" t="s">
        <v>40</v>
      </c>
    </row>
    <row r="1090" spans="1:5" x14ac:dyDescent="0.25">
      <c r="A1090" s="36">
        <v>1088</v>
      </c>
      <c r="B1090" s="37">
        <v>1157025793</v>
      </c>
      <c r="C1090" s="38">
        <v>0.53878212046752783</v>
      </c>
      <c r="D1090" s="14" t="s">
        <v>1131</v>
      </c>
      <c r="E1090" s="14" t="s">
        <v>43</v>
      </c>
    </row>
    <row r="1091" spans="1:5" x14ac:dyDescent="0.25">
      <c r="A1091" s="36">
        <v>1089</v>
      </c>
      <c r="B1091" s="37">
        <v>1677629596</v>
      </c>
      <c r="C1091" s="38">
        <v>0.78120715766270044</v>
      </c>
      <c r="D1091" s="14" t="s">
        <v>1132</v>
      </c>
      <c r="E1091" s="14" t="s">
        <v>46</v>
      </c>
    </row>
    <row r="1092" spans="1:5" x14ac:dyDescent="0.25">
      <c r="A1092" s="36">
        <v>1090</v>
      </c>
      <c r="B1092" s="37">
        <v>679129790</v>
      </c>
      <c r="C1092" s="38">
        <v>0.31624445240769744</v>
      </c>
      <c r="D1092" s="14" t="s">
        <v>1133</v>
      </c>
      <c r="E1092" s="14" t="s">
        <v>48</v>
      </c>
    </row>
    <row r="1093" spans="1:5" x14ac:dyDescent="0.25">
      <c r="A1093" s="36">
        <v>1091</v>
      </c>
      <c r="B1093" s="37">
        <v>578274114</v>
      </c>
      <c r="C1093" s="38">
        <v>0.26927986846737556</v>
      </c>
      <c r="D1093" s="14" t="s">
        <v>1134</v>
      </c>
      <c r="E1093" s="14" t="s">
        <v>37</v>
      </c>
    </row>
    <row r="1094" spans="1:5" x14ac:dyDescent="0.25">
      <c r="A1094" s="36">
        <v>1092</v>
      </c>
      <c r="B1094" s="37">
        <v>1170800792</v>
      </c>
      <c r="C1094" s="38">
        <v>0.54519660423751759</v>
      </c>
      <c r="D1094" s="14" t="s">
        <v>1135</v>
      </c>
      <c r="E1094" s="14" t="s">
        <v>40</v>
      </c>
    </row>
    <row r="1095" spans="1:5" x14ac:dyDescent="0.25">
      <c r="A1095" s="36">
        <v>1093</v>
      </c>
      <c r="B1095" s="37">
        <v>1824941052</v>
      </c>
      <c r="C1095" s="38">
        <v>0.84980439993078094</v>
      </c>
      <c r="D1095" s="14" t="s">
        <v>1136</v>
      </c>
      <c r="E1095" s="14" t="s">
        <v>43</v>
      </c>
    </row>
    <row r="1096" spans="1:5" x14ac:dyDescent="0.25">
      <c r="A1096" s="36">
        <v>1094</v>
      </c>
      <c r="B1096" s="37">
        <v>302646436</v>
      </c>
      <c r="C1096" s="38">
        <v>0.1409307290524853</v>
      </c>
      <c r="D1096" s="14" t="s">
        <v>1137</v>
      </c>
      <c r="E1096" s="14" t="s">
        <v>46</v>
      </c>
    </row>
    <row r="1097" spans="1:5" x14ac:dyDescent="0.25">
      <c r="A1097" s="36">
        <v>1095</v>
      </c>
      <c r="B1097" s="37">
        <v>416422922</v>
      </c>
      <c r="C1097" s="38">
        <v>0.19391203401326762</v>
      </c>
      <c r="D1097" s="14" t="s">
        <v>1138</v>
      </c>
      <c r="E1097" s="14" t="s">
        <v>48</v>
      </c>
    </row>
    <row r="1098" spans="1:5" x14ac:dyDescent="0.25">
      <c r="A1098" s="36">
        <v>1096</v>
      </c>
      <c r="B1098" s="37">
        <v>1933920436</v>
      </c>
      <c r="C1098" s="38">
        <v>0.90055188019785648</v>
      </c>
      <c r="D1098" s="14" t="s">
        <v>1139</v>
      </c>
      <c r="E1098" s="14" t="s">
        <v>37</v>
      </c>
    </row>
    <row r="1099" spans="1:5" x14ac:dyDescent="0.25">
      <c r="A1099" s="36">
        <v>1097</v>
      </c>
      <c r="B1099" s="37">
        <v>1268136946</v>
      </c>
      <c r="C1099" s="38">
        <v>0.59052228303184839</v>
      </c>
      <c r="D1099" s="14" t="s">
        <v>1140</v>
      </c>
      <c r="E1099" s="14" t="s">
        <v>40</v>
      </c>
    </row>
    <row r="1100" spans="1:5" x14ac:dyDescent="0.25">
      <c r="A1100" s="36">
        <v>1098</v>
      </c>
      <c r="B1100" s="37">
        <v>1235446340</v>
      </c>
      <c r="C1100" s="38">
        <v>0.57529953335192963</v>
      </c>
      <c r="D1100" s="14" t="s">
        <v>1141</v>
      </c>
      <c r="E1100" s="14" t="s">
        <v>43</v>
      </c>
    </row>
    <row r="1101" spans="1:5" x14ac:dyDescent="0.25">
      <c r="A1101" s="36">
        <v>1099</v>
      </c>
      <c r="B1101" s="37">
        <v>1992625523</v>
      </c>
      <c r="C1101" s="38">
        <v>0.92788856659451902</v>
      </c>
      <c r="D1101" s="14" t="s">
        <v>1142</v>
      </c>
      <c r="E1101" s="14" t="s">
        <v>46</v>
      </c>
    </row>
    <row r="1102" spans="1:5" x14ac:dyDescent="0.25">
      <c r="A1102" s="36">
        <v>1100</v>
      </c>
      <c r="B1102" s="37">
        <v>404686180</v>
      </c>
      <c r="C1102" s="38">
        <v>0.18844668762220382</v>
      </c>
      <c r="D1102" s="14" t="s">
        <v>1143</v>
      </c>
      <c r="E1102" s="14" t="s">
        <v>48</v>
      </c>
    </row>
    <row r="1103" spans="1:5" x14ac:dyDescent="0.25">
      <c r="A1103" s="36">
        <v>1101</v>
      </c>
      <c r="B1103" s="37">
        <v>1492179645</v>
      </c>
      <c r="C1103" s="38">
        <v>0.69485029470867021</v>
      </c>
      <c r="D1103" s="14" t="s">
        <v>1144</v>
      </c>
      <c r="E1103" s="14" t="s">
        <v>37</v>
      </c>
    </row>
    <row r="1104" spans="1:5" x14ac:dyDescent="0.25">
      <c r="A1104" s="36">
        <v>1102</v>
      </c>
      <c r="B1104" s="37">
        <v>341312236</v>
      </c>
      <c r="C1104" s="38">
        <v>0.1589358952636532</v>
      </c>
      <c r="D1104" s="14" t="s">
        <v>1145</v>
      </c>
      <c r="E1104" s="14" t="s">
        <v>40</v>
      </c>
    </row>
    <row r="1105" spans="1:5" x14ac:dyDescent="0.25">
      <c r="A1105" s="36">
        <v>1103</v>
      </c>
      <c r="B1105" s="37">
        <v>522267332</v>
      </c>
      <c r="C1105" s="38">
        <v>0.24319967825114713</v>
      </c>
      <c r="D1105" s="14" t="s">
        <v>1146</v>
      </c>
      <c r="E1105" s="14" t="s">
        <v>43</v>
      </c>
    </row>
    <row r="1106" spans="1:5" x14ac:dyDescent="0.25">
      <c r="A1106" s="36">
        <v>1104</v>
      </c>
      <c r="B1106" s="37">
        <v>894592159</v>
      </c>
      <c r="C1106" s="38">
        <v>0.41657693656933353</v>
      </c>
      <c r="D1106" s="14" t="s">
        <v>1147</v>
      </c>
      <c r="E1106" s="14" t="s">
        <v>46</v>
      </c>
    </row>
    <row r="1107" spans="1:5" x14ac:dyDescent="0.25">
      <c r="A1107" s="36">
        <v>1105</v>
      </c>
      <c r="B1107" s="37">
        <v>424082957</v>
      </c>
      <c r="C1107" s="38">
        <v>0.19747901577385096</v>
      </c>
      <c r="D1107" s="14" t="s">
        <v>1148</v>
      </c>
      <c r="E1107" s="14" t="s">
        <v>48</v>
      </c>
    </row>
    <row r="1108" spans="1:5" x14ac:dyDescent="0.25">
      <c r="A1108" s="36">
        <v>1106</v>
      </c>
      <c r="B1108" s="37">
        <v>495782925</v>
      </c>
      <c r="C1108" s="38">
        <v>0.23086691518820213</v>
      </c>
      <c r="D1108" s="14" t="s">
        <v>1149</v>
      </c>
      <c r="E1108" s="14" t="s">
        <v>37</v>
      </c>
    </row>
    <row r="1109" spans="1:5" x14ac:dyDescent="0.25">
      <c r="A1109" s="36">
        <v>1107</v>
      </c>
      <c r="B1109" s="37">
        <v>481336100</v>
      </c>
      <c r="C1109" s="38">
        <v>0.22413958805805984</v>
      </c>
      <c r="D1109" s="14" t="s">
        <v>1150</v>
      </c>
      <c r="E1109" s="14" t="s">
        <v>40</v>
      </c>
    </row>
    <row r="1110" spans="1:5" x14ac:dyDescent="0.25">
      <c r="A1110" s="36">
        <v>1108</v>
      </c>
      <c r="B1110" s="37">
        <v>901832081</v>
      </c>
      <c r="C1110" s="38">
        <v>0.41994828796943107</v>
      </c>
      <c r="D1110" s="14" t="s">
        <v>1151</v>
      </c>
      <c r="E1110" s="14" t="s">
        <v>43</v>
      </c>
    </row>
    <row r="1111" spans="1:5" x14ac:dyDescent="0.25">
      <c r="A1111" s="36">
        <v>1109</v>
      </c>
      <c r="B1111" s="37">
        <v>1924506690</v>
      </c>
      <c r="C1111" s="38">
        <v>0.89616826311506714</v>
      </c>
      <c r="D1111" s="14" t="s">
        <v>1152</v>
      </c>
      <c r="E1111" s="14" t="s">
        <v>46</v>
      </c>
    </row>
    <row r="1112" spans="1:5" x14ac:dyDescent="0.25">
      <c r="A1112" s="36">
        <v>1110</v>
      </c>
      <c r="B1112" s="37">
        <v>2040748455</v>
      </c>
      <c r="C1112" s="38">
        <v>0.9502975530690968</v>
      </c>
      <c r="D1112" s="14" t="s">
        <v>1153</v>
      </c>
      <c r="E1112" s="14" t="s">
        <v>48</v>
      </c>
    </row>
    <row r="1113" spans="1:5" x14ac:dyDescent="0.25">
      <c r="A1113" s="36">
        <v>1111</v>
      </c>
      <c r="B1113" s="37">
        <v>1088040380</v>
      </c>
      <c r="C1113" s="38">
        <v>0.50665828422953296</v>
      </c>
      <c r="D1113" s="14" t="s">
        <v>1154</v>
      </c>
      <c r="E1113" s="14" t="s">
        <v>37</v>
      </c>
    </row>
    <row r="1114" spans="1:5" x14ac:dyDescent="0.25">
      <c r="A1114" s="36">
        <v>1112</v>
      </c>
      <c r="B1114" s="37">
        <v>1831144508</v>
      </c>
      <c r="C1114" s="38">
        <v>0.85269310923884301</v>
      </c>
      <c r="D1114" s="14" t="s">
        <v>1155</v>
      </c>
      <c r="E1114" s="14" t="s">
        <v>40</v>
      </c>
    </row>
    <row r="1115" spans="1:5" x14ac:dyDescent="0.25">
      <c r="A1115" s="36">
        <v>1113</v>
      </c>
      <c r="B1115" s="37">
        <v>1008870060</v>
      </c>
      <c r="C1115" s="38">
        <v>0.46979173108459998</v>
      </c>
      <c r="D1115" s="14" t="s">
        <v>1156</v>
      </c>
      <c r="E1115" s="14" t="s">
        <v>43</v>
      </c>
    </row>
    <row r="1116" spans="1:5" x14ac:dyDescent="0.25">
      <c r="A1116" s="36">
        <v>1114</v>
      </c>
      <c r="B1116" s="37">
        <v>1188244663</v>
      </c>
      <c r="C1116" s="38">
        <v>0.55331953966679026</v>
      </c>
      <c r="D1116" s="14" t="s">
        <v>1157</v>
      </c>
      <c r="E1116" s="14" t="s">
        <v>46</v>
      </c>
    </row>
    <row r="1117" spans="1:5" x14ac:dyDescent="0.25">
      <c r="A1117" s="36">
        <v>1115</v>
      </c>
      <c r="B1117" s="37">
        <v>1457926240</v>
      </c>
      <c r="C1117" s="38">
        <v>0.67889981003426936</v>
      </c>
      <c r="D1117" s="14" t="s">
        <v>1158</v>
      </c>
      <c r="E1117" s="14" t="s">
        <v>48</v>
      </c>
    </row>
    <row r="1118" spans="1:5" x14ac:dyDescent="0.25">
      <c r="A1118" s="36">
        <v>1116</v>
      </c>
      <c r="B1118" s="37">
        <v>383182461</v>
      </c>
      <c r="C1118" s="38">
        <v>0.17843323814609705</v>
      </c>
      <c r="D1118" s="14" t="s">
        <v>1159</v>
      </c>
      <c r="E1118" s="14" t="s">
        <v>37</v>
      </c>
    </row>
    <row r="1119" spans="1:5" x14ac:dyDescent="0.25">
      <c r="A1119" s="36">
        <v>1117</v>
      </c>
      <c r="B1119" s="37">
        <v>124255719</v>
      </c>
      <c r="C1119" s="38">
        <v>5.7861078091832378E-2</v>
      </c>
      <c r="D1119" s="14" t="s">
        <v>1160</v>
      </c>
      <c r="E1119" s="14" t="s">
        <v>40</v>
      </c>
    </row>
    <row r="1120" spans="1:5" x14ac:dyDescent="0.25">
      <c r="A1120" s="36">
        <v>1118</v>
      </c>
      <c r="B1120" s="37">
        <v>1467046481</v>
      </c>
      <c r="C1120" s="38">
        <v>0.68314675320086382</v>
      </c>
      <c r="D1120" s="14" t="s">
        <v>1161</v>
      </c>
      <c r="E1120" s="14" t="s">
        <v>43</v>
      </c>
    </row>
    <row r="1121" spans="1:5" x14ac:dyDescent="0.25">
      <c r="A1121" s="36">
        <v>1119</v>
      </c>
      <c r="B1121" s="37">
        <v>690432343</v>
      </c>
      <c r="C1121" s="38">
        <v>0.32150761378999221</v>
      </c>
      <c r="D1121" s="14" t="s">
        <v>1162</v>
      </c>
      <c r="E1121" s="14" t="s">
        <v>46</v>
      </c>
    </row>
    <row r="1122" spans="1:5" x14ac:dyDescent="0.25">
      <c r="A1122" s="36">
        <v>1120</v>
      </c>
      <c r="B1122" s="37">
        <v>2003558719</v>
      </c>
      <c r="C1122" s="38">
        <v>0.93297973272063761</v>
      </c>
      <c r="D1122" s="14" t="s">
        <v>1163</v>
      </c>
      <c r="E1122" s="14" t="s">
        <v>48</v>
      </c>
    </row>
    <row r="1123" spans="1:5" x14ac:dyDescent="0.25">
      <c r="A1123" s="36">
        <v>1121</v>
      </c>
      <c r="B1123" s="37">
        <v>1206333402</v>
      </c>
      <c r="C1123" s="38">
        <v>0.56174276515922639</v>
      </c>
      <c r="D1123" s="14" t="s">
        <v>1164</v>
      </c>
      <c r="E1123" s="14" t="s">
        <v>37</v>
      </c>
    </row>
    <row r="1124" spans="1:5" x14ac:dyDescent="0.25">
      <c r="A1124" s="36">
        <v>1122</v>
      </c>
      <c r="B1124" s="37">
        <v>747995628</v>
      </c>
      <c r="C1124" s="38">
        <v>0.34831260719723656</v>
      </c>
      <c r="D1124" s="14" t="s">
        <v>1165</v>
      </c>
      <c r="E1124" s="14" t="s">
        <v>40</v>
      </c>
    </row>
    <row r="1125" spans="1:5" x14ac:dyDescent="0.25">
      <c r="A1125" s="36">
        <v>1123</v>
      </c>
      <c r="B1125" s="37">
        <v>1105161498</v>
      </c>
      <c r="C1125" s="38">
        <v>0.51463092608127325</v>
      </c>
      <c r="D1125" s="14" t="s">
        <v>1166</v>
      </c>
      <c r="E1125" s="14" t="s">
        <v>43</v>
      </c>
    </row>
    <row r="1126" spans="1:5" x14ac:dyDescent="0.25">
      <c r="A1126" s="36">
        <v>1124</v>
      </c>
      <c r="B1126" s="37">
        <v>1104604121</v>
      </c>
      <c r="C1126" s="38">
        <v>0.51437137718981663</v>
      </c>
      <c r="D1126" s="14" t="s">
        <v>1167</v>
      </c>
      <c r="E1126" s="14" t="s">
        <v>46</v>
      </c>
    </row>
    <row r="1127" spans="1:5" x14ac:dyDescent="0.25">
      <c r="A1127" s="36">
        <v>1125</v>
      </c>
      <c r="B1127" s="37">
        <v>1049588700</v>
      </c>
      <c r="C1127" s="38">
        <v>0.48875282541324983</v>
      </c>
      <c r="D1127" s="14" t="s">
        <v>1168</v>
      </c>
      <c r="E1127" s="14" t="s">
        <v>48</v>
      </c>
    </row>
    <row r="1128" spans="1:5" x14ac:dyDescent="0.25">
      <c r="A1128" s="36">
        <v>1126</v>
      </c>
      <c r="B1128" s="37">
        <v>1651107696</v>
      </c>
      <c r="C1128" s="38">
        <v>0.76885693556110235</v>
      </c>
      <c r="D1128" s="14" t="s">
        <v>1169</v>
      </c>
      <c r="E1128" s="14" t="s">
        <v>37</v>
      </c>
    </row>
    <row r="1129" spans="1:5" x14ac:dyDescent="0.25">
      <c r="A1129" s="36">
        <v>1127</v>
      </c>
      <c r="B1129" s="37">
        <v>134863669</v>
      </c>
      <c r="C1129" s="38">
        <v>6.2800789746828747E-2</v>
      </c>
      <c r="D1129" s="14" t="s">
        <v>1170</v>
      </c>
      <c r="E1129" s="14" t="s">
        <v>40</v>
      </c>
    </row>
    <row r="1130" spans="1:5" x14ac:dyDescent="0.25">
      <c r="A1130" s="36">
        <v>1128</v>
      </c>
      <c r="B1130" s="37">
        <v>2054474597</v>
      </c>
      <c r="C1130" s="38">
        <v>0.95668928602556202</v>
      </c>
      <c r="D1130" s="14" t="s">
        <v>1171</v>
      </c>
      <c r="E1130" s="14" t="s">
        <v>43</v>
      </c>
    </row>
    <row r="1131" spans="1:5" x14ac:dyDescent="0.25">
      <c r="A1131" s="36">
        <v>1129</v>
      </c>
      <c r="B1131" s="37">
        <v>1516032497</v>
      </c>
      <c r="C1131" s="38">
        <v>0.7059576444821235</v>
      </c>
      <c r="D1131" s="14" t="s">
        <v>1172</v>
      </c>
      <c r="E1131" s="14" t="s">
        <v>46</v>
      </c>
    </row>
    <row r="1132" spans="1:5" x14ac:dyDescent="0.25">
      <c r="A1132" s="36">
        <v>1130</v>
      </c>
      <c r="B1132" s="37">
        <v>1332121800</v>
      </c>
      <c r="C1132" s="38">
        <v>0.6203175525275606</v>
      </c>
      <c r="D1132" s="14" t="s">
        <v>1173</v>
      </c>
      <c r="E1132" s="14" t="s">
        <v>48</v>
      </c>
    </row>
    <row r="1133" spans="1:5" x14ac:dyDescent="0.25">
      <c r="A1133" s="36">
        <v>1131</v>
      </c>
      <c r="B1133" s="37">
        <v>1173077725</v>
      </c>
      <c r="C1133" s="38">
        <v>0.54625688378990478</v>
      </c>
      <c r="D1133" s="14" t="s">
        <v>1174</v>
      </c>
      <c r="E1133" s="14" t="s">
        <v>37</v>
      </c>
    </row>
    <row r="1134" spans="1:5" x14ac:dyDescent="0.25">
      <c r="A1134" s="36">
        <v>1132</v>
      </c>
      <c r="B1134" s="37">
        <v>1528205922</v>
      </c>
      <c r="C1134" s="38">
        <v>0.71162633724120739</v>
      </c>
      <c r="D1134" s="14" t="s">
        <v>1175</v>
      </c>
      <c r="E1134" s="14" t="s">
        <v>40</v>
      </c>
    </row>
    <row r="1135" spans="1:5" x14ac:dyDescent="0.25">
      <c r="A1135" s="36">
        <v>1133</v>
      </c>
      <c r="B1135" s="37">
        <v>646676833</v>
      </c>
      <c r="C1135" s="38">
        <v>0.30113236666709758</v>
      </c>
      <c r="D1135" s="14" t="s">
        <v>1176</v>
      </c>
      <c r="E1135" s="14" t="s">
        <v>43</v>
      </c>
    </row>
    <row r="1136" spans="1:5" x14ac:dyDescent="0.25">
      <c r="A1136" s="36">
        <v>1134</v>
      </c>
      <c r="B1136" s="37">
        <v>1771163974</v>
      </c>
      <c r="C1136" s="38">
        <v>0.82476249654999123</v>
      </c>
      <c r="D1136" s="14" t="s">
        <v>1177</v>
      </c>
      <c r="E1136" s="14" t="s">
        <v>46</v>
      </c>
    </row>
    <row r="1137" spans="1:5" x14ac:dyDescent="0.25">
      <c r="A1137" s="36">
        <v>1135</v>
      </c>
      <c r="B1137" s="37">
        <v>572746387</v>
      </c>
      <c r="C1137" s="38">
        <v>0.26670581999547122</v>
      </c>
      <c r="D1137" s="14" t="s">
        <v>1178</v>
      </c>
      <c r="E1137" s="14" t="s">
        <v>48</v>
      </c>
    </row>
    <row r="1138" spans="1:5" x14ac:dyDescent="0.25">
      <c r="A1138" s="36">
        <v>1136</v>
      </c>
      <c r="B1138" s="37">
        <v>2098443512</v>
      </c>
      <c r="C1138" s="38">
        <v>0.97716390759552074</v>
      </c>
      <c r="D1138" s="14" t="s">
        <v>1179</v>
      </c>
      <c r="E1138" s="14" t="s">
        <v>37</v>
      </c>
    </row>
    <row r="1139" spans="1:5" x14ac:dyDescent="0.25">
      <c r="A1139" s="36">
        <v>1137</v>
      </c>
      <c r="B1139" s="37">
        <v>484099465</v>
      </c>
      <c r="C1139" s="38">
        <v>0.2254263801618602</v>
      </c>
      <c r="D1139" s="14" t="s">
        <v>1180</v>
      </c>
      <c r="E1139" s="14" t="s">
        <v>40</v>
      </c>
    </row>
    <row r="1140" spans="1:5" x14ac:dyDescent="0.25">
      <c r="A1140" s="36">
        <v>1138</v>
      </c>
      <c r="B1140" s="37">
        <v>681986832</v>
      </c>
      <c r="C1140" s="38">
        <v>0.31757486626392922</v>
      </c>
      <c r="D1140" s="14" t="s">
        <v>1181</v>
      </c>
      <c r="E1140" s="14" t="s">
        <v>43</v>
      </c>
    </row>
    <row r="1141" spans="1:5" x14ac:dyDescent="0.25">
      <c r="A1141" s="36">
        <v>1139</v>
      </c>
      <c r="B1141" s="37">
        <v>1667314706</v>
      </c>
      <c r="C1141" s="38">
        <v>0.77640391270462605</v>
      </c>
      <c r="D1141" s="14" t="s">
        <v>1182</v>
      </c>
      <c r="E1141" s="14" t="s">
        <v>46</v>
      </c>
    </row>
    <row r="1142" spans="1:5" x14ac:dyDescent="0.25">
      <c r="A1142" s="36">
        <v>1140</v>
      </c>
      <c r="B1142" s="37">
        <v>418610305</v>
      </c>
      <c r="C1142" s="38">
        <v>0.194930613597357</v>
      </c>
      <c r="D1142" s="14" t="s">
        <v>1183</v>
      </c>
      <c r="E1142" s="14" t="s">
        <v>48</v>
      </c>
    </row>
    <row r="1143" spans="1:5" x14ac:dyDescent="0.25">
      <c r="A1143" s="36">
        <v>1141</v>
      </c>
      <c r="B1143" s="37">
        <v>755343199</v>
      </c>
      <c r="C1143" s="38">
        <v>0.3517340865692748</v>
      </c>
      <c r="D1143" s="14" t="s">
        <v>1184</v>
      </c>
      <c r="E1143" s="14" t="s">
        <v>37</v>
      </c>
    </row>
    <row r="1144" spans="1:5" x14ac:dyDescent="0.25">
      <c r="A1144" s="36">
        <v>1142</v>
      </c>
      <c r="B1144" s="37">
        <v>1401410608</v>
      </c>
      <c r="C1144" s="38">
        <v>0.65258266807188403</v>
      </c>
      <c r="D1144" s="14" t="s">
        <v>1185</v>
      </c>
      <c r="E1144" s="14" t="s">
        <v>40</v>
      </c>
    </row>
    <row r="1145" spans="1:5" x14ac:dyDescent="0.25">
      <c r="A1145" s="36">
        <v>1143</v>
      </c>
      <c r="B1145" s="37">
        <v>1369468143</v>
      </c>
      <c r="C1145" s="38">
        <v>0.63770829869327517</v>
      </c>
      <c r="D1145" s="14" t="s">
        <v>1186</v>
      </c>
      <c r="E1145" s="14" t="s">
        <v>43</v>
      </c>
    </row>
    <row r="1146" spans="1:5" x14ac:dyDescent="0.25">
      <c r="A1146" s="36">
        <v>1144</v>
      </c>
      <c r="B1146" s="37">
        <v>1885530091</v>
      </c>
      <c r="C1146" s="38">
        <v>0.87801836984139792</v>
      </c>
      <c r="D1146" s="14" t="s">
        <v>1187</v>
      </c>
      <c r="E1146" s="14" t="s">
        <v>46</v>
      </c>
    </row>
    <row r="1147" spans="1:5" x14ac:dyDescent="0.25">
      <c r="A1147" s="36">
        <v>1145</v>
      </c>
      <c r="B1147" s="37">
        <v>2145757497</v>
      </c>
      <c r="C1147" s="38">
        <v>0.99919619876853949</v>
      </c>
      <c r="D1147" s="14" t="s">
        <v>1188</v>
      </c>
      <c r="E1147" s="14" t="s">
        <v>48</v>
      </c>
    </row>
    <row r="1148" spans="1:5" x14ac:dyDescent="0.25">
      <c r="A1148" s="36">
        <v>1146</v>
      </c>
      <c r="B1148" s="37">
        <v>1127195159</v>
      </c>
      <c r="C1148" s="38">
        <v>0.52489114903141332</v>
      </c>
      <c r="D1148" s="14" t="s">
        <v>1189</v>
      </c>
      <c r="E1148" s="14" t="s">
        <v>37</v>
      </c>
    </row>
    <row r="1149" spans="1:5" x14ac:dyDescent="0.25">
      <c r="A1149" s="36">
        <v>1147</v>
      </c>
      <c r="B1149" s="37">
        <v>1958456680</v>
      </c>
      <c r="C1149" s="38">
        <v>0.9119774591699138</v>
      </c>
      <c r="D1149" s="14" t="s">
        <v>1190</v>
      </c>
      <c r="E1149" s="14" t="s">
        <v>40</v>
      </c>
    </row>
    <row r="1150" spans="1:5" x14ac:dyDescent="0.25">
      <c r="A1150" s="36">
        <v>1148</v>
      </c>
      <c r="B1150" s="37">
        <v>1615682400</v>
      </c>
      <c r="C1150" s="38">
        <v>0.75236074661480301</v>
      </c>
      <c r="D1150" s="14" t="s">
        <v>1191</v>
      </c>
      <c r="E1150" s="14" t="s">
        <v>43</v>
      </c>
    </row>
    <row r="1151" spans="1:5" x14ac:dyDescent="0.25">
      <c r="A1151" s="36">
        <v>1149</v>
      </c>
      <c r="B1151" s="37">
        <v>1597502242</v>
      </c>
      <c r="C1151" s="38">
        <v>0.74389495083312274</v>
      </c>
      <c r="D1151" s="14" t="s">
        <v>1192</v>
      </c>
      <c r="E1151" s="14" t="s">
        <v>46</v>
      </c>
    </row>
    <row r="1152" spans="1:5" x14ac:dyDescent="0.25">
      <c r="A1152" s="36">
        <v>1150</v>
      </c>
      <c r="B1152" s="37">
        <v>462077169</v>
      </c>
      <c r="C1152" s="38">
        <v>0.21517144945225281</v>
      </c>
      <c r="D1152" s="14" t="s">
        <v>1193</v>
      </c>
      <c r="E1152" s="14" t="s">
        <v>48</v>
      </c>
    </row>
    <row r="1153" spans="1:5" x14ac:dyDescent="0.25">
      <c r="A1153" s="36">
        <v>1151</v>
      </c>
      <c r="B1153" s="37">
        <v>1565591722</v>
      </c>
      <c r="C1153" s="38">
        <v>0.7290354570043438</v>
      </c>
      <c r="D1153" s="14" t="s">
        <v>1194</v>
      </c>
      <c r="E1153" s="14" t="s">
        <v>37</v>
      </c>
    </row>
    <row r="1154" spans="1:5" x14ac:dyDescent="0.25">
      <c r="A1154" s="36">
        <v>1152</v>
      </c>
      <c r="B1154" s="37">
        <v>464299067</v>
      </c>
      <c r="C1154" s="38">
        <v>0.21620610133568108</v>
      </c>
      <c r="D1154" s="14" t="s">
        <v>1195</v>
      </c>
      <c r="E1154" s="14" t="s">
        <v>40</v>
      </c>
    </row>
    <row r="1155" spans="1:5" x14ac:dyDescent="0.25">
      <c r="A1155" s="36">
        <v>1153</v>
      </c>
      <c r="B1155" s="37">
        <v>2003520038</v>
      </c>
      <c r="C1155" s="38">
        <v>0.93296172047637482</v>
      </c>
      <c r="D1155" s="14" t="s">
        <v>1196</v>
      </c>
      <c r="E1155" s="14" t="s">
        <v>43</v>
      </c>
    </row>
    <row r="1156" spans="1:5" x14ac:dyDescent="0.25">
      <c r="A1156" s="36">
        <v>1154</v>
      </c>
      <c r="B1156" s="37">
        <v>1245351287</v>
      </c>
      <c r="C1156" s="38">
        <v>0.57991188372481239</v>
      </c>
      <c r="D1156" s="14" t="s">
        <v>1197</v>
      </c>
      <c r="E1156" s="14" t="s">
        <v>46</v>
      </c>
    </row>
    <row r="1157" spans="1:5" x14ac:dyDescent="0.25">
      <c r="A1157" s="36">
        <v>1155</v>
      </c>
      <c r="B1157" s="37">
        <v>645089032</v>
      </c>
      <c r="C1157" s="38">
        <v>0.30039298920910479</v>
      </c>
      <c r="D1157" s="14" t="s">
        <v>1198</v>
      </c>
      <c r="E1157" s="14" t="s">
        <v>48</v>
      </c>
    </row>
    <row r="1158" spans="1:5" x14ac:dyDescent="0.25">
      <c r="A1158" s="36">
        <v>1156</v>
      </c>
      <c r="B1158" s="37">
        <v>241590259</v>
      </c>
      <c r="C1158" s="38">
        <v>0.11249923105933668</v>
      </c>
      <c r="D1158" s="14" t="s">
        <v>1199</v>
      </c>
      <c r="E1158" s="14" t="s">
        <v>37</v>
      </c>
    </row>
    <row r="1159" spans="1:5" x14ac:dyDescent="0.25">
      <c r="A1159" s="36">
        <v>1157</v>
      </c>
      <c r="B1159" s="37">
        <v>546996272</v>
      </c>
      <c r="C1159" s="38">
        <v>0.25471498829066519</v>
      </c>
      <c r="D1159" s="14" t="s">
        <v>1200</v>
      </c>
      <c r="E1159" s="14" t="s">
        <v>40</v>
      </c>
    </row>
    <row r="1160" spans="1:5" x14ac:dyDescent="0.25">
      <c r="A1160" s="36">
        <v>1158</v>
      </c>
      <c r="B1160" s="37">
        <v>2014383610</v>
      </c>
      <c r="C1160" s="38">
        <v>0.93802046540101081</v>
      </c>
      <c r="D1160" s="14" t="s">
        <v>1201</v>
      </c>
      <c r="E1160" s="14" t="s">
        <v>43</v>
      </c>
    </row>
    <row r="1161" spans="1:5" x14ac:dyDescent="0.25">
      <c r="A1161" s="36">
        <v>1159</v>
      </c>
      <c r="B1161" s="37">
        <v>2120226847</v>
      </c>
      <c r="C1161" s="38">
        <v>0.98730756341820003</v>
      </c>
      <c r="D1161" s="14" t="s">
        <v>1202</v>
      </c>
      <c r="E1161" s="14" t="s">
        <v>46</v>
      </c>
    </row>
    <row r="1162" spans="1:5" x14ac:dyDescent="0.25">
      <c r="A1162" s="36">
        <v>1160</v>
      </c>
      <c r="B1162" s="37">
        <v>1275894392</v>
      </c>
      <c r="C1162" s="38">
        <v>0.59413462532411077</v>
      </c>
      <c r="D1162" s="14" t="s">
        <v>1203</v>
      </c>
      <c r="E1162" s="14" t="s">
        <v>48</v>
      </c>
    </row>
    <row r="1163" spans="1:5" x14ac:dyDescent="0.25">
      <c r="A1163" s="36">
        <v>1161</v>
      </c>
      <c r="B1163" s="37">
        <v>879080079</v>
      </c>
      <c r="C1163" s="38">
        <v>0.40935356142434925</v>
      </c>
      <c r="D1163" s="14" t="s">
        <v>1204</v>
      </c>
      <c r="E1163" s="14" t="s">
        <v>37</v>
      </c>
    </row>
    <row r="1164" spans="1:5" x14ac:dyDescent="0.25">
      <c r="A1164" s="36">
        <v>1162</v>
      </c>
      <c r="B1164" s="37">
        <v>1522492485</v>
      </c>
      <c r="C1164" s="38">
        <v>0.70896581081159682</v>
      </c>
      <c r="D1164" s="14" t="s">
        <v>1205</v>
      </c>
      <c r="E1164" s="14" t="s">
        <v>40</v>
      </c>
    </row>
    <row r="1165" spans="1:5" x14ac:dyDescent="0.25">
      <c r="A1165" s="36">
        <v>1163</v>
      </c>
      <c r="B1165" s="37">
        <v>1693026971</v>
      </c>
      <c r="C1165" s="38">
        <v>0.78837711912969921</v>
      </c>
      <c r="D1165" s="14" t="s">
        <v>1206</v>
      </c>
      <c r="E1165" s="14" t="s">
        <v>43</v>
      </c>
    </row>
    <row r="1166" spans="1:5" x14ac:dyDescent="0.25">
      <c r="A1166" s="36">
        <v>1164</v>
      </c>
      <c r="B1166" s="37">
        <v>1924908367</v>
      </c>
      <c r="C1166" s="38">
        <v>0.89635530854405621</v>
      </c>
      <c r="D1166" s="14" t="s">
        <v>1207</v>
      </c>
      <c r="E1166" s="14" t="s">
        <v>46</v>
      </c>
    </row>
    <row r="1167" spans="1:5" x14ac:dyDescent="0.25">
      <c r="A1167" s="36">
        <v>1165</v>
      </c>
      <c r="B1167" s="37">
        <v>627259016</v>
      </c>
      <c r="C1167" s="38">
        <v>0.29209024100196096</v>
      </c>
      <c r="D1167" s="14" t="s">
        <v>1208</v>
      </c>
      <c r="E1167" s="14" t="s">
        <v>48</v>
      </c>
    </row>
    <row r="1168" spans="1:5" x14ac:dyDescent="0.25">
      <c r="A1168" s="36">
        <v>1166</v>
      </c>
      <c r="B1168" s="37">
        <v>2105693046</v>
      </c>
      <c r="C1168" s="38">
        <v>0.98053973493191404</v>
      </c>
      <c r="D1168" s="14" t="s">
        <v>1209</v>
      </c>
      <c r="E1168" s="14" t="s">
        <v>37</v>
      </c>
    </row>
    <row r="1169" spans="1:5" x14ac:dyDescent="0.25">
      <c r="A1169" s="36">
        <v>1167</v>
      </c>
      <c r="B1169" s="37">
        <v>804068322</v>
      </c>
      <c r="C1169" s="38">
        <v>0.37442349008024833</v>
      </c>
      <c r="D1169" s="14" t="s">
        <v>1210</v>
      </c>
      <c r="E1169" s="14" t="s">
        <v>40</v>
      </c>
    </row>
    <row r="1170" spans="1:5" x14ac:dyDescent="0.25">
      <c r="A1170" s="36">
        <v>1168</v>
      </c>
      <c r="B1170" s="37">
        <v>1571875934</v>
      </c>
      <c r="C1170" s="38">
        <v>0.73196177125534123</v>
      </c>
      <c r="D1170" s="14" t="s">
        <v>1211</v>
      </c>
      <c r="E1170" s="14" t="s">
        <v>43</v>
      </c>
    </row>
    <row r="1171" spans="1:5" x14ac:dyDescent="0.25">
      <c r="A1171" s="36">
        <v>1169</v>
      </c>
      <c r="B1171" s="37">
        <v>299433830</v>
      </c>
      <c r="C1171" s="38">
        <v>0.13943474280621612</v>
      </c>
      <c r="D1171" s="14" t="s">
        <v>1212</v>
      </c>
      <c r="E1171" s="14" t="s">
        <v>46</v>
      </c>
    </row>
    <row r="1172" spans="1:5" x14ac:dyDescent="0.25">
      <c r="A1172" s="36">
        <v>1170</v>
      </c>
      <c r="B1172" s="37">
        <v>187701802</v>
      </c>
      <c r="C1172" s="38">
        <v>8.7405462790003732E-2</v>
      </c>
      <c r="D1172" s="14" t="s">
        <v>1213</v>
      </c>
      <c r="E1172" s="14" t="s">
        <v>48</v>
      </c>
    </row>
    <row r="1173" spans="1:5" x14ac:dyDescent="0.25">
      <c r="A1173" s="36">
        <v>1171</v>
      </c>
      <c r="B1173" s="37">
        <v>107559890</v>
      </c>
      <c r="C1173" s="38">
        <v>5.0086476863402167E-2</v>
      </c>
      <c r="D1173" s="14" t="s">
        <v>1214</v>
      </c>
      <c r="E1173" s="14" t="s">
        <v>37</v>
      </c>
    </row>
    <row r="1174" spans="1:5" x14ac:dyDescent="0.25">
      <c r="A1174" s="36">
        <v>1172</v>
      </c>
      <c r="B1174" s="37">
        <v>1428156083</v>
      </c>
      <c r="C1174" s="38">
        <v>0.66503700039584046</v>
      </c>
      <c r="D1174" s="14" t="s">
        <v>1215</v>
      </c>
      <c r="E1174" s="14" t="s">
        <v>40</v>
      </c>
    </row>
    <row r="1175" spans="1:5" x14ac:dyDescent="0.25">
      <c r="A1175" s="36">
        <v>1173</v>
      </c>
      <c r="B1175" s="37">
        <v>397756561</v>
      </c>
      <c r="C1175" s="38">
        <v>0.18521983231660902</v>
      </c>
      <c r="D1175" s="14" t="s">
        <v>1216</v>
      </c>
      <c r="E1175" s="14" t="s">
        <v>43</v>
      </c>
    </row>
    <row r="1176" spans="1:5" x14ac:dyDescent="0.25">
      <c r="A1176" s="36">
        <v>1174</v>
      </c>
      <c r="B1176" s="37">
        <v>1102781707</v>
      </c>
      <c r="C1176" s="38">
        <v>0.51352274954017385</v>
      </c>
      <c r="D1176" s="14" t="s">
        <v>1217</v>
      </c>
      <c r="E1176" s="14" t="s">
        <v>46</v>
      </c>
    </row>
    <row r="1177" spans="1:5" x14ac:dyDescent="0.25">
      <c r="A1177" s="36">
        <v>1175</v>
      </c>
      <c r="B1177" s="37">
        <v>1990318561</v>
      </c>
      <c r="C1177" s="38">
        <v>0.92681430369932871</v>
      </c>
      <c r="D1177" s="14" t="s">
        <v>1218</v>
      </c>
      <c r="E1177" s="14" t="s">
        <v>48</v>
      </c>
    </row>
    <row r="1178" spans="1:5" x14ac:dyDescent="0.25">
      <c r="A1178" s="36">
        <v>1176</v>
      </c>
      <c r="B1178" s="37">
        <v>109523966</v>
      </c>
      <c r="C1178" s="38">
        <v>5.1001071022358291E-2</v>
      </c>
      <c r="D1178" s="14" t="s">
        <v>1219</v>
      </c>
      <c r="E1178" s="14" t="s">
        <v>37</v>
      </c>
    </row>
    <row r="1179" spans="1:5" x14ac:dyDescent="0.25">
      <c r="A1179" s="36">
        <v>1177</v>
      </c>
      <c r="B1179" s="37">
        <v>64165602</v>
      </c>
      <c r="C1179" s="38">
        <v>2.9879436842109745E-2</v>
      </c>
      <c r="D1179" s="14" t="s">
        <v>1220</v>
      </c>
      <c r="E1179" s="14" t="s">
        <v>40</v>
      </c>
    </row>
    <row r="1180" spans="1:5" x14ac:dyDescent="0.25">
      <c r="A1180" s="36">
        <v>1178</v>
      </c>
      <c r="B1180" s="37">
        <v>1163389728</v>
      </c>
      <c r="C1180" s="38">
        <v>0.54174555863335061</v>
      </c>
      <c r="D1180" s="14" t="s">
        <v>1221</v>
      </c>
      <c r="E1180" s="14" t="s">
        <v>43</v>
      </c>
    </row>
    <row r="1181" spans="1:5" x14ac:dyDescent="0.25">
      <c r="A1181" s="36">
        <v>1179</v>
      </c>
      <c r="B1181" s="37">
        <v>1069704820</v>
      </c>
      <c r="C1181" s="38">
        <v>0.49812012375244874</v>
      </c>
      <c r="D1181" s="14" t="s">
        <v>1222</v>
      </c>
      <c r="E1181" s="14" t="s">
        <v>46</v>
      </c>
    </row>
    <row r="1182" spans="1:5" x14ac:dyDescent="0.25">
      <c r="A1182" s="36">
        <v>1180</v>
      </c>
      <c r="B1182" s="37">
        <v>1870726672</v>
      </c>
      <c r="C1182" s="38">
        <v>0.87112499069009208</v>
      </c>
      <c r="D1182" s="14" t="s">
        <v>1223</v>
      </c>
      <c r="E1182" s="14" t="s">
        <v>48</v>
      </c>
    </row>
    <row r="1183" spans="1:5" x14ac:dyDescent="0.25">
      <c r="A1183" s="36">
        <v>1181</v>
      </c>
      <c r="B1183" s="37">
        <v>1712112200</v>
      </c>
      <c r="C1183" s="38">
        <v>0.79726437143854068</v>
      </c>
      <c r="D1183" s="14" t="s">
        <v>1224</v>
      </c>
      <c r="E1183" s="14" t="s">
        <v>37</v>
      </c>
    </row>
    <row r="1184" spans="1:5" x14ac:dyDescent="0.25">
      <c r="A1184" s="36">
        <v>1182</v>
      </c>
      <c r="B1184" s="37">
        <v>2040119521</v>
      </c>
      <c r="C1184" s="38">
        <v>0.95000468285288875</v>
      </c>
      <c r="D1184" s="14" t="s">
        <v>1225</v>
      </c>
      <c r="E1184" s="14" t="s">
        <v>40</v>
      </c>
    </row>
    <row r="1185" spans="1:5" x14ac:dyDescent="0.25">
      <c r="A1185" s="36">
        <v>1183</v>
      </c>
      <c r="B1185" s="37">
        <v>36210119</v>
      </c>
      <c r="C1185" s="38">
        <v>1.6861650634958245E-2</v>
      </c>
      <c r="D1185" s="14" t="s">
        <v>1226</v>
      </c>
      <c r="E1185" s="14" t="s">
        <v>43</v>
      </c>
    </row>
    <row r="1186" spans="1:5" x14ac:dyDescent="0.25">
      <c r="A1186" s="36">
        <v>1184</v>
      </c>
      <c r="B1186" s="37">
        <v>238712349</v>
      </c>
      <c r="C1186" s="38">
        <v>0.11115909978335681</v>
      </c>
      <c r="D1186" s="14" t="s">
        <v>1227</v>
      </c>
      <c r="E1186" s="14" t="s">
        <v>46</v>
      </c>
    </row>
    <row r="1187" spans="1:5" x14ac:dyDescent="0.25">
      <c r="A1187" s="36">
        <v>1185</v>
      </c>
      <c r="B1187" s="37">
        <v>1229869979</v>
      </c>
      <c r="C1187" s="38">
        <v>0.57270283790896781</v>
      </c>
      <c r="D1187" s="14" t="s">
        <v>1228</v>
      </c>
      <c r="E1187" s="14" t="s">
        <v>48</v>
      </c>
    </row>
    <row r="1188" spans="1:5" x14ac:dyDescent="0.25">
      <c r="A1188" s="36">
        <v>1186</v>
      </c>
      <c r="B1188" s="37">
        <v>1424654332</v>
      </c>
      <c r="C1188" s="38">
        <v>0.66340637051659002</v>
      </c>
      <c r="D1188" s="14" t="s">
        <v>1229</v>
      </c>
      <c r="E1188" s="14" t="s">
        <v>37</v>
      </c>
    </row>
    <row r="1189" spans="1:5" x14ac:dyDescent="0.25">
      <c r="A1189" s="36">
        <v>1187</v>
      </c>
      <c r="B1189" s="37">
        <v>2063774891</v>
      </c>
      <c r="C1189" s="38">
        <v>0.96102007290395908</v>
      </c>
      <c r="D1189" s="14" t="s">
        <v>1230</v>
      </c>
      <c r="E1189" s="14" t="s">
        <v>40</v>
      </c>
    </row>
    <row r="1190" spans="1:5" x14ac:dyDescent="0.25">
      <c r="A1190" s="36">
        <v>1188</v>
      </c>
      <c r="B1190" s="37">
        <v>878291624</v>
      </c>
      <c r="C1190" s="38">
        <v>0.40898640845389406</v>
      </c>
      <c r="D1190" s="14" t="s">
        <v>1231</v>
      </c>
      <c r="E1190" s="14" t="s">
        <v>43</v>
      </c>
    </row>
    <row r="1191" spans="1:5" x14ac:dyDescent="0.25">
      <c r="A1191" s="36">
        <v>1189</v>
      </c>
      <c r="B1191" s="37">
        <v>1231941927</v>
      </c>
      <c r="C1191" s="38">
        <v>0.57366766388233181</v>
      </c>
      <c r="D1191" s="14" t="s">
        <v>1232</v>
      </c>
      <c r="E1191" s="14" t="s">
        <v>46</v>
      </c>
    </row>
    <row r="1192" spans="1:5" x14ac:dyDescent="0.25">
      <c r="A1192" s="36">
        <v>1190</v>
      </c>
      <c r="B1192" s="37">
        <v>1375161950</v>
      </c>
      <c r="C1192" s="38">
        <v>0.64035968419181166</v>
      </c>
      <c r="D1192" s="14" t="s">
        <v>1233</v>
      </c>
      <c r="E1192" s="14" t="s">
        <v>48</v>
      </c>
    </row>
    <row r="1193" spans="1:5" x14ac:dyDescent="0.25">
      <c r="A1193" s="36">
        <v>1191</v>
      </c>
      <c r="B1193" s="37">
        <v>376808908</v>
      </c>
      <c r="C1193" s="38">
        <v>0.17546532125001091</v>
      </c>
      <c r="D1193" s="14" t="s">
        <v>1234</v>
      </c>
      <c r="E1193" s="14" t="s">
        <v>37</v>
      </c>
    </row>
    <row r="1194" spans="1:5" x14ac:dyDescent="0.25">
      <c r="A1194" s="36">
        <v>1192</v>
      </c>
      <c r="B1194" s="37">
        <v>1902648221</v>
      </c>
      <c r="C1194" s="38">
        <v>0.88598962029721107</v>
      </c>
      <c r="D1194" s="14" t="s">
        <v>1235</v>
      </c>
      <c r="E1194" s="14" t="s">
        <v>40</v>
      </c>
    </row>
    <row r="1195" spans="1:5" x14ac:dyDescent="0.25">
      <c r="A1195" s="36">
        <v>1193</v>
      </c>
      <c r="B1195" s="37">
        <v>740583704</v>
      </c>
      <c r="C1195" s="38">
        <v>0.34486116112436221</v>
      </c>
      <c r="D1195" s="14" t="s">
        <v>1236</v>
      </c>
      <c r="E1195" s="14" t="s">
        <v>43</v>
      </c>
    </row>
    <row r="1196" spans="1:5" x14ac:dyDescent="0.25">
      <c r="A1196" s="36">
        <v>1194</v>
      </c>
      <c r="B1196" s="37">
        <v>1065917413</v>
      </c>
      <c r="C1196" s="38">
        <v>0.49635647493244917</v>
      </c>
      <c r="D1196" s="14" t="s">
        <v>1237</v>
      </c>
      <c r="E1196" s="14" t="s">
        <v>46</v>
      </c>
    </row>
    <row r="1197" spans="1:5" x14ac:dyDescent="0.25">
      <c r="A1197" s="36">
        <v>1195</v>
      </c>
      <c r="B1197" s="37">
        <v>501593942</v>
      </c>
      <c r="C1197" s="38">
        <v>0.23357288084624936</v>
      </c>
      <c r="D1197" s="14" t="s">
        <v>1238</v>
      </c>
      <c r="E1197" s="14" t="s">
        <v>48</v>
      </c>
    </row>
    <row r="1198" spans="1:5" x14ac:dyDescent="0.25">
      <c r="A1198" s="36">
        <v>1196</v>
      </c>
      <c r="B1198" s="37">
        <v>798061937</v>
      </c>
      <c r="C1198" s="38">
        <v>0.37162654910777998</v>
      </c>
      <c r="D1198" s="14" t="s">
        <v>1239</v>
      </c>
      <c r="E1198" s="14" t="s">
        <v>37</v>
      </c>
    </row>
    <row r="1199" spans="1:5" x14ac:dyDescent="0.25">
      <c r="A1199" s="36">
        <v>1197</v>
      </c>
      <c r="B1199" s="37">
        <v>330260594</v>
      </c>
      <c r="C1199" s="38">
        <v>0.15378957342067248</v>
      </c>
      <c r="D1199" s="14" t="s">
        <v>1240</v>
      </c>
      <c r="E1199" s="14" t="s">
        <v>40</v>
      </c>
    </row>
    <row r="1200" spans="1:5" x14ac:dyDescent="0.25">
      <c r="A1200" s="36">
        <v>1198</v>
      </c>
      <c r="B1200" s="37">
        <v>132787484</v>
      </c>
      <c r="C1200" s="38">
        <v>6.1833990766589526E-2</v>
      </c>
      <c r="D1200" s="14" t="s">
        <v>1241</v>
      </c>
      <c r="E1200" s="14" t="s">
        <v>43</v>
      </c>
    </row>
    <row r="1201" spans="1:5" x14ac:dyDescent="0.25">
      <c r="A1201" s="36">
        <v>1199</v>
      </c>
      <c r="B1201" s="37">
        <v>1493825495</v>
      </c>
      <c r="C1201" s="38">
        <v>0.69561670333874259</v>
      </c>
      <c r="D1201" s="14" t="s">
        <v>1242</v>
      </c>
      <c r="E1201" s="14" t="s">
        <v>46</v>
      </c>
    </row>
    <row r="1202" spans="1:5" x14ac:dyDescent="0.25">
      <c r="A1202" s="36">
        <v>1200</v>
      </c>
      <c r="B1202" s="37">
        <v>1858133561</v>
      </c>
      <c r="C1202" s="38">
        <v>0.86526086640789213</v>
      </c>
      <c r="D1202" s="14" t="s">
        <v>1243</v>
      </c>
      <c r="E1202" s="14" t="s">
        <v>48</v>
      </c>
    </row>
    <row r="1203" spans="1:5" x14ac:dyDescent="0.25">
      <c r="A1203" s="36">
        <v>1201</v>
      </c>
      <c r="B1203" s="37">
        <v>1751903292</v>
      </c>
      <c r="C1203" s="38">
        <v>0.81579354257126968</v>
      </c>
      <c r="D1203" s="14" t="s">
        <v>1244</v>
      </c>
      <c r="E1203" s="14" t="s">
        <v>37</v>
      </c>
    </row>
    <row r="1204" spans="1:5" x14ac:dyDescent="0.25">
      <c r="A1204" s="36">
        <v>1202</v>
      </c>
      <c r="B1204" s="37">
        <v>469406400</v>
      </c>
      <c r="C1204" s="38">
        <v>0.21858438859627788</v>
      </c>
      <c r="D1204" s="14" t="s">
        <v>1245</v>
      </c>
      <c r="E1204" s="14" t="s">
        <v>40</v>
      </c>
    </row>
    <row r="1205" spans="1:5" x14ac:dyDescent="0.25">
      <c r="A1205" s="36">
        <v>1203</v>
      </c>
      <c r="B1205" s="37">
        <v>1399223390</v>
      </c>
      <c r="C1205" s="38">
        <v>0.65156416532190709</v>
      </c>
      <c r="D1205" s="14" t="s">
        <v>1246</v>
      </c>
      <c r="E1205" s="14" t="s">
        <v>43</v>
      </c>
    </row>
    <row r="1206" spans="1:5" x14ac:dyDescent="0.25">
      <c r="A1206" s="36">
        <v>1204</v>
      </c>
      <c r="B1206" s="37">
        <v>675208358</v>
      </c>
      <c r="C1206" s="38">
        <v>0.31441839333363736</v>
      </c>
      <c r="D1206" s="14" t="s">
        <v>1247</v>
      </c>
      <c r="E1206" s="14" t="s">
        <v>46</v>
      </c>
    </row>
    <row r="1207" spans="1:5" x14ac:dyDescent="0.25">
      <c r="A1207" s="36">
        <v>1205</v>
      </c>
      <c r="B1207" s="37">
        <v>1606961194</v>
      </c>
      <c r="C1207" s="38">
        <v>0.74829961860007588</v>
      </c>
      <c r="D1207" s="14" t="s">
        <v>1248</v>
      </c>
      <c r="E1207" s="14" t="s">
        <v>48</v>
      </c>
    </row>
    <row r="1208" spans="1:5" x14ac:dyDescent="0.25">
      <c r="A1208" s="36">
        <v>1206</v>
      </c>
      <c r="B1208" s="37">
        <v>1921538812</v>
      </c>
      <c r="C1208" s="38">
        <v>0.89478623722437123</v>
      </c>
      <c r="D1208" s="14" t="s">
        <v>1249</v>
      </c>
      <c r="E1208" s="14" t="s">
        <v>37</v>
      </c>
    </row>
    <row r="1209" spans="1:5" x14ac:dyDescent="0.25">
      <c r="A1209" s="36">
        <v>1207</v>
      </c>
      <c r="B1209" s="37">
        <v>1146008605</v>
      </c>
      <c r="C1209" s="38">
        <v>0.53365184251854747</v>
      </c>
      <c r="D1209" s="14" t="s">
        <v>1250</v>
      </c>
      <c r="E1209" s="14" t="s">
        <v>40</v>
      </c>
    </row>
    <row r="1210" spans="1:5" x14ac:dyDescent="0.25">
      <c r="A1210" s="36">
        <v>1208</v>
      </c>
      <c r="B1210" s="37">
        <v>655635629</v>
      </c>
      <c r="C1210" s="38">
        <v>0.30530413114712768</v>
      </c>
      <c r="D1210" s="14" t="s">
        <v>1251</v>
      </c>
      <c r="E1210" s="14" t="s">
        <v>43</v>
      </c>
    </row>
    <row r="1211" spans="1:5" x14ac:dyDescent="0.25">
      <c r="A1211" s="36">
        <v>1209</v>
      </c>
      <c r="B1211" s="37">
        <v>1784631106</v>
      </c>
      <c r="C1211" s="38">
        <v>0.8310336185763747</v>
      </c>
      <c r="D1211" s="14" t="s">
        <v>1252</v>
      </c>
      <c r="E1211" s="14" t="s">
        <v>46</v>
      </c>
    </row>
    <row r="1212" spans="1:5" x14ac:dyDescent="0.25">
      <c r="A1212" s="36">
        <v>1210</v>
      </c>
      <c r="B1212" s="37">
        <v>1516331301</v>
      </c>
      <c r="C1212" s="38">
        <v>0.70609678593748104</v>
      </c>
      <c r="D1212" s="14" t="s">
        <v>1253</v>
      </c>
      <c r="E1212" s="14" t="s">
        <v>48</v>
      </c>
    </row>
    <row r="1213" spans="1:5" x14ac:dyDescent="0.25">
      <c r="A1213" s="36">
        <v>1211</v>
      </c>
      <c r="B1213" s="37">
        <v>482643796</v>
      </c>
      <c r="C1213" s="38">
        <v>0.2247485314611106</v>
      </c>
      <c r="D1213" s="14" t="s">
        <v>1254</v>
      </c>
      <c r="E1213" s="14" t="s">
        <v>37</v>
      </c>
    </row>
    <row r="1214" spans="1:5" x14ac:dyDescent="0.25">
      <c r="A1214" s="36">
        <v>1212</v>
      </c>
      <c r="B1214" s="37">
        <v>46098423</v>
      </c>
      <c r="C1214" s="38">
        <v>2.1466251007032696E-2</v>
      </c>
      <c r="D1214" s="14" t="s">
        <v>1255</v>
      </c>
      <c r="E1214" s="14" t="s">
        <v>40</v>
      </c>
    </row>
    <row r="1215" spans="1:5" x14ac:dyDescent="0.25">
      <c r="A1215" s="36">
        <v>1213</v>
      </c>
      <c r="B1215" s="37">
        <v>1253257341</v>
      </c>
      <c r="C1215" s="38">
        <v>0.58359342700969119</v>
      </c>
      <c r="D1215" s="14" t="s">
        <v>1256</v>
      </c>
      <c r="E1215" s="14" t="s">
        <v>43</v>
      </c>
    </row>
    <row r="1216" spans="1:5" x14ac:dyDescent="0.25">
      <c r="A1216" s="36">
        <v>1214</v>
      </c>
      <c r="B1216" s="37">
        <v>689834566</v>
      </c>
      <c r="C1216" s="38">
        <v>0.32122925218251963</v>
      </c>
      <c r="D1216" s="14" t="s">
        <v>1257</v>
      </c>
      <c r="E1216" s="14" t="s">
        <v>46</v>
      </c>
    </row>
    <row r="1217" spans="1:5" x14ac:dyDescent="0.25">
      <c r="A1217" s="36">
        <v>1215</v>
      </c>
      <c r="B1217" s="37">
        <v>1273726355</v>
      </c>
      <c r="C1217" s="38">
        <v>0.59312505442328989</v>
      </c>
      <c r="D1217" s="14" t="s">
        <v>1258</v>
      </c>
      <c r="E1217" s="14" t="s">
        <v>48</v>
      </c>
    </row>
    <row r="1218" spans="1:5" x14ac:dyDescent="0.25">
      <c r="A1218" s="36">
        <v>1216</v>
      </c>
      <c r="B1218" s="37">
        <v>2047303261</v>
      </c>
      <c r="C1218" s="38">
        <v>0.9533498724705306</v>
      </c>
      <c r="D1218" s="14" t="s">
        <v>1259</v>
      </c>
      <c r="E1218" s="14" t="s">
        <v>37</v>
      </c>
    </row>
    <row r="1219" spans="1:5" x14ac:dyDescent="0.25">
      <c r="A1219" s="36">
        <v>1217</v>
      </c>
      <c r="B1219" s="37">
        <v>362087123</v>
      </c>
      <c r="C1219" s="38">
        <v>0.16860995589225086</v>
      </c>
      <c r="D1219" s="14" t="s">
        <v>1260</v>
      </c>
      <c r="E1219" s="14" t="s">
        <v>40</v>
      </c>
    </row>
    <row r="1220" spans="1:5" x14ac:dyDescent="0.25">
      <c r="A1220" s="36">
        <v>1218</v>
      </c>
      <c r="B1220" s="37">
        <v>2059367013</v>
      </c>
      <c r="C1220" s="38">
        <v>0.95896749475922782</v>
      </c>
      <c r="D1220" s="14" t="s">
        <v>1261</v>
      </c>
      <c r="E1220" s="14" t="s">
        <v>43</v>
      </c>
    </row>
    <row r="1221" spans="1:5" x14ac:dyDescent="0.25">
      <c r="A1221" s="36">
        <v>1219</v>
      </c>
      <c r="B1221" s="37">
        <v>1806785473</v>
      </c>
      <c r="C1221" s="38">
        <v>0.84135004963788673</v>
      </c>
      <c r="D1221" s="14" t="s">
        <v>1262</v>
      </c>
      <c r="E1221" s="14" t="s">
        <v>46</v>
      </c>
    </row>
    <row r="1222" spans="1:5" x14ac:dyDescent="0.25">
      <c r="A1222" s="36">
        <v>1220</v>
      </c>
      <c r="B1222" s="37">
        <v>1424875692</v>
      </c>
      <c r="C1222" s="38">
        <v>0.66350944929919642</v>
      </c>
      <c r="D1222" s="14" t="s">
        <v>1263</v>
      </c>
      <c r="E1222" s="14" t="s">
        <v>48</v>
      </c>
    </row>
    <row r="1223" spans="1:5" x14ac:dyDescent="0.25">
      <c r="A1223" s="36">
        <v>1221</v>
      </c>
      <c r="B1223" s="37">
        <v>1155841607</v>
      </c>
      <c r="C1223" s="38">
        <v>0.53823069089009923</v>
      </c>
      <c r="D1223" s="14" t="s">
        <v>1264</v>
      </c>
      <c r="E1223" s="14" t="s">
        <v>37</v>
      </c>
    </row>
    <row r="1224" spans="1:5" x14ac:dyDescent="0.25">
      <c r="A1224" s="36">
        <v>1222</v>
      </c>
      <c r="B1224" s="37">
        <v>1960415892</v>
      </c>
      <c r="C1224" s="38">
        <v>0.91288978835236734</v>
      </c>
      <c r="D1224" s="14" t="s">
        <v>1265</v>
      </c>
      <c r="E1224" s="14" t="s">
        <v>40</v>
      </c>
    </row>
    <row r="1225" spans="1:5" x14ac:dyDescent="0.25">
      <c r="A1225" s="36">
        <v>1223</v>
      </c>
      <c r="B1225" s="37">
        <v>745376907</v>
      </c>
      <c r="C1225" s="38">
        <v>0.34709317020470892</v>
      </c>
      <c r="D1225" s="14" t="s">
        <v>1266</v>
      </c>
      <c r="E1225" s="14" t="s">
        <v>43</v>
      </c>
    </row>
    <row r="1226" spans="1:5" x14ac:dyDescent="0.25">
      <c r="A1226" s="36">
        <v>1224</v>
      </c>
      <c r="B1226" s="37">
        <v>1570392383</v>
      </c>
      <c r="C1226" s="38">
        <v>0.73127093898657292</v>
      </c>
      <c r="D1226" s="14" t="s">
        <v>1267</v>
      </c>
      <c r="E1226" s="14" t="s">
        <v>46</v>
      </c>
    </row>
    <row r="1227" spans="1:5" x14ac:dyDescent="0.25">
      <c r="A1227" s="36">
        <v>1225</v>
      </c>
      <c r="B1227" s="37">
        <v>497899605</v>
      </c>
      <c r="C1227" s="38">
        <v>0.23185257112227967</v>
      </c>
      <c r="D1227" s="14" t="s">
        <v>1268</v>
      </c>
      <c r="E1227" s="14" t="s">
        <v>48</v>
      </c>
    </row>
    <row r="1228" spans="1:5" x14ac:dyDescent="0.25">
      <c r="A1228" s="36">
        <v>1226</v>
      </c>
      <c r="B1228" s="37">
        <v>1874932020</v>
      </c>
      <c r="C1228" s="38">
        <v>0.87308325845426105</v>
      </c>
      <c r="D1228" s="14" t="s">
        <v>1269</v>
      </c>
      <c r="E1228" s="14" t="s">
        <v>37</v>
      </c>
    </row>
    <row r="1229" spans="1:5" x14ac:dyDescent="0.25">
      <c r="A1229" s="36">
        <v>1227</v>
      </c>
      <c r="B1229" s="37">
        <v>822302680</v>
      </c>
      <c r="C1229" s="38">
        <v>0.38291452470371246</v>
      </c>
      <c r="D1229" s="14" t="s">
        <v>1270</v>
      </c>
      <c r="E1229" s="14" t="s">
        <v>40</v>
      </c>
    </row>
    <row r="1230" spans="1:5" x14ac:dyDescent="0.25">
      <c r="A1230" s="36">
        <v>1228</v>
      </c>
      <c r="B1230" s="37">
        <v>582759186</v>
      </c>
      <c r="C1230" s="38">
        <v>0.27136839286953601</v>
      </c>
      <c r="D1230" s="14" t="s">
        <v>1271</v>
      </c>
      <c r="E1230" s="14" t="s">
        <v>43</v>
      </c>
    </row>
    <row r="1231" spans="1:5" x14ac:dyDescent="0.25">
      <c r="A1231" s="36">
        <v>1229</v>
      </c>
      <c r="B1231" s="37">
        <v>2032114620</v>
      </c>
      <c r="C1231" s="38">
        <v>0.94627711034672202</v>
      </c>
      <c r="D1231" s="14" t="s">
        <v>1272</v>
      </c>
      <c r="E1231" s="14" t="s">
        <v>46</v>
      </c>
    </row>
    <row r="1232" spans="1:5" x14ac:dyDescent="0.25">
      <c r="A1232" s="36">
        <v>1230</v>
      </c>
      <c r="B1232" s="37">
        <v>814402729</v>
      </c>
      <c r="C1232" s="38">
        <v>0.37923582334967137</v>
      </c>
      <c r="D1232" s="14" t="s">
        <v>1273</v>
      </c>
      <c r="E1232" s="14" t="s">
        <v>48</v>
      </c>
    </row>
    <row r="1233" spans="1:5" x14ac:dyDescent="0.25">
      <c r="A1233" s="36">
        <v>1231</v>
      </c>
      <c r="B1233" s="37">
        <v>2106675139</v>
      </c>
      <c r="C1233" s="38">
        <v>0.9809970576227629</v>
      </c>
      <c r="D1233" s="14" t="s">
        <v>1274</v>
      </c>
      <c r="E1233" s="14" t="s">
        <v>37</v>
      </c>
    </row>
    <row r="1234" spans="1:5" x14ac:dyDescent="0.25">
      <c r="A1234" s="36">
        <v>1232</v>
      </c>
      <c r="B1234" s="37">
        <v>1287363780</v>
      </c>
      <c r="C1234" s="38">
        <v>0.59947547530730971</v>
      </c>
      <c r="D1234" s="14" t="s">
        <v>1275</v>
      </c>
      <c r="E1234" s="14" t="s">
        <v>40</v>
      </c>
    </row>
    <row r="1235" spans="1:5" x14ac:dyDescent="0.25">
      <c r="A1235" s="36">
        <v>1233</v>
      </c>
      <c r="B1235" s="37">
        <v>832518949</v>
      </c>
      <c r="C1235" s="38">
        <v>0.38767184567994989</v>
      </c>
      <c r="D1235" s="14" t="s">
        <v>1276</v>
      </c>
      <c r="E1235" s="14" t="s">
        <v>43</v>
      </c>
    </row>
    <row r="1236" spans="1:5" x14ac:dyDescent="0.25">
      <c r="A1236" s="36">
        <v>1234</v>
      </c>
      <c r="B1236" s="37">
        <v>2042399465</v>
      </c>
      <c r="C1236" s="38">
        <v>0.95106636451141269</v>
      </c>
      <c r="D1236" s="14" t="s">
        <v>1277</v>
      </c>
      <c r="E1236" s="14" t="s">
        <v>46</v>
      </c>
    </row>
    <row r="1237" spans="1:5" x14ac:dyDescent="0.25">
      <c r="A1237" s="36">
        <v>1235</v>
      </c>
      <c r="B1237" s="37">
        <v>456392470</v>
      </c>
      <c r="C1237" s="38">
        <v>0.21252430519672311</v>
      </c>
      <c r="D1237" s="14" t="s">
        <v>1278</v>
      </c>
      <c r="E1237" s="14" t="s">
        <v>48</v>
      </c>
    </row>
    <row r="1238" spans="1:5" x14ac:dyDescent="0.25">
      <c r="A1238" s="36">
        <v>1236</v>
      </c>
      <c r="B1238" s="37">
        <v>1054937429</v>
      </c>
      <c r="C1238" s="38">
        <v>0.49124352144600986</v>
      </c>
      <c r="D1238" s="14" t="s">
        <v>1279</v>
      </c>
      <c r="E1238" s="14" t="s">
        <v>37</v>
      </c>
    </row>
    <row r="1239" spans="1:5" x14ac:dyDescent="0.25">
      <c r="A1239" s="36">
        <v>1237</v>
      </c>
      <c r="B1239" s="37">
        <v>1277045959</v>
      </c>
      <c r="C1239" s="38">
        <v>0.59467086549600157</v>
      </c>
      <c r="D1239" s="14" t="s">
        <v>1280</v>
      </c>
      <c r="E1239" s="14" t="s">
        <v>40</v>
      </c>
    </row>
    <row r="1240" spans="1:5" x14ac:dyDescent="0.25">
      <c r="A1240" s="36">
        <v>1238</v>
      </c>
      <c r="B1240" s="37">
        <v>2135727630</v>
      </c>
      <c r="C1240" s="38">
        <v>0.99452567798761915</v>
      </c>
      <c r="D1240" s="14" t="s">
        <v>1281</v>
      </c>
      <c r="E1240" s="14" t="s">
        <v>43</v>
      </c>
    </row>
    <row r="1241" spans="1:5" x14ac:dyDescent="0.25">
      <c r="A1241" s="36">
        <v>1239</v>
      </c>
      <c r="B1241" s="37">
        <v>700698762</v>
      </c>
      <c r="C1241" s="38">
        <v>0.32628828767979906</v>
      </c>
      <c r="D1241" s="14" t="s">
        <v>1282</v>
      </c>
      <c r="E1241" s="14" t="s">
        <v>46</v>
      </c>
    </row>
    <row r="1242" spans="1:5" x14ac:dyDescent="0.25">
      <c r="A1242" s="36">
        <v>1240</v>
      </c>
      <c r="B1242" s="37">
        <v>1039781868</v>
      </c>
      <c r="C1242" s="38">
        <v>0.48418616339759257</v>
      </c>
      <c r="D1242" s="14" t="s">
        <v>1283</v>
      </c>
      <c r="E1242" s="14" t="s">
        <v>48</v>
      </c>
    </row>
    <row r="1243" spans="1:5" x14ac:dyDescent="0.25">
      <c r="A1243" s="36">
        <v>1241</v>
      </c>
      <c r="B1243" s="37">
        <v>957273743</v>
      </c>
      <c r="C1243" s="38">
        <v>0.44576532367885363</v>
      </c>
      <c r="D1243" s="14" t="s">
        <v>1284</v>
      </c>
      <c r="E1243" s="14" t="s">
        <v>37</v>
      </c>
    </row>
    <row r="1244" spans="1:5" x14ac:dyDescent="0.25">
      <c r="A1244" s="36">
        <v>1242</v>
      </c>
      <c r="B1244" s="37">
        <v>2142184709</v>
      </c>
      <c r="C1244" s="38">
        <v>0.99753248970840713</v>
      </c>
      <c r="D1244" s="14" t="s">
        <v>1285</v>
      </c>
      <c r="E1244" s="14" t="s">
        <v>40</v>
      </c>
    </row>
    <row r="1245" spans="1:5" x14ac:dyDescent="0.25">
      <c r="A1245" s="36">
        <v>1243</v>
      </c>
      <c r="B1245" s="37">
        <v>514468002</v>
      </c>
      <c r="C1245" s="38">
        <v>0.23956783220151803</v>
      </c>
      <c r="D1245" s="14" t="s">
        <v>1286</v>
      </c>
      <c r="E1245" s="14" t="s">
        <v>43</v>
      </c>
    </row>
    <row r="1246" spans="1:5" x14ac:dyDescent="0.25">
      <c r="A1246" s="36">
        <v>1244</v>
      </c>
      <c r="B1246" s="37">
        <v>253470024</v>
      </c>
      <c r="C1246" s="38">
        <v>0.11803117772472611</v>
      </c>
      <c r="D1246" s="14" t="s">
        <v>1287</v>
      </c>
      <c r="E1246" s="14" t="s">
        <v>46</v>
      </c>
    </row>
    <row r="1247" spans="1:5" x14ac:dyDescent="0.25">
      <c r="A1247" s="36">
        <v>1245</v>
      </c>
      <c r="B1247" s="37">
        <v>683411321</v>
      </c>
      <c r="C1247" s="38">
        <v>0.3182381956457338</v>
      </c>
      <c r="D1247" s="14" t="s">
        <v>1288</v>
      </c>
      <c r="E1247" s="14" t="s">
        <v>48</v>
      </c>
    </row>
    <row r="1248" spans="1:5" x14ac:dyDescent="0.25">
      <c r="A1248" s="36">
        <v>1246</v>
      </c>
      <c r="B1248" s="37">
        <v>1942921143</v>
      </c>
      <c r="C1248" s="38">
        <v>0.90474316100810803</v>
      </c>
      <c r="D1248" s="14" t="s">
        <v>1289</v>
      </c>
      <c r="E1248" s="14" t="s">
        <v>37</v>
      </c>
    </row>
    <row r="1249" spans="1:5" x14ac:dyDescent="0.25">
      <c r="A1249" s="36">
        <v>1247</v>
      </c>
      <c r="B1249" s="37">
        <v>176551002</v>
      </c>
      <c r="C1249" s="38">
        <v>8.2212966905074639E-2</v>
      </c>
      <c r="D1249" s="14" t="s">
        <v>1290</v>
      </c>
      <c r="E1249" s="14" t="s">
        <v>40</v>
      </c>
    </row>
    <row r="1250" spans="1:5" x14ac:dyDescent="0.25">
      <c r="A1250" s="36">
        <v>1248</v>
      </c>
      <c r="B1250" s="37">
        <v>23350911</v>
      </c>
      <c r="C1250" s="38">
        <v>1.0873615281131871E-2</v>
      </c>
      <c r="D1250" s="14" t="s">
        <v>1291</v>
      </c>
      <c r="E1250" s="14" t="s">
        <v>43</v>
      </c>
    </row>
    <row r="1251" spans="1:5" x14ac:dyDescent="0.25">
      <c r="A1251" s="36">
        <v>1249</v>
      </c>
      <c r="B1251" s="37">
        <v>1882509445</v>
      </c>
      <c r="C1251" s="38">
        <v>0.87661177193588191</v>
      </c>
      <c r="D1251" s="14" t="s">
        <v>1292</v>
      </c>
      <c r="E1251" s="14" t="s">
        <v>46</v>
      </c>
    </row>
    <row r="1252" spans="1:5" x14ac:dyDescent="0.25">
      <c r="A1252" s="36">
        <v>1250</v>
      </c>
      <c r="B1252" s="37">
        <v>1464191974</v>
      </c>
      <c r="C1252" s="38">
        <v>0.68181751979599592</v>
      </c>
      <c r="D1252" s="14" t="s">
        <v>1293</v>
      </c>
      <c r="E1252" s="14" t="s">
        <v>48</v>
      </c>
    </row>
    <row r="1253" spans="1:5" x14ac:dyDescent="0.25">
      <c r="A1253" s="36">
        <v>1251</v>
      </c>
      <c r="B1253" s="37">
        <v>1673478979</v>
      </c>
      <c r="C1253" s="38">
        <v>0.7792743760064591</v>
      </c>
      <c r="D1253" s="14" t="s">
        <v>1294</v>
      </c>
      <c r="E1253" s="14" t="s">
        <v>37</v>
      </c>
    </row>
    <row r="1254" spans="1:5" x14ac:dyDescent="0.25">
      <c r="A1254" s="36">
        <v>1252</v>
      </c>
      <c r="B1254" s="37">
        <v>328260264</v>
      </c>
      <c r="C1254" s="38">
        <v>0.15285809717739843</v>
      </c>
      <c r="D1254" s="14" t="s">
        <v>1295</v>
      </c>
      <c r="E1254" s="14" t="s">
        <v>40</v>
      </c>
    </row>
    <row r="1255" spans="1:5" x14ac:dyDescent="0.25">
      <c r="A1255" s="36">
        <v>1253</v>
      </c>
      <c r="B1255" s="37">
        <v>1280630731</v>
      </c>
      <c r="C1255" s="38">
        <v>0.59634015504100368</v>
      </c>
      <c r="D1255" s="14" t="s">
        <v>1296</v>
      </c>
      <c r="E1255" s="14" t="s">
        <v>43</v>
      </c>
    </row>
    <row r="1256" spans="1:5" x14ac:dyDescent="0.25">
      <c r="A1256" s="36">
        <v>1254</v>
      </c>
      <c r="B1256" s="37">
        <v>1221285917</v>
      </c>
      <c r="C1256" s="38">
        <v>0.56870557254585696</v>
      </c>
      <c r="D1256" s="14" t="s">
        <v>1297</v>
      </c>
      <c r="E1256" s="14" t="s">
        <v>46</v>
      </c>
    </row>
    <row r="1257" spans="1:5" x14ac:dyDescent="0.25">
      <c r="A1257" s="36">
        <v>1255</v>
      </c>
      <c r="B1257" s="37">
        <v>247557273</v>
      </c>
      <c r="C1257" s="38">
        <v>0.11527783848125386</v>
      </c>
      <c r="D1257" s="14" t="s">
        <v>1298</v>
      </c>
      <c r="E1257" s="14" t="s">
        <v>48</v>
      </c>
    </row>
    <row r="1258" spans="1:5" x14ac:dyDescent="0.25">
      <c r="A1258" s="36">
        <v>1256</v>
      </c>
      <c r="B1258" s="37">
        <v>679107247</v>
      </c>
      <c r="C1258" s="38">
        <v>0.31623395500529278</v>
      </c>
      <c r="D1258" s="14" t="s">
        <v>1299</v>
      </c>
      <c r="E1258" s="14" t="s">
        <v>37</v>
      </c>
    </row>
    <row r="1259" spans="1:5" x14ac:dyDescent="0.25">
      <c r="A1259" s="36">
        <v>1257</v>
      </c>
      <c r="B1259" s="37">
        <v>1709592685</v>
      </c>
      <c r="C1259" s="38">
        <v>0.79609113083970318</v>
      </c>
      <c r="D1259" s="14" t="s">
        <v>1300</v>
      </c>
      <c r="E1259" s="14" t="s">
        <v>40</v>
      </c>
    </row>
    <row r="1260" spans="1:5" x14ac:dyDescent="0.25">
      <c r="A1260" s="36">
        <v>1258</v>
      </c>
      <c r="B1260" s="37">
        <v>132493090</v>
      </c>
      <c r="C1260" s="38">
        <v>6.1696902877510014E-2</v>
      </c>
      <c r="D1260" s="14" t="s">
        <v>1301</v>
      </c>
      <c r="E1260" s="14" t="s">
        <v>43</v>
      </c>
    </row>
    <row r="1261" spans="1:5" x14ac:dyDescent="0.25">
      <c r="A1261" s="36">
        <v>1259</v>
      </c>
      <c r="B1261" s="37">
        <v>1093924161</v>
      </c>
      <c r="C1261" s="38">
        <v>0.50939813326550565</v>
      </c>
      <c r="D1261" s="14" t="s">
        <v>1302</v>
      </c>
      <c r="E1261" s="14" t="s">
        <v>46</v>
      </c>
    </row>
    <row r="1262" spans="1:5" x14ac:dyDescent="0.25">
      <c r="A1262" s="36">
        <v>1260</v>
      </c>
      <c r="B1262" s="37">
        <v>858799566</v>
      </c>
      <c r="C1262" s="38">
        <v>0.39990971162911026</v>
      </c>
      <c r="D1262" s="14" t="s">
        <v>1303</v>
      </c>
      <c r="E1262" s="14" t="s">
        <v>48</v>
      </c>
    </row>
    <row r="1263" spans="1:5" x14ac:dyDescent="0.25">
      <c r="A1263" s="36">
        <v>1261</v>
      </c>
      <c r="B1263" s="37">
        <v>397038353</v>
      </c>
      <c r="C1263" s="38">
        <v>0.18488539065461856</v>
      </c>
      <c r="D1263" s="14" t="s">
        <v>1304</v>
      </c>
      <c r="E1263" s="14" t="s">
        <v>37</v>
      </c>
    </row>
    <row r="1264" spans="1:5" x14ac:dyDescent="0.25">
      <c r="A1264" s="36">
        <v>1262</v>
      </c>
      <c r="B1264" s="37">
        <v>1776001886</v>
      </c>
      <c r="C1264" s="38">
        <v>0.82701532488084184</v>
      </c>
      <c r="D1264" s="14" t="s">
        <v>1305</v>
      </c>
      <c r="E1264" s="14" t="s">
        <v>40</v>
      </c>
    </row>
    <row r="1265" spans="1:5" x14ac:dyDescent="0.25">
      <c r="A1265" s="36">
        <v>1263</v>
      </c>
      <c r="B1265" s="37">
        <v>334541937</v>
      </c>
      <c r="C1265" s="38">
        <v>0.15578322911438683</v>
      </c>
      <c r="D1265" s="14" t="s">
        <v>1306</v>
      </c>
      <c r="E1265" s="14" t="s">
        <v>43</v>
      </c>
    </row>
    <row r="1266" spans="1:5" x14ac:dyDescent="0.25">
      <c r="A1266" s="36">
        <v>1264</v>
      </c>
      <c r="B1266" s="37">
        <v>1184503813</v>
      </c>
      <c r="C1266" s="38">
        <v>0.55157757063935398</v>
      </c>
      <c r="D1266" s="14" t="s">
        <v>1307</v>
      </c>
      <c r="E1266" s="14" t="s">
        <v>46</v>
      </c>
    </row>
    <row r="1267" spans="1:5" x14ac:dyDescent="0.25">
      <c r="A1267" s="36">
        <v>1265</v>
      </c>
      <c r="B1267" s="37">
        <v>274672643</v>
      </c>
      <c r="C1267" s="38">
        <v>0.12790441658715923</v>
      </c>
      <c r="D1267" s="14" t="s">
        <v>1308</v>
      </c>
      <c r="E1267" s="14" t="s">
        <v>48</v>
      </c>
    </row>
    <row r="1268" spans="1:5" x14ac:dyDescent="0.25">
      <c r="A1268" s="36">
        <v>1266</v>
      </c>
      <c r="B1268" s="37">
        <v>1226547498</v>
      </c>
      <c r="C1268" s="38">
        <v>0.57115568712873188</v>
      </c>
      <c r="D1268" s="14" t="s">
        <v>1309</v>
      </c>
      <c r="E1268" s="14" t="s">
        <v>37</v>
      </c>
    </row>
    <row r="1269" spans="1:5" x14ac:dyDescent="0.25">
      <c r="A1269" s="36">
        <v>1267</v>
      </c>
      <c r="B1269" s="37">
        <v>842358832</v>
      </c>
      <c r="C1269" s="38">
        <v>0.39225389826682111</v>
      </c>
      <c r="D1269" s="14" t="s">
        <v>1310</v>
      </c>
      <c r="E1269" s="14" t="s">
        <v>40</v>
      </c>
    </row>
    <row r="1270" spans="1:5" x14ac:dyDescent="0.25">
      <c r="A1270" s="36">
        <v>1268</v>
      </c>
      <c r="B1270" s="37">
        <v>1915874371</v>
      </c>
      <c r="C1270" s="38">
        <v>0.89214852633520425</v>
      </c>
      <c r="D1270" s="14" t="s">
        <v>1311</v>
      </c>
      <c r="E1270" s="14" t="s">
        <v>43</v>
      </c>
    </row>
    <row r="1271" spans="1:5" x14ac:dyDescent="0.25">
      <c r="A1271" s="36">
        <v>1269</v>
      </c>
      <c r="B1271" s="37">
        <v>2143047057</v>
      </c>
      <c r="C1271" s="38">
        <v>0.99793405178838135</v>
      </c>
      <c r="D1271" s="14" t="s">
        <v>1312</v>
      </c>
      <c r="E1271" s="14" t="s">
        <v>46</v>
      </c>
    </row>
    <row r="1272" spans="1:5" x14ac:dyDescent="0.25">
      <c r="A1272" s="36">
        <v>1270</v>
      </c>
      <c r="B1272" s="37">
        <v>1395196506</v>
      </c>
      <c r="C1272" s="38">
        <v>0.64968900133375496</v>
      </c>
      <c r="D1272" s="14" t="s">
        <v>1313</v>
      </c>
      <c r="E1272" s="14" t="s">
        <v>48</v>
      </c>
    </row>
    <row r="1273" spans="1:5" x14ac:dyDescent="0.25">
      <c r="A1273" s="36">
        <v>1271</v>
      </c>
      <c r="B1273" s="37">
        <v>122580545</v>
      </c>
      <c r="C1273" s="38">
        <v>5.7081014410164679E-2</v>
      </c>
      <c r="D1273" s="14" t="s">
        <v>1314</v>
      </c>
      <c r="E1273" s="14" t="s">
        <v>37</v>
      </c>
    </row>
    <row r="1274" spans="1:5" x14ac:dyDescent="0.25">
      <c r="A1274" s="36">
        <v>1272</v>
      </c>
      <c r="B1274" s="37">
        <v>531817937</v>
      </c>
      <c r="C1274" s="38">
        <v>0.24764702527208582</v>
      </c>
      <c r="D1274" s="14" t="s">
        <v>1315</v>
      </c>
      <c r="E1274" s="14" t="s">
        <v>40</v>
      </c>
    </row>
    <row r="1275" spans="1:5" x14ac:dyDescent="0.25">
      <c r="A1275" s="36">
        <v>1273</v>
      </c>
      <c r="B1275" s="37">
        <v>293941043</v>
      </c>
      <c r="C1275" s="38">
        <v>0.13687696453969783</v>
      </c>
      <c r="D1275" s="14" t="s">
        <v>1316</v>
      </c>
      <c r="E1275" s="14" t="s">
        <v>43</v>
      </c>
    </row>
    <row r="1276" spans="1:5" x14ac:dyDescent="0.25">
      <c r="A1276" s="36">
        <v>1274</v>
      </c>
      <c r="B1276" s="37">
        <v>1291789553</v>
      </c>
      <c r="C1276" s="38">
        <v>0.60153638646078122</v>
      </c>
      <c r="D1276" s="14" t="s">
        <v>1317</v>
      </c>
      <c r="E1276" s="14" t="s">
        <v>46</v>
      </c>
    </row>
    <row r="1277" spans="1:5" x14ac:dyDescent="0.25">
      <c r="A1277" s="36">
        <v>1275</v>
      </c>
      <c r="B1277" s="37">
        <v>1773412564</v>
      </c>
      <c r="C1277" s="38">
        <v>0.82580957786450604</v>
      </c>
      <c r="D1277" s="14" t="s">
        <v>1318</v>
      </c>
      <c r="E1277" s="14" t="s">
        <v>48</v>
      </c>
    </row>
    <row r="1278" spans="1:5" x14ac:dyDescent="0.25">
      <c r="A1278" s="36">
        <v>1276</v>
      </c>
      <c r="B1278" s="37">
        <v>343019416</v>
      </c>
      <c r="C1278" s="38">
        <v>0.15973086290048941</v>
      </c>
      <c r="D1278" s="14" t="s">
        <v>1319</v>
      </c>
      <c r="E1278" s="14" t="s">
        <v>37</v>
      </c>
    </row>
    <row r="1279" spans="1:5" x14ac:dyDescent="0.25">
      <c r="A1279" s="36">
        <v>1277</v>
      </c>
      <c r="B1279" s="37">
        <v>1045191851</v>
      </c>
      <c r="C1279" s="38">
        <v>0.48670538304685868</v>
      </c>
      <c r="D1279" s="14" t="s">
        <v>1320</v>
      </c>
      <c r="E1279" s="14" t="s">
        <v>40</v>
      </c>
    </row>
    <row r="1280" spans="1:5" x14ac:dyDescent="0.25">
      <c r="A1280" s="36">
        <v>1278</v>
      </c>
      <c r="B1280" s="37">
        <v>1610294947</v>
      </c>
      <c r="C1280" s="38">
        <v>0.74985201831434478</v>
      </c>
      <c r="D1280" s="14" t="s">
        <v>1321</v>
      </c>
      <c r="E1280" s="14" t="s">
        <v>43</v>
      </c>
    </row>
    <row r="1281" spans="1:5" x14ac:dyDescent="0.25">
      <c r="A1281" s="36">
        <v>1279</v>
      </c>
      <c r="B1281" s="37">
        <v>1939007289</v>
      </c>
      <c r="C1281" s="38">
        <v>0.90292063071528483</v>
      </c>
      <c r="D1281" s="14" t="s">
        <v>1322</v>
      </c>
      <c r="E1281" s="14" t="s">
        <v>46</v>
      </c>
    </row>
    <row r="1282" spans="1:5" x14ac:dyDescent="0.25">
      <c r="A1282" s="36">
        <v>1280</v>
      </c>
      <c r="B1282" s="37">
        <v>934106650</v>
      </c>
      <c r="C1282" s="38">
        <v>0.43497730532427192</v>
      </c>
      <c r="D1282" s="14" t="s">
        <v>1323</v>
      </c>
      <c r="E1282" s="14" t="s">
        <v>48</v>
      </c>
    </row>
    <row r="1283" spans="1:5" x14ac:dyDescent="0.25">
      <c r="A1283" s="36">
        <v>1281</v>
      </c>
      <c r="B1283" s="37">
        <v>153074416</v>
      </c>
      <c r="C1283" s="38">
        <v>7.1280829641633126E-2</v>
      </c>
      <c r="D1283" s="14" t="s">
        <v>1324</v>
      </c>
      <c r="E1283" s="14" t="s">
        <v>37</v>
      </c>
    </row>
    <row r="1284" spans="1:5" x14ac:dyDescent="0.25">
      <c r="A1284" s="36">
        <v>1282</v>
      </c>
      <c r="B1284" s="37">
        <v>418963720</v>
      </c>
      <c r="C1284" s="38">
        <v>0.1950951852812875</v>
      </c>
      <c r="D1284" s="14" t="s">
        <v>1325</v>
      </c>
      <c r="E1284" s="14" t="s">
        <v>40</v>
      </c>
    </row>
    <row r="1285" spans="1:5" x14ac:dyDescent="0.25">
      <c r="A1285" s="36">
        <v>1283</v>
      </c>
      <c r="B1285" s="37">
        <v>612926796</v>
      </c>
      <c r="C1285" s="38">
        <v>0.28541628098367539</v>
      </c>
      <c r="D1285" s="14" t="s">
        <v>1326</v>
      </c>
      <c r="E1285" s="14" t="s">
        <v>43</v>
      </c>
    </row>
    <row r="1286" spans="1:5" x14ac:dyDescent="0.25">
      <c r="A1286" s="36">
        <v>1284</v>
      </c>
      <c r="B1286" s="37">
        <v>15548422</v>
      </c>
      <c r="C1286" s="38">
        <v>7.2402982074955009E-3</v>
      </c>
      <c r="D1286" s="14" t="s">
        <v>1327</v>
      </c>
      <c r="E1286" s="14" t="s">
        <v>46</v>
      </c>
    </row>
    <row r="1287" spans="1:5" x14ac:dyDescent="0.25">
      <c r="A1287" s="36">
        <v>1285</v>
      </c>
      <c r="B1287" s="37">
        <v>278120129</v>
      </c>
      <c r="C1287" s="38">
        <v>0.12950977735664221</v>
      </c>
      <c r="D1287" s="14" t="s">
        <v>1328</v>
      </c>
      <c r="E1287" s="14" t="s">
        <v>48</v>
      </c>
    </row>
    <row r="1288" spans="1:5" x14ac:dyDescent="0.25">
      <c r="A1288" s="36">
        <v>1286</v>
      </c>
      <c r="B1288" s="37">
        <v>1576876864</v>
      </c>
      <c r="C1288" s="38">
        <v>0.73429051075796159</v>
      </c>
      <c r="D1288" s="14" t="s">
        <v>1329</v>
      </c>
      <c r="E1288" s="14" t="s">
        <v>37</v>
      </c>
    </row>
    <row r="1289" spans="1:5" x14ac:dyDescent="0.25">
      <c r="A1289" s="36">
        <v>1287</v>
      </c>
      <c r="B1289" s="37">
        <v>825826308</v>
      </c>
      <c r="C1289" s="38">
        <v>0.38455534185495011</v>
      </c>
      <c r="D1289" s="14" t="s">
        <v>1330</v>
      </c>
      <c r="E1289" s="14" t="s">
        <v>40</v>
      </c>
    </row>
    <row r="1290" spans="1:5" x14ac:dyDescent="0.25">
      <c r="A1290" s="36">
        <v>1288</v>
      </c>
      <c r="B1290" s="37">
        <v>971815929</v>
      </c>
      <c r="C1290" s="38">
        <v>0.45253705673503553</v>
      </c>
      <c r="D1290" s="14" t="s">
        <v>1331</v>
      </c>
      <c r="E1290" s="14" t="s">
        <v>43</v>
      </c>
    </row>
    <row r="1291" spans="1:5" x14ac:dyDescent="0.25">
      <c r="A1291" s="36">
        <v>1289</v>
      </c>
      <c r="B1291" s="37">
        <v>1538667375</v>
      </c>
      <c r="C1291" s="38">
        <v>0.71649783091456531</v>
      </c>
      <c r="D1291" s="14" t="s">
        <v>1332</v>
      </c>
      <c r="E1291" s="14" t="s">
        <v>46</v>
      </c>
    </row>
    <row r="1292" spans="1:5" x14ac:dyDescent="0.25">
      <c r="A1292" s="36">
        <v>1290</v>
      </c>
      <c r="B1292" s="37">
        <v>51838135</v>
      </c>
      <c r="C1292" s="38">
        <v>2.4139012686972976E-2</v>
      </c>
      <c r="D1292" s="14" t="s">
        <v>1333</v>
      </c>
      <c r="E1292" s="14" t="s">
        <v>48</v>
      </c>
    </row>
    <row r="1293" spans="1:5" x14ac:dyDescent="0.25">
      <c r="A1293" s="36">
        <v>1291</v>
      </c>
      <c r="B1293" s="37">
        <v>992628638</v>
      </c>
      <c r="C1293" s="38">
        <v>0.46222872960484995</v>
      </c>
      <c r="D1293" s="14" t="s">
        <v>1334</v>
      </c>
      <c r="E1293" s="14" t="s">
        <v>37</v>
      </c>
    </row>
    <row r="1294" spans="1:5" x14ac:dyDescent="0.25">
      <c r="A1294" s="36">
        <v>1292</v>
      </c>
      <c r="B1294" s="37">
        <v>1606922196</v>
      </c>
      <c r="C1294" s="38">
        <v>0.74828145874118501</v>
      </c>
      <c r="D1294" s="14" t="s">
        <v>1335</v>
      </c>
      <c r="E1294" s="14" t="s">
        <v>40</v>
      </c>
    </row>
    <row r="1295" spans="1:5" x14ac:dyDescent="0.25">
      <c r="A1295" s="36">
        <v>1293</v>
      </c>
      <c r="B1295" s="37">
        <v>1432902272</v>
      </c>
      <c r="C1295" s="38">
        <v>0.66724711687641547</v>
      </c>
      <c r="D1295" s="14" t="s">
        <v>1336</v>
      </c>
      <c r="E1295" s="14" t="s">
        <v>43</v>
      </c>
    </row>
    <row r="1296" spans="1:5" x14ac:dyDescent="0.25">
      <c r="A1296" s="36">
        <v>1294</v>
      </c>
      <c r="B1296" s="37">
        <v>2103148120</v>
      </c>
      <c r="C1296" s="38">
        <v>0.97935466141409921</v>
      </c>
      <c r="D1296" s="14" t="s">
        <v>1337</v>
      </c>
      <c r="E1296" s="14" t="s">
        <v>46</v>
      </c>
    </row>
    <row r="1297" spans="1:5" x14ac:dyDescent="0.25">
      <c r="A1297" s="36">
        <v>1295</v>
      </c>
      <c r="B1297" s="37">
        <v>1696353703</v>
      </c>
      <c r="C1297" s="38">
        <v>0.78992624943606848</v>
      </c>
      <c r="D1297" s="14" t="s">
        <v>1338</v>
      </c>
      <c r="E1297" s="14" t="s">
        <v>48</v>
      </c>
    </row>
    <row r="1298" spans="1:5" x14ac:dyDescent="0.25">
      <c r="A1298" s="36">
        <v>1296</v>
      </c>
      <c r="B1298" s="37">
        <v>993165054</v>
      </c>
      <c r="C1298" s="38">
        <v>0.46247851777005872</v>
      </c>
      <c r="D1298" s="14" t="s">
        <v>1339</v>
      </c>
      <c r="E1298" s="14" t="s">
        <v>37</v>
      </c>
    </row>
    <row r="1299" spans="1:5" x14ac:dyDescent="0.25">
      <c r="A1299" s="36">
        <v>1297</v>
      </c>
      <c r="B1299" s="37">
        <v>1131567444</v>
      </c>
      <c r="C1299" s="38">
        <v>0.52692715289393777</v>
      </c>
      <c r="D1299" s="14" t="s">
        <v>1340</v>
      </c>
      <c r="E1299" s="14" t="s">
        <v>40</v>
      </c>
    </row>
    <row r="1300" spans="1:5" x14ac:dyDescent="0.25">
      <c r="A1300" s="36">
        <v>1298</v>
      </c>
      <c r="B1300" s="37">
        <v>1914066622</v>
      </c>
      <c r="C1300" s="38">
        <v>0.89130672760834295</v>
      </c>
      <c r="D1300" s="14" t="s">
        <v>1341</v>
      </c>
      <c r="E1300" s="14" t="s">
        <v>43</v>
      </c>
    </row>
    <row r="1301" spans="1:5" x14ac:dyDescent="0.25">
      <c r="A1301" s="36">
        <v>1299</v>
      </c>
      <c r="B1301" s="37">
        <v>1724232279</v>
      </c>
      <c r="C1301" s="38">
        <v>0.80290822303058029</v>
      </c>
      <c r="D1301" s="14" t="s">
        <v>1342</v>
      </c>
      <c r="E1301" s="14" t="s">
        <v>46</v>
      </c>
    </row>
    <row r="1302" spans="1:5" x14ac:dyDescent="0.25">
      <c r="A1302" s="36">
        <v>1300</v>
      </c>
      <c r="B1302" s="37">
        <v>605753431</v>
      </c>
      <c r="C1302" s="38">
        <v>0.28207592260189163</v>
      </c>
      <c r="D1302" s="14" t="s">
        <v>1343</v>
      </c>
      <c r="E1302" s="14" t="s">
        <v>48</v>
      </c>
    </row>
    <row r="1303" spans="1:5" x14ac:dyDescent="0.25">
      <c r="A1303" s="36">
        <v>1301</v>
      </c>
      <c r="B1303" s="37">
        <v>1926732764</v>
      </c>
      <c r="C1303" s="38">
        <v>0.89720485960003216</v>
      </c>
      <c r="D1303" s="14" t="s">
        <v>1344</v>
      </c>
      <c r="E1303" s="14" t="s">
        <v>37</v>
      </c>
    </row>
    <row r="1304" spans="1:5" x14ac:dyDescent="0.25">
      <c r="A1304" s="36">
        <v>1302</v>
      </c>
      <c r="B1304" s="37">
        <v>839798583</v>
      </c>
      <c r="C1304" s="38">
        <v>0.39106168942109759</v>
      </c>
      <c r="D1304" s="14" t="s">
        <v>1345</v>
      </c>
      <c r="E1304" s="14" t="s">
        <v>40</v>
      </c>
    </row>
    <row r="1305" spans="1:5" x14ac:dyDescent="0.25">
      <c r="A1305" s="36">
        <v>1303</v>
      </c>
      <c r="B1305" s="37">
        <v>924963294</v>
      </c>
      <c r="C1305" s="38">
        <v>0.43071959839701635</v>
      </c>
      <c r="D1305" s="14" t="s">
        <v>1346</v>
      </c>
      <c r="E1305" s="14" t="s">
        <v>43</v>
      </c>
    </row>
    <row r="1306" spans="1:5" x14ac:dyDescent="0.25">
      <c r="A1306" s="36">
        <v>1304</v>
      </c>
      <c r="B1306" s="37">
        <v>25034805</v>
      </c>
      <c r="C1306" s="38">
        <v>1.1657739529226786E-2</v>
      </c>
      <c r="D1306" s="14" t="s">
        <v>1347</v>
      </c>
      <c r="E1306" s="14" t="s">
        <v>46</v>
      </c>
    </row>
    <row r="1307" spans="1:5" x14ac:dyDescent="0.25">
      <c r="A1307" s="36">
        <v>1305</v>
      </c>
      <c r="B1307" s="37">
        <v>152526813</v>
      </c>
      <c r="C1307" s="38">
        <v>7.1025832123600793E-2</v>
      </c>
      <c r="D1307" s="14" t="s">
        <v>1348</v>
      </c>
      <c r="E1307" s="14" t="s">
        <v>48</v>
      </c>
    </row>
    <row r="1308" spans="1:5" x14ac:dyDescent="0.25">
      <c r="A1308" s="36">
        <v>1306</v>
      </c>
      <c r="B1308" s="37">
        <v>1600630120</v>
      </c>
      <c r="C1308" s="38">
        <v>0.74535148252982253</v>
      </c>
      <c r="D1308" s="14" t="s">
        <v>1349</v>
      </c>
      <c r="E1308" s="14" t="s">
        <v>37</v>
      </c>
    </row>
    <row r="1309" spans="1:5" x14ac:dyDescent="0.25">
      <c r="A1309" s="36">
        <v>1307</v>
      </c>
      <c r="B1309" s="37">
        <v>1392844791</v>
      </c>
      <c r="C1309" s="38">
        <v>0.64859389869896411</v>
      </c>
      <c r="D1309" s="14" t="s">
        <v>1350</v>
      </c>
      <c r="E1309" s="14" t="s">
        <v>40</v>
      </c>
    </row>
    <row r="1310" spans="1:5" x14ac:dyDescent="0.25">
      <c r="A1310" s="36">
        <v>1308</v>
      </c>
      <c r="B1310" s="37">
        <v>496858651</v>
      </c>
      <c r="C1310" s="38">
        <v>0.23136783914238579</v>
      </c>
      <c r="D1310" s="14" t="s">
        <v>1351</v>
      </c>
      <c r="E1310" s="14" t="s">
        <v>43</v>
      </c>
    </row>
    <row r="1311" spans="1:5" x14ac:dyDescent="0.25">
      <c r="A1311" s="36">
        <v>1309</v>
      </c>
      <c r="B1311" s="37">
        <v>52794652</v>
      </c>
      <c r="C1311" s="38">
        <v>2.4584425624732127E-2</v>
      </c>
      <c r="D1311" s="14" t="s">
        <v>1352</v>
      </c>
      <c r="E1311" s="14" t="s">
        <v>46</v>
      </c>
    </row>
    <row r="1312" spans="1:5" x14ac:dyDescent="0.25">
      <c r="A1312" s="36">
        <v>1310</v>
      </c>
      <c r="B1312" s="37">
        <v>1853705636</v>
      </c>
      <c r="C1312" s="38">
        <v>0.86319895315132988</v>
      </c>
      <c r="D1312" s="14" t="s">
        <v>1353</v>
      </c>
      <c r="E1312" s="14" t="s">
        <v>48</v>
      </c>
    </row>
    <row r="1313" spans="1:5" x14ac:dyDescent="0.25">
      <c r="A1313" s="36">
        <v>1311</v>
      </c>
      <c r="B1313" s="37">
        <v>1523919171</v>
      </c>
      <c r="C1313" s="38">
        <v>0.70963016325125017</v>
      </c>
      <c r="D1313" s="14" t="s">
        <v>1354</v>
      </c>
      <c r="E1313" s="14" t="s">
        <v>37</v>
      </c>
    </row>
    <row r="1314" spans="1:5" x14ac:dyDescent="0.25">
      <c r="A1314" s="36">
        <v>1312</v>
      </c>
      <c r="B1314" s="37">
        <v>1330627539</v>
      </c>
      <c r="C1314" s="38">
        <v>0.61962173302640289</v>
      </c>
      <c r="D1314" s="14" t="s">
        <v>1355</v>
      </c>
      <c r="E1314" s="14" t="s">
        <v>40</v>
      </c>
    </row>
    <row r="1315" spans="1:5" x14ac:dyDescent="0.25">
      <c r="A1315" s="36">
        <v>1313</v>
      </c>
      <c r="B1315" s="37">
        <v>724349926</v>
      </c>
      <c r="C1315" s="38">
        <v>0.33730171915949403</v>
      </c>
      <c r="D1315" s="14" t="s">
        <v>1356</v>
      </c>
      <c r="E1315" s="14" t="s">
        <v>43</v>
      </c>
    </row>
    <row r="1316" spans="1:5" x14ac:dyDescent="0.25">
      <c r="A1316" s="36">
        <v>1314</v>
      </c>
      <c r="B1316" s="37">
        <v>1323322164</v>
      </c>
      <c r="C1316" s="38">
        <v>0.61621990269805305</v>
      </c>
      <c r="D1316" s="14" t="s">
        <v>1357</v>
      </c>
      <c r="E1316" s="14" t="s">
        <v>46</v>
      </c>
    </row>
    <row r="1317" spans="1:5" x14ac:dyDescent="0.25">
      <c r="A1317" s="36">
        <v>1315</v>
      </c>
      <c r="B1317" s="37">
        <v>1944921012</v>
      </c>
      <c r="C1317" s="38">
        <v>0.90567442258152853</v>
      </c>
      <c r="D1317" s="14" t="s">
        <v>1358</v>
      </c>
      <c r="E1317" s="14" t="s">
        <v>48</v>
      </c>
    </row>
    <row r="1318" spans="1:5" x14ac:dyDescent="0.25">
      <c r="A1318" s="36">
        <v>1316</v>
      </c>
      <c r="B1318" s="37">
        <v>408845377</v>
      </c>
      <c r="C1318" s="38">
        <v>0.19038346465229219</v>
      </c>
      <c r="D1318" s="14" t="s">
        <v>1359</v>
      </c>
      <c r="E1318" s="14" t="s">
        <v>37</v>
      </c>
    </row>
    <row r="1319" spans="1:5" x14ac:dyDescent="0.25">
      <c r="A1319" s="36">
        <v>1317</v>
      </c>
      <c r="B1319" s="37">
        <v>1092288142</v>
      </c>
      <c r="C1319" s="38">
        <v>0.5086363025515509</v>
      </c>
      <c r="D1319" s="14" t="s">
        <v>1360</v>
      </c>
      <c r="E1319" s="14" t="s">
        <v>40</v>
      </c>
    </row>
    <row r="1320" spans="1:5" x14ac:dyDescent="0.25">
      <c r="A1320" s="36">
        <v>1318</v>
      </c>
      <c r="B1320" s="37">
        <v>673537987</v>
      </c>
      <c r="C1320" s="38">
        <v>0.31364056622313363</v>
      </c>
      <c r="D1320" s="14" t="s">
        <v>1361</v>
      </c>
      <c r="E1320" s="14" t="s">
        <v>43</v>
      </c>
    </row>
    <row r="1321" spans="1:5" x14ac:dyDescent="0.25">
      <c r="A1321" s="36">
        <v>1319</v>
      </c>
      <c r="B1321" s="37">
        <v>76511637</v>
      </c>
      <c r="C1321" s="38">
        <v>3.5628507396033272E-2</v>
      </c>
      <c r="D1321" s="14" t="s">
        <v>1362</v>
      </c>
      <c r="E1321" s="14" t="s">
        <v>46</v>
      </c>
    </row>
    <row r="1322" spans="1:5" x14ac:dyDescent="0.25">
      <c r="A1322" s="36">
        <v>1320</v>
      </c>
      <c r="B1322" s="37">
        <v>28796313</v>
      </c>
      <c r="C1322" s="38">
        <v>1.3409328187540792E-2</v>
      </c>
      <c r="D1322" s="14" t="s">
        <v>1363</v>
      </c>
      <c r="E1322" s="14" t="s">
        <v>48</v>
      </c>
    </row>
    <row r="1323" spans="1:5" x14ac:dyDescent="0.25">
      <c r="A1323" s="36">
        <v>1321</v>
      </c>
      <c r="B1323" s="37">
        <v>1361799508</v>
      </c>
      <c r="C1323" s="38">
        <v>0.6341373122456192</v>
      </c>
      <c r="D1323" s="14" t="s">
        <v>1364</v>
      </c>
      <c r="E1323" s="14" t="s">
        <v>37</v>
      </c>
    </row>
    <row r="1324" spans="1:5" x14ac:dyDescent="0.25">
      <c r="A1324" s="36">
        <v>1322</v>
      </c>
      <c r="B1324" s="37">
        <v>1893654484</v>
      </c>
      <c r="C1324" s="38">
        <v>0.8818015851461336</v>
      </c>
      <c r="D1324" s="14" t="s">
        <v>1365</v>
      </c>
      <c r="E1324" s="14" t="s">
        <v>40</v>
      </c>
    </row>
    <row r="1325" spans="1:5" x14ac:dyDescent="0.25">
      <c r="A1325" s="36">
        <v>1323</v>
      </c>
      <c r="B1325" s="37">
        <v>549007016</v>
      </c>
      <c r="C1325" s="38">
        <v>0.25565131393058754</v>
      </c>
      <c r="D1325" s="14" t="s">
        <v>1366</v>
      </c>
      <c r="E1325" s="14" t="s">
        <v>43</v>
      </c>
    </row>
    <row r="1326" spans="1:5" x14ac:dyDescent="0.25">
      <c r="A1326" s="36">
        <v>1324</v>
      </c>
      <c r="B1326" s="37">
        <v>1021034537</v>
      </c>
      <c r="C1326" s="38">
        <v>0.47545625710648309</v>
      </c>
      <c r="D1326" s="14" t="s">
        <v>1367</v>
      </c>
      <c r="E1326" s="14" t="s">
        <v>46</v>
      </c>
    </row>
    <row r="1327" spans="1:5" x14ac:dyDescent="0.25">
      <c r="A1327" s="36">
        <v>1325</v>
      </c>
      <c r="B1327" s="37">
        <v>641015525</v>
      </c>
      <c r="C1327" s="38">
        <v>0.29849611469474441</v>
      </c>
      <c r="D1327" s="14" t="s">
        <v>1368</v>
      </c>
      <c r="E1327" s="14" t="s">
        <v>48</v>
      </c>
    </row>
    <row r="1328" spans="1:5" x14ac:dyDescent="0.25">
      <c r="A1328" s="36">
        <v>1326</v>
      </c>
      <c r="B1328" s="37">
        <v>1540708310</v>
      </c>
      <c r="C1328" s="38">
        <v>0.71744821533441927</v>
      </c>
      <c r="D1328" s="14" t="s">
        <v>1369</v>
      </c>
      <c r="E1328" s="14" t="s">
        <v>37</v>
      </c>
    </row>
    <row r="1329" spans="1:5" x14ac:dyDescent="0.25">
      <c r="A1329" s="36">
        <v>1327</v>
      </c>
      <c r="B1329" s="37">
        <v>2067523103</v>
      </c>
      <c r="C1329" s="38">
        <v>0.96276547012979419</v>
      </c>
      <c r="D1329" s="14" t="s">
        <v>1370</v>
      </c>
      <c r="E1329" s="14" t="s">
        <v>40</v>
      </c>
    </row>
    <row r="1330" spans="1:5" x14ac:dyDescent="0.25">
      <c r="A1330" s="36">
        <v>1328</v>
      </c>
      <c r="B1330" s="37">
        <v>1430876389</v>
      </c>
      <c r="C1330" s="38">
        <v>0.66630374159026129</v>
      </c>
      <c r="D1330" s="14" t="s">
        <v>1371</v>
      </c>
      <c r="E1330" s="14" t="s">
        <v>43</v>
      </c>
    </row>
    <row r="1331" spans="1:5" x14ac:dyDescent="0.25">
      <c r="A1331" s="36">
        <v>1329</v>
      </c>
      <c r="B1331" s="37">
        <v>1519573335</v>
      </c>
      <c r="C1331" s="38">
        <v>0.70760647566411949</v>
      </c>
      <c r="D1331" s="14" t="s">
        <v>1372</v>
      </c>
      <c r="E1331" s="14" t="s">
        <v>46</v>
      </c>
    </row>
    <row r="1332" spans="1:5" x14ac:dyDescent="0.25">
      <c r="A1332" s="36">
        <v>1330</v>
      </c>
      <c r="B1332" s="37">
        <v>302882735</v>
      </c>
      <c r="C1332" s="38">
        <v>0.14104076434906607</v>
      </c>
      <c r="D1332" s="14" t="s">
        <v>1373</v>
      </c>
      <c r="E1332" s="14" t="s">
        <v>48</v>
      </c>
    </row>
    <row r="1333" spans="1:5" x14ac:dyDescent="0.25">
      <c r="A1333" s="36">
        <v>1331</v>
      </c>
      <c r="B1333" s="37">
        <v>752508496</v>
      </c>
      <c r="C1333" s="38">
        <v>0.35041407512054501</v>
      </c>
      <c r="D1333" s="14" t="s">
        <v>1374</v>
      </c>
      <c r="E1333" s="14" t="s">
        <v>37</v>
      </c>
    </row>
    <row r="1334" spans="1:5" x14ac:dyDescent="0.25">
      <c r="A1334" s="36">
        <v>1332</v>
      </c>
      <c r="B1334" s="37">
        <v>988971992</v>
      </c>
      <c r="C1334" s="38">
        <v>0.46052597112046834</v>
      </c>
      <c r="D1334" s="14" t="s">
        <v>1375</v>
      </c>
      <c r="E1334" s="14" t="s">
        <v>40</v>
      </c>
    </row>
    <row r="1335" spans="1:5" x14ac:dyDescent="0.25">
      <c r="A1335" s="36">
        <v>1333</v>
      </c>
      <c r="B1335" s="37">
        <v>996894644</v>
      </c>
      <c r="C1335" s="38">
        <v>0.46421524345139753</v>
      </c>
      <c r="D1335" s="14" t="s">
        <v>1376</v>
      </c>
      <c r="E1335" s="14" t="s">
        <v>43</v>
      </c>
    </row>
    <row r="1336" spans="1:5" x14ac:dyDescent="0.25">
      <c r="A1336" s="36">
        <v>1334</v>
      </c>
      <c r="B1336" s="37">
        <v>752138717</v>
      </c>
      <c r="C1336" s="38">
        <v>0.35024188335530548</v>
      </c>
      <c r="D1336" s="14" t="s">
        <v>1377</v>
      </c>
      <c r="E1336" s="14" t="s">
        <v>46</v>
      </c>
    </row>
    <row r="1337" spans="1:5" x14ac:dyDescent="0.25">
      <c r="A1337" s="36">
        <v>1335</v>
      </c>
      <c r="B1337" s="37">
        <v>1810388706</v>
      </c>
      <c r="C1337" s="38">
        <v>0.84302793575591772</v>
      </c>
      <c r="D1337" s="14" t="s">
        <v>1378</v>
      </c>
      <c r="E1337" s="14" t="s">
        <v>48</v>
      </c>
    </row>
    <row r="1338" spans="1:5" x14ac:dyDescent="0.25">
      <c r="A1338" s="36">
        <v>1336</v>
      </c>
      <c r="B1338" s="37">
        <v>1174458946</v>
      </c>
      <c r="C1338" s="38">
        <v>0.5469000649391208</v>
      </c>
      <c r="D1338" s="14" t="s">
        <v>1379</v>
      </c>
      <c r="E1338" s="14" t="s">
        <v>37</v>
      </c>
    </row>
    <row r="1339" spans="1:5" x14ac:dyDescent="0.25">
      <c r="A1339" s="36">
        <v>1337</v>
      </c>
      <c r="B1339" s="37">
        <v>650105010</v>
      </c>
      <c r="C1339" s="38">
        <v>0.30272873598277977</v>
      </c>
      <c r="D1339" s="14" t="s">
        <v>1380</v>
      </c>
      <c r="E1339" s="14" t="s">
        <v>40</v>
      </c>
    </row>
    <row r="1340" spans="1:5" x14ac:dyDescent="0.25">
      <c r="A1340" s="36">
        <v>1338</v>
      </c>
      <c r="B1340" s="37">
        <v>45951173</v>
      </c>
      <c r="C1340" s="38">
        <v>2.1397682382444702E-2</v>
      </c>
      <c r="D1340" s="14" t="s">
        <v>1381</v>
      </c>
      <c r="E1340" s="14" t="s">
        <v>43</v>
      </c>
    </row>
    <row r="1341" spans="1:5" x14ac:dyDescent="0.25">
      <c r="A1341" s="36">
        <v>1339</v>
      </c>
      <c r="B1341" s="37">
        <v>965086849</v>
      </c>
      <c r="C1341" s="38">
        <v>0.44940358467837965</v>
      </c>
      <c r="D1341" s="14" t="s">
        <v>1382</v>
      </c>
      <c r="E1341" s="14" t="s">
        <v>46</v>
      </c>
    </row>
    <row r="1342" spans="1:5" x14ac:dyDescent="0.25">
      <c r="A1342" s="36">
        <v>1340</v>
      </c>
      <c r="B1342" s="37">
        <v>2091483127</v>
      </c>
      <c r="C1342" s="38">
        <v>0.97392272575475403</v>
      </c>
      <c r="D1342" s="14" t="s">
        <v>1383</v>
      </c>
      <c r="E1342" s="14" t="s">
        <v>48</v>
      </c>
    </row>
    <row r="1343" spans="1:5" x14ac:dyDescent="0.25">
      <c r="A1343" s="36">
        <v>1341</v>
      </c>
      <c r="B1343" s="37">
        <v>423532905</v>
      </c>
      <c r="C1343" s="38">
        <v>0.1972228778513255</v>
      </c>
      <c r="D1343" s="14" t="s">
        <v>1384</v>
      </c>
      <c r="E1343" s="14" t="s">
        <v>37</v>
      </c>
    </row>
    <row r="1344" spans="1:5" x14ac:dyDescent="0.25">
      <c r="A1344" s="36">
        <v>1342</v>
      </c>
      <c r="B1344" s="37">
        <v>1895994894</v>
      </c>
      <c r="C1344" s="38">
        <v>0.88289142348006899</v>
      </c>
      <c r="D1344" s="14" t="s">
        <v>1385</v>
      </c>
      <c r="E1344" s="14" t="s">
        <v>40</v>
      </c>
    </row>
    <row r="1345" spans="1:5" x14ac:dyDescent="0.25">
      <c r="A1345" s="36">
        <v>1343</v>
      </c>
      <c r="B1345" s="37">
        <v>684626608</v>
      </c>
      <c r="C1345" s="38">
        <v>0.31880410775486573</v>
      </c>
      <c r="D1345" s="14" t="s">
        <v>1386</v>
      </c>
      <c r="E1345" s="14" t="s">
        <v>43</v>
      </c>
    </row>
    <row r="1346" spans="1:5" x14ac:dyDescent="0.25">
      <c r="A1346" s="36">
        <v>1344</v>
      </c>
      <c r="B1346" s="37">
        <v>1888919344</v>
      </c>
      <c r="C1346" s="38">
        <v>0.8795966137571245</v>
      </c>
      <c r="D1346" s="14" t="s">
        <v>1387</v>
      </c>
      <c r="E1346" s="14" t="s">
        <v>46</v>
      </c>
    </row>
    <row r="1347" spans="1:5" x14ac:dyDescent="0.25">
      <c r="A1347" s="36">
        <v>1345</v>
      </c>
      <c r="B1347" s="37">
        <v>55083006</v>
      </c>
      <c r="C1347" s="38">
        <v>2.5650023494684149E-2</v>
      </c>
      <c r="D1347" s="14" t="s">
        <v>1388</v>
      </c>
      <c r="E1347" s="14" t="s">
        <v>48</v>
      </c>
    </row>
    <row r="1348" spans="1:5" x14ac:dyDescent="0.25">
      <c r="A1348" s="36">
        <v>1346</v>
      </c>
      <c r="B1348" s="37">
        <v>1240157708</v>
      </c>
      <c r="C1348" s="38">
        <v>0.57749343504081174</v>
      </c>
      <c r="D1348" s="14" t="s">
        <v>1389</v>
      </c>
      <c r="E1348" s="14" t="s">
        <v>37</v>
      </c>
    </row>
    <row r="1349" spans="1:5" x14ac:dyDescent="0.25">
      <c r="A1349" s="36">
        <v>1347</v>
      </c>
      <c r="B1349" s="37">
        <v>1572166879</v>
      </c>
      <c r="C1349" s="38">
        <v>0.73209725307864004</v>
      </c>
      <c r="D1349" s="14" t="s">
        <v>1390</v>
      </c>
      <c r="E1349" s="14" t="s">
        <v>40</v>
      </c>
    </row>
    <row r="1350" spans="1:5" x14ac:dyDescent="0.25">
      <c r="A1350" s="36">
        <v>1348</v>
      </c>
      <c r="B1350" s="37">
        <v>1400839380</v>
      </c>
      <c r="C1350" s="38">
        <v>0.6523166693059339</v>
      </c>
      <c r="D1350" s="14" t="s">
        <v>1391</v>
      </c>
      <c r="E1350" s="14" t="s">
        <v>43</v>
      </c>
    </row>
    <row r="1351" spans="1:5" x14ac:dyDescent="0.25">
      <c r="A1351" s="36">
        <v>1349</v>
      </c>
      <c r="B1351" s="37">
        <v>1881437064</v>
      </c>
      <c r="C1351" s="38">
        <v>0.87611240561870507</v>
      </c>
      <c r="D1351" s="14" t="s">
        <v>1392</v>
      </c>
      <c r="E1351" s="14" t="s">
        <v>46</v>
      </c>
    </row>
    <row r="1352" spans="1:5" x14ac:dyDescent="0.25">
      <c r="A1352" s="36">
        <v>1350</v>
      </c>
      <c r="B1352" s="37">
        <v>1018118606</v>
      </c>
      <c r="C1352" s="38">
        <v>0.47409842092269028</v>
      </c>
      <c r="D1352" s="14" t="s">
        <v>1393</v>
      </c>
      <c r="E1352" s="14" t="s">
        <v>48</v>
      </c>
    </row>
    <row r="1353" spans="1:5" x14ac:dyDescent="0.25">
      <c r="A1353" s="36">
        <v>1351</v>
      </c>
      <c r="B1353" s="37">
        <v>314009970</v>
      </c>
      <c r="C1353" s="38">
        <v>0.14622228692575465</v>
      </c>
      <c r="D1353" s="14" t="s">
        <v>1394</v>
      </c>
      <c r="E1353" s="14" t="s">
        <v>37</v>
      </c>
    </row>
    <row r="1354" spans="1:5" x14ac:dyDescent="0.25">
      <c r="A1354" s="36">
        <v>1352</v>
      </c>
      <c r="B1354" s="37">
        <v>266891496</v>
      </c>
      <c r="C1354" s="38">
        <v>0.12428103765672122</v>
      </c>
      <c r="D1354" s="14" t="s">
        <v>1395</v>
      </c>
      <c r="E1354" s="14" t="s">
        <v>40</v>
      </c>
    </row>
    <row r="1355" spans="1:5" x14ac:dyDescent="0.25">
      <c r="A1355" s="36">
        <v>1353</v>
      </c>
      <c r="B1355" s="37">
        <v>786712380</v>
      </c>
      <c r="C1355" s="38">
        <v>0.36634149978232639</v>
      </c>
      <c r="D1355" s="14" t="s">
        <v>1396</v>
      </c>
      <c r="E1355" s="14" t="s">
        <v>43</v>
      </c>
    </row>
    <row r="1356" spans="1:5" x14ac:dyDescent="0.25">
      <c r="A1356" s="36">
        <v>1354</v>
      </c>
      <c r="B1356" s="37">
        <v>122537828</v>
      </c>
      <c r="C1356" s="38">
        <v>5.7061122756945491E-2</v>
      </c>
      <c r="D1356" s="14" t="s">
        <v>1397</v>
      </c>
      <c r="E1356" s="14" t="s">
        <v>46</v>
      </c>
    </row>
    <row r="1357" spans="1:5" x14ac:dyDescent="0.25">
      <c r="A1357" s="36">
        <v>1355</v>
      </c>
      <c r="B1357" s="37">
        <v>295263863</v>
      </c>
      <c r="C1357" s="38">
        <v>0.13749295060406111</v>
      </c>
      <c r="D1357" s="14" t="s">
        <v>1398</v>
      </c>
      <c r="E1357" s="14" t="s">
        <v>48</v>
      </c>
    </row>
    <row r="1358" spans="1:5" x14ac:dyDescent="0.25">
      <c r="A1358" s="36">
        <v>1356</v>
      </c>
      <c r="B1358" s="37">
        <v>1988011878</v>
      </c>
      <c r="C1358" s="38">
        <v>0.92574017072363768</v>
      </c>
      <c r="D1358" s="14" t="s">
        <v>1399</v>
      </c>
      <c r="E1358" s="14" t="s">
        <v>37</v>
      </c>
    </row>
    <row r="1359" spans="1:5" x14ac:dyDescent="0.25">
      <c r="A1359" s="36">
        <v>1357</v>
      </c>
      <c r="B1359" s="37">
        <v>278764227</v>
      </c>
      <c r="C1359" s="38">
        <v>0.12980970886061421</v>
      </c>
      <c r="D1359" s="14" t="s">
        <v>1400</v>
      </c>
      <c r="E1359" s="14" t="s">
        <v>40</v>
      </c>
    </row>
    <row r="1360" spans="1:5" x14ac:dyDescent="0.25">
      <c r="A1360" s="36">
        <v>1358</v>
      </c>
      <c r="B1360" s="37">
        <v>2099760461</v>
      </c>
      <c r="C1360" s="38">
        <v>0.97777715976246504</v>
      </c>
      <c r="D1360" s="14" t="s">
        <v>1401</v>
      </c>
      <c r="E1360" s="14" t="s">
        <v>43</v>
      </c>
    </row>
    <row r="1361" spans="1:5" x14ac:dyDescent="0.25">
      <c r="A1361" s="36">
        <v>1359</v>
      </c>
      <c r="B1361" s="37">
        <v>2145313750</v>
      </c>
      <c r="C1361" s="38">
        <v>0.99898956296918429</v>
      </c>
      <c r="D1361" s="14" t="s">
        <v>1402</v>
      </c>
      <c r="E1361" s="14" t="s">
        <v>46</v>
      </c>
    </row>
    <row r="1362" spans="1:5" x14ac:dyDescent="0.25">
      <c r="A1362" s="36">
        <v>1360</v>
      </c>
      <c r="B1362" s="37">
        <v>1233594552</v>
      </c>
      <c r="C1362" s="38">
        <v>0.57443722736762703</v>
      </c>
      <c r="D1362" s="14" t="s">
        <v>1403</v>
      </c>
      <c r="E1362" s="14" t="s">
        <v>48</v>
      </c>
    </row>
    <row r="1363" spans="1:5" x14ac:dyDescent="0.25">
      <c r="A1363" s="36">
        <v>1361</v>
      </c>
      <c r="B1363" s="37">
        <v>1284238268</v>
      </c>
      <c r="C1363" s="38">
        <v>0.59802004536521625</v>
      </c>
      <c r="D1363" s="14" t="s">
        <v>1404</v>
      </c>
      <c r="E1363" s="14" t="s">
        <v>37</v>
      </c>
    </row>
    <row r="1364" spans="1:5" x14ac:dyDescent="0.25">
      <c r="A1364" s="36">
        <v>1362</v>
      </c>
      <c r="B1364" s="37">
        <v>1692533830</v>
      </c>
      <c r="C1364" s="38">
        <v>0.78814748245670807</v>
      </c>
      <c r="D1364" s="14" t="s">
        <v>1405</v>
      </c>
      <c r="E1364" s="14" t="s">
        <v>40</v>
      </c>
    </row>
    <row r="1365" spans="1:5" x14ac:dyDescent="0.25">
      <c r="A1365" s="36">
        <v>1363</v>
      </c>
      <c r="B1365" s="37">
        <v>1418138496</v>
      </c>
      <c r="C1365" s="38">
        <v>0.66037219793553104</v>
      </c>
      <c r="D1365" s="14" t="s">
        <v>1406</v>
      </c>
      <c r="E1365" s="14" t="s">
        <v>43</v>
      </c>
    </row>
    <row r="1366" spans="1:5" x14ac:dyDescent="0.25">
      <c r="A1366" s="36">
        <v>1364</v>
      </c>
      <c r="B1366" s="37">
        <v>1084274341</v>
      </c>
      <c r="C1366" s="38">
        <v>0.50490458565992513</v>
      </c>
      <c r="D1366" s="14" t="s">
        <v>1407</v>
      </c>
      <c r="E1366" s="14" t="s">
        <v>46</v>
      </c>
    </row>
    <row r="1367" spans="1:5" x14ac:dyDescent="0.25">
      <c r="A1367" s="36">
        <v>1365</v>
      </c>
      <c r="B1367" s="37">
        <v>1669843626</v>
      </c>
      <c r="C1367" s="38">
        <v>0.77758153284787268</v>
      </c>
      <c r="D1367" s="14" t="s">
        <v>1408</v>
      </c>
      <c r="E1367" s="14" t="s">
        <v>48</v>
      </c>
    </row>
    <row r="1368" spans="1:5" x14ac:dyDescent="0.25">
      <c r="A1368" s="36">
        <v>1366</v>
      </c>
      <c r="B1368" s="37">
        <v>801225185</v>
      </c>
      <c r="C1368" s="38">
        <v>0.37309955124421956</v>
      </c>
      <c r="D1368" s="14" t="s">
        <v>1409</v>
      </c>
      <c r="E1368" s="14" t="s">
        <v>37</v>
      </c>
    </row>
    <row r="1369" spans="1:5" x14ac:dyDescent="0.25">
      <c r="A1369" s="36">
        <v>1367</v>
      </c>
      <c r="B1369" s="37">
        <v>5735350</v>
      </c>
      <c r="C1369" s="38">
        <v>2.6707304654040981E-3</v>
      </c>
      <c r="D1369" s="14" t="s">
        <v>1410</v>
      </c>
      <c r="E1369" s="14" t="s">
        <v>40</v>
      </c>
    </row>
    <row r="1370" spans="1:5" x14ac:dyDescent="0.25">
      <c r="A1370" s="36">
        <v>1368</v>
      </c>
      <c r="B1370" s="37">
        <v>2082552058</v>
      </c>
      <c r="C1370" s="38">
        <v>0.96976387266524311</v>
      </c>
      <c r="D1370" s="14" t="s">
        <v>1411</v>
      </c>
      <c r="E1370" s="14" t="s">
        <v>43</v>
      </c>
    </row>
    <row r="1371" spans="1:5" x14ac:dyDescent="0.25">
      <c r="A1371" s="36">
        <v>1369</v>
      </c>
      <c r="B1371" s="37">
        <v>1465193861</v>
      </c>
      <c r="C1371" s="38">
        <v>0.68228405978637008</v>
      </c>
      <c r="D1371" s="14" t="s">
        <v>1412</v>
      </c>
      <c r="E1371" s="14" t="s">
        <v>46</v>
      </c>
    </row>
    <row r="1372" spans="1:5" x14ac:dyDescent="0.25">
      <c r="A1372" s="36">
        <v>1370</v>
      </c>
      <c r="B1372" s="37">
        <v>744643935</v>
      </c>
      <c r="C1372" s="38">
        <v>0.34675185351946941</v>
      </c>
      <c r="D1372" s="14" t="s">
        <v>1413</v>
      </c>
      <c r="E1372" s="14" t="s">
        <v>48</v>
      </c>
    </row>
    <row r="1373" spans="1:5" x14ac:dyDescent="0.25">
      <c r="A1373" s="36">
        <v>1371</v>
      </c>
      <c r="B1373" s="37">
        <v>1290885579</v>
      </c>
      <c r="C1373" s="38">
        <v>0.60111544076405254</v>
      </c>
      <c r="D1373" s="14" t="s">
        <v>1414</v>
      </c>
      <c r="E1373" s="14" t="s">
        <v>37</v>
      </c>
    </row>
    <row r="1374" spans="1:5" x14ac:dyDescent="0.25">
      <c r="A1374" s="36">
        <v>1372</v>
      </c>
      <c r="B1374" s="37">
        <v>324643114</v>
      </c>
      <c r="C1374" s="38">
        <v>0.15117373045122889</v>
      </c>
      <c r="D1374" s="14" t="s">
        <v>1415</v>
      </c>
      <c r="E1374" s="14" t="s">
        <v>40</v>
      </c>
    </row>
    <row r="1375" spans="1:5" x14ac:dyDescent="0.25">
      <c r="A1375" s="36">
        <v>1373</v>
      </c>
      <c r="B1375" s="37">
        <v>1988173169</v>
      </c>
      <c r="C1375" s="38">
        <v>0.9258152776983638</v>
      </c>
      <c r="D1375" s="14" t="s">
        <v>1416</v>
      </c>
      <c r="E1375" s="14" t="s">
        <v>43</v>
      </c>
    </row>
    <row r="1376" spans="1:5" x14ac:dyDescent="0.25">
      <c r="A1376" s="36">
        <v>1374</v>
      </c>
      <c r="B1376" s="37">
        <v>316210127</v>
      </c>
      <c r="C1376" s="38">
        <v>0.14724681486713087</v>
      </c>
      <c r="D1376" s="14" t="s">
        <v>1417</v>
      </c>
      <c r="E1376" s="14" t="s">
        <v>46</v>
      </c>
    </row>
    <row r="1377" spans="1:5" x14ac:dyDescent="0.25">
      <c r="A1377" s="36">
        <v>1375</v>
      </c>
      <c r="B1377" s="37">
        <v>1023603786</v>
      </c>
      <c r="C1377" s="38">
        <v>0.47665265690379433</v>
      </c>
      <c r="D1377" s="14" t="s">
        <v>1418</v>
      </c>
      <c r="E1377" s="14" t="s">
        <v>48</v>
      </c>
    </row>
    <row r="1378" spans="1:5" x14ac:dyDescent="0.25">
      <c r="A1378" s="36">
        <v>1376</v>
      </c>
      <c r="B1378" s="37">
        <v>1580266073</v>
      </c>
      <c r="C1378" s="38">
        <v>0.73586873418459142</v>
      </c>
      <c r="D1378" s="14" t="s">
        <v>1419</v>
      </c>
      <c r="E1378" s="14" t="s">
        <v>37</v>
      </c>
    </row>
    <row r="1379" spans="1:5" x14ac:dyDescent="0.25">
      <c r="A1379" s="36">
        <v>1377</v>
      </c>
      <c r="B1379" s="37">
        <v>809396364</v>
      </c>
      <c r="C1379" s="38">
        <v>0.37690455297795339</v>
      </c>
      <c r="D1379" s="14" t="s">
        <v>1420</v>
      </c>
      <c r="E1379" s="14" t="s">
        <v>40</v>
      </c>
    </row>
    <row r="1380" spans="1:5" x14ac:dyDescent="0.25">
      <c r="A1380" s="36">
        <v>1378</v>
      </c>
      <c r="B1380" s="37">
        <v>1123523874</v>
      </c>
      <c r="C1380" s="38">
        <v>0.52318157373144369</v>
      </c>
      <c r="D1380" s="14" t="s">
        <v>1421</v>
      </c>
      <c r="E1380" s="14" t="s">
        <v>43</v>
      </c>
    </row>
    <row r="1381" spans="1:5" x14ac:dyDescent="0.25">
      <c r="A1381" s="36">
        <v>1379</v>
      </c>
      <c r="B1381" s="37">
        <v>603767770</v>
      </c>
      <c r="C1381" s="38">
        <v>0.28115127714404431</v>
      </c>
      <c r="D1381" s="14" t="s">
        <v>1422</v>
      </c>
      <c r="E1381" s="14" t="s">
        <v>46</v>
      </c>
    </row>
    <row r="1382" spans="1:5" x14ac:dyDescent="0.25">
      <c r="A1382" s="36">
        <v>1380</v>
      </c>
      <c r="B1382" s="37">
        <v>1721689472</v>
      </c>
      <c r="C1382" s="38">
        <v>0.80172413624903383</v>
      </c>
      <c r="D1382" s="14" t="s">
        <v>1423</v>
      </c>
      <c r="E1382" s="14" t="s">
        <v>48</v>
      </c>
    </row>
    <row r="1383" spans="1:5" x14ac:dyDescent="0.25">
      <c r="A1383" s="36">
        <v>1381</v>
      </c>
      <c r="B1383" s="37">
        <v>730199993</v>
      </c>
      <c r="C1383" s="38">
        <v>0.34002586889081909</v>
      </c>
      <c r="D1383" s="14" t="s">
        <v>1424</v>
      </c>
      <c r="E1383" s="14" t="s">
        <v>37</v>
      </c>
    </row>
    <row r="1384" spans="1:5" x14ac:dyDescent="0.25">
      <c r="A1384" s="36">
        <v>1382</v>
      </c>
      <c r="B1384" s="37">
        <v>67756194</v>
      </c>
      <c r="C1384" s="38">
        <v>3.1551436535805201E-2</v>
      </c>
      <c r="D1384" s="14" t="s">
        <v>1425</v>
      </c>
      <c r="E1384" s="14" t="s">
        <v>40</v>
      </c>
    </row>
    <row r="1385" spans="1:5" x14ac:dyDescent="0.25">
      <c r="A1385" s="36">
        <v>1383</v>
      </c>
      <c r="B1385" s="37">
        <v>1346548927</v>
      </c>
      <c r="C1385" s="38">
        <v>0.62703570706166123</v>
      </c>
      <c r="D1385" s="14" t="s">
        <v>1426</v>
      </c>
      <c r="E1385" s="14" t="s">
        <v>43</v>
      </c>
    </row>
    <row r="1386" spans="1:5" x14ac:dyDescent="0.25">
      <c r="A1386" s="36">
        <v>1384</v>
      </c>
      <c r="B1386" s="37">
        <v>177022999</v>
      </c>
      <c r="C1386" s="38">
        <v>8.2432757635802378E-2</v>
      </c>
      <c r="D1386" s="14" t="s">
        <v>1427</v>
      </c>
      <c r="E1386" s="14" t="s">
        <v>46</v>
      </c>
    </row>
    <row r="1387" spans="1:5" x14ac:dyDescent="0.25">
      <c r="A1387" s="36">
        <v>1385</v>
      </c>
      <c r="B1387" s="37">
        <v>1842626181</v>
      </c>
      <c r="C1387" s="38">
        <v>0.85803967987095919</v>
      </c>
      <c r="D1387" s="14" t="s">
        <v>1428</v>
      </c>
      <c r="E1387" s="14" t="s">
        <v>48</v>
      </c>
    </row>
    <row r="1388" spans="1:5" x14ac:dyDescent="0.25">
      <c r="A1388" s="36">
        <v>1386</v>
      </c>
      <c r="B1388" s="37">
        <v>2083645732</v>
      </c>
      <c r="C1388" s="38">
        <v>0.97027315430821537</v>
      </c>
      <c r="D1388" s="14" t="s">
        <v>1429</v>
      </c>
      <c r="E1388" s="14" t="s">
        <v>37</v>
      </c>
    </row>
    <row r="1389" spans="1:5" x14ac:dyDescent="0.25">
      <c r="A1389" s="36">
        <v>1387</v>
      </c>
      <c r="B1389" s="37">
        <v>846776055</v>
      </c>
      <c r="C1389" s="38">
        <v>0.39431082801628431</v>
      </c>
      <c r="D1389" s="14" t="s">
        <v>1430</v>
      </c>
      <c r="E1389" s="14" t="s">
        <v>40</v>
      </c>
    </row>
    <row r="1390" spans="1:5" x14ac:dyDescent="0.25">
      <c r="A1390" s="36">
        <v>1388</v>
      </c>
      <c r="B1390" s="37">
        <v>1509981118</v>
      </c>
      <c r="C1390" s="38">
        <v>0.70313975154568431</v>
      </c>
      <c r="D1390" s="14" t="s">
        <v>1431</v>
      </c>
      <c r="E1390" s="14" t="s">
        <v>43</v>
      </c>
    </row>
    <row r="1391" spans="1:5" x14ac:dyDescent="0.25">
      <c r="A1391" s="36">
        <v>1389</v>
      </c>
      <c r="B1391" s="37">
        <v>358796255</v>
      </c>
      <c r="C1391" s="38">
        <v>0.16707752606229742</v>
      </c>
      <c r="D1391" s="14" t="s">
        <v>1432</v>
      </c>
      <c r="E1391" s="14" t="s">
        <v>46</v>
      </c>
    </row>
    <row r="1392" spans="1:5" x14ac:dyDescent="0.25">
      <c r="A1392" s="36">
        <v>1390</v>
      </c>
      <c r="B1392" s="37">
        <v>410609163</v>
      </c>
      <c r="C1392" s="38">
        <v>0.19120479151197001</v>
      </c>
      <c r="D1392" s="14" t="s">
        <v>1433</v>
      </c>
      <c r="E1392" s="14" t="s">
        <v>48</v>
      </c>
    </row>
    <row r="1393" spans="1:5" x14ac:dyDescent="0.25">
      <c r="A1393" s="36">
        <v>1391</v>
      </c>
      <c r="B1393" s="37">
        <v>1348034343</v>
      </c>
      <c r="C1393" s="38">
        <v>0.62772740778873093</v>
      </c>
      <c r="D1393" s="14" t="s">
        <v>1434</v>
      </c>
      <c r="E1393" s="14" t="s">
        <v>37</v>
      </c>
    </row>
    <row r="1394" spans="1:5" x14ac:dyDescent="0.25">
      <c r="A1394" s="36">
        <v>1392</v>
      </c>
      <c r="B1394" s="37">
        <v>935412702</v>
      </c>
      <c r="C1394" s="38">
        <v>0.43558548318016599</v>
      </c>
      <c r="D1394" s="14" t="s">
        <v>1435</v>
      </c>
      <c r="E1394" s="14" t="s">
        <v>40</v>
      </c>
    </row>
    <row r="1395" spans="1:5" x14ac:dyDescent="0.25">
      <c r="A1395" s="36">
        <v>1393</v>
      </c>
      <c r="B1395" s="37">
        <v>855828952</v>
      </c>
      <c r="C1395" s="38">
        <v>0.39852641168913172</v>
      </c>
      <c r="D1395" s="14" t="s">
        <v>1436</v>
      </c>
      <c r="E1395" s="14" t="s">
        <v>43</v>
      </c>
    </row>
    <row r="1396" spans="1:5" x14ac:dyDescent="0.25">
      <c r="A1396" s="36">
        <v>1394</v>
      </c>
      <c r="B1396" s="37">
        <v>1390609044</v>
      </c>
      <c r="C1396" s="38">
        <v>0.64755279787236486</v>
      </c>
      <c r="D1396" s="14" t="s">
        <v>1437</v>
      </c>
      <c r="E1396" s="14" t="s">
        <v>46</v>
      </c>
    </row>
    <row r="1397" spans="1:5" x14ac:dyDescent="0.25">
      <c r="A1397" s="36">
        <v>1395</v>
      </c>
      <c r="B1397" s="37">
        <v>629243727</v>
      </c>
      <c r="C1397" s="38">
        <v>0.29301444408158511</v>
      </c>
      <c r="D1397" s="14" t="s">
        <v>1438</v>
      </c>
      <c r="E1397" s="14" t="s">
        <v>48</v>
      </c>
    </row>
    <row r="1398" spans="1:5" x14ac:dyDescent="0.25">
      <c r="A1398" s="36">
        <v>1396</v>
      </c>
      <c r="B1398" s="37">
        <v>729437588</v>
      </c>
      <c r="C1398" s="38">
        <v>0.33967084639690392</v>
      </c>
      <c r="D1398" s="14" t="s">
        <v>1439</v>
      </c>
      <c r="E1398" s="14" t="s">
        <v>37</v>
      </c>
    </row>
    <row r="1399" spans="1:5" x14ac:dyDescent="0.25">
      <c r="A1399" s="36">
        <v>1397</v>
      </c>
      <c r="B1399" s="37">
        <v>188408946</v>
      </c>
      <c r="C1399" s="38">
        <v>8.7734752375509012E-2</v>
      </c>
      <c r="D1399" s="14" t="s">
        <v>1440</v>
      </c>
      <c r="E1399" s="14" t="s">
        <v>40</v>
      </c>
    </row>
    <row r="1400" spans="1:5" x14ac:dyDescent="0.25">
      <c r="A1400" s="36">
        <v>1398</v>
      </c>
      <c r="B1400" s="37">
        <v>345387934</v>
      </c>
      <c r="C1400" s="38">
        <v>0.16083379004189455</v>
      </c>
      <c r="D1400" s="14" t="s">
        <v>1441</v>
      </c>
      <c r="E1400" s="14" t="s">
        <v>43</v>
      </c>
    </row>
    <row r="1401" spans="1:5" x14ac:dyDescent="0.25">
      <c r="A1401" s="36">
        <v>1399</v>
      </c>
      <c r="B1401" s="37">
        <v>722639909</v>
      </c>
      <c r="C1401" s="38">
        <v>0.3365054304415851</v>
      </c>
      <c r="D1401" s="14" t="s">
        <v>1442</v>
      </c>
      <c r="E1401" s="14" t="s">
        <v>46</v>
      </c>
    </row>
    <row r="1402" spans="1:5" x14ac:dyDescent="0.25">
      <c r="A1402" s="36">
        <v>1400</v>
      </c>
      <c r="B1402" s="37">
        <v>373107514</v>
      </c>
      <c r="C1402" s="38">
        <v>0.17374172535433513</v>
      </c>
      <c r="D1402" s="14" t="s">
        <v>1443</v>
      </c>
      <c r="E1402" s="14" t="s">
        <v>48</v>
      </c>
    </row>
    <row r="1403" spans="1:5" x14ac:dyDescent="0.25">
      <c r="A1403" s="36">
        <v>1401</v>
      </c>
      <c r="B1403" s="37">
        <v>1970383614</v>
      </c>
      <c r="C1403" s="38">
        <v>0.91753137061257439</v>
      </c>
      <c r="D1403" s="14" t="s">
        <v>1444</v>
      </c>
      <c r="E1403" s="14" t="s">
        <v>37</v>
      </c>
    </row>
    <row r="1404" spans="1:5" x14ac:dyDescent="0.25">
      <c r="A1404" s="36">
        <v>1402</v>
      </c>
      <c r="B1404" s="37">
        <v>809182235</v>
      </c>
      <c r="C1404" s="38">
        <v>0.37680484139211701</v>
      </c>
      <c r="D1404" s="14" t="s">
        <v>1445</v>
      </c>
      <c r="E1404" s="14" t="s">
        <v>40</v>
      </c>
    </row>
    <row r="1405" spans="1:5" x14ac:dyDescent="0.25">
      <c r="A1405" s="36">
        <v>1403</v>
      </c>
      <c r="B1405" s="37">
        <v>1182735551</v>
      </c>
      <c r="C1405" s="38">
        <v>0.55075415947975315</v>
      </c>
      <c r="D1405" s="14" t="s">
        <v>1446</v>
      </c>
      <c r="E1405" s="14" t="s">
        <v>43</v>
      </c>
    </row>
    <row r="1406" spans="1:5" x14ac:dyDescent="0.25">
      <c r="A1406" s="36">
        <v>1404</v>
      </c>
      <c r="B1406" s="37">
        <v>1158447130</v>
      </c>
      <c r="C1406" s="38">
        <v>0.53944398208495414</v>
      </c>
      <c r="D1406" s="14" t="s">
        <v>1447</v>
      </c>
      <c r="E1406" s="14" t="s">
        <v>46</v>
      </c>
    </row>
    <row r="1407" spans="1:5" x14ac:dyDescent="0.25">
      <c r="A1407" s="36">
        <v>1405</v>
      </c>
      <c r="B1407" s="37">
        <v>1001620527</v>
      </c>
      <c r="C1407" s="38">
        <v>0.46641590421386803</v>
      </c>
      <c r="D1407" s="14" t="s">
        <v>1448</v>
      </c>
      <c r="E1407" s="14" t="s">
        <v>48</v>
      </c>
    </row>
    <row r="1408" spans="1:5" x14ac:dyDescent="0.25">
      <c r="A1408" s="36">
        <v>1406</v>
      </c>
      <c r="B1408" s="37">
        <v>869940331</v>
      </c>
      <c r="C1408" s="38">
        <v>0.405097534603019</v>
      </c>
      <c r="D1408" s="14" t="s">
        <v>1449</v>
      </c>
      <c r="E1408" s="14" t="s">
        <v>37</v>
      </c>
    </row>
    <row r="1409" spans="1:5" x14ac:dyDescent="0.25">
      <c r="A1409" s="36">
        <v>1407</v>
      </c>
      <c r="B1409" s="37">
        <v>957608133</v>
      </c>
      <c r="C1409" s="38">
        <v>0.44592103615678896</v>
      </c>
      <c r="D1409" s="14" t="s">
        <v>1450</v>
      </c>
      <c r="E1409" s="14" t="s">
        <v>40</v>
      </c>
    </row>
    <row r="1410" spans="1:5" x14ac:dyDescent="0.25">
      <c r="A1410" s="36">
        <v>1408</v>
      </c>
      <c r="B1410" s="37">
        <v>396951239</v>
      </c>
      <c r="C1410" s="38">
        <v>0.18484482503721716</v>
      </c>
      <c r="D1410" s="14" t="s">
        <v>1451</v>
      </c>
      <c r="E1410" s="14" t="s">
        <v>43</v>
      </c>
    </row>
    <row r="1411" spans="1:5" x14ac:dyDescent="0.25">
      <c r="A1411" s="36">
        <v>1409</v>
      </c>
      <c r="B1411" s="37">
        <v>653975385</v>
      </c>
      <c r="C1411" s="38">
        <v>0.30453101978848268</v>
      </c>
      <c r="D1411" s="14" t="s">
        <v>1452</v>
      </c>
      <c r="E1411" s="14" t="s">
        <v>46</v>
      </c>
    </row>
    <row r="1412" spans="1:5" x14ac:dyDescent="0.25">
      <c r="A1412" s="36">
        <v>1410</v>
      </c>
      <c r="B1412" s="37">
        <v>2078440695</v>
      </c>
      <c r="C1412" s="38">
        <v>0.96784937007718219</v>
      </c>
      <c r="D1412" s="14" t="s">
        <v>1453</v>
      </c>
      <c r="E1412" s="14" t="s">
        <v>48</v>
      </c>
    </row>
    <row r="1413" spans="1:5" x14ac:dyDescent="0.25">
      <c r="A1413" s="36">
        <v>1411</v>
      </c>
      <c r="B1413" s="37">
        <v>2029079275</v>
      </c>
      <c r="C1413" s="38">
        <v>0.94486366768594066</v>
      </c>
      <c r="D1413" s="14" t="s">
        <v>1454</v>
      </c>
      <c r="E1413" s="14" t="s">
        <v>37</v>
      </c>
    </row>
    <row r="1414" spans="1:5" x14ac:dyDescent="0.25">
      <c r="A1414" s="36">
        <v>1412</v>
      </c>
      <c r="B1414" s="37">
        <v>1435787995</v>
      </c>
      <c r="C1414" s="38">
        <v>0.66859088636403474</v>
      </c>
      <c r="D1414" s="14" t="s">
        <v>1455</v>
      </c>
      <c r="E1414" s="14" t="s">
        <v>40</v>
      </c>
    </row>
    <row r="1415" spans="1:5" x14ac:dyDescent="0.25">
      <c r="A1415" s="36">
        <v>1413</v>
      </c>
      <c r="B1415" s="37">
        <v>1540306356</v>
      </c>
      <c r="C1415" s="38">
        <v>0.71726104091725362</v>
      </c>
      <c r="D1415" s="14" t="s">
        <v>1456</v>
      </c>
      <c r="E1415" s="14" t="s">
        <v>43</v>
      </c>
    </row>
    <row r="1416" spans="1:5" x14ac:dyDescent="0.25">
      <c r="A1416" s="36">
        <v>1414</v>
      </c>
      <c r="B1416" s="37">
        <v>872455470</v>
      </c>
      <c r="C1416" s="38">
        <v>0.4062687374680623</v>
      </c>
      <c r="D1416" s="14" t="s">
        <v>1457</v>
      </c>
      <c r="E1416" s="14" t="s">
        <v>46</v>
      </c>
    </row>
    <row r="1417" spans="1:5" x14ac:dyDescent="0.25">
      <c r="A1417" s="36">
        <v>1415</v>
      </c>
      <c r="B1417" s="37">
        <v>2023724105</v>
      </c>
      <c r="C1417" s="38">
        <v>0.94236997232882769</v>
      </c>
      <c r="D1417" s="14" t="s">
        <v>1458</v>
      </c>
      <c r="E1417" s="14" t="s">
        <v>48</v>
      </c>
    </row>
    <row r="1418" spans="1:5" x14ac:dyDescent="0.25">
      <c r="A1418" s="36">
        <v>1416</v>
      </c>
      <c r="B1418" s="37">
        <v>1826062442</v>
      </c>
      <c r="C1418" s="38">
        <v>0.8503265878419981</v>
      </c>
      <c r="D1418" s="14" t="s">
        <v>1459</v>
      </c>
      <c r="E1418" s="14" t="s">
        <v>37</v>
      </c>
    </row>
    <row r="1419" spans="1:5" x14ac:dyDescent="0.25">
      <c r="A1419" s="36">
        <v>1417</v>
      </c>
      <c r="B1419" s="37">
        <v>721046943</v>
      </c>
      <c r="C1419" s="38">
        <v>0.33576364784304225</v>
      </c>
      <c r="D1419" s="14" t="s">
        <v>1460</v>
      </c>
      <c r="E1419" s="14" t="s">
        <v>40</v>
      </c>
    </row>
    <row r="1420" spans="1:5" x14ac:dyDescent="0.25">
      <c r="A1420" s="36">
        <v>1418</v>
      </c>
      <c r="B1420" s="37">
        <v>983680409</v>
      </c>
      <c r="C1420" s="38">
        <v>0.45806188576764517</v>
      </c>
      <c r="D1420" s="14" t="s">
        <v>1461</v>
      </c>
      <c r="E1420" s="14" t="s">
        <v>43</v>
      </c>
    </row>
    <row r="1421" spans="1:5" x14ac:dyDescent="0.25">
      <c r="A1421" s="36">
        <v>1419</v>
      </c>
      <c r="B1421" s="37">
        <v>2002621563</v>
      </c>
      <c r="C1421" s="38">
        <v>0.93254333545106616</v>
      </c>
      <c r="D1421" s="14" t="s">
        <v>1462</v>
      </c>
      <c r="E1421" s="14" t="s">
        <v>46</v>
      </c>
    </row>
    <row r="1422" spans="1:5" x14ac:dyDescent="0.25">
      <c r="A1422" s="36">
        <v>1420</v>
      </c>
      <c r="B1422" s="37">
        <v>359870224</v>
      </c>
      <c r="C1422" s="38">
        <v>0.1675776318495989</v>
      </c>
      <c r="D1422" s="14" t="s">
        <v>1463</v>
      </c>
      <c r="E1422" s="14" t="s">
        <v>48</v>
      </c>
    </row>
    <row r="1423" spans="1:5" x14ac:dyDescent="0.25">
      <c r="A1423" s="36">
        <v>1421</v>
      </c>
      <c r="B1423" s="37">
        <v>1352464584</v>
      </c>
      <c r="C1423" s="38">
        <v>0.62979039951683502</v>
      </c>
      <c r="D1423" s="14" t="s">
        <v>1464</v>
      </c>
      <c r="E1423" s="14" t="s">
        <v>37</v>
      </c>
    </row>
    <row r="1424" spans="1:5" x14ac:dyDescent="0.25">
      <c r="A1424" s="36">
        <v>1422</v>
      </c>
      <c r="B1424" s="37">
        <v>723469429</v>
      </c>
      <c r="C1424" s="38">
        <v>0.33689170579281247</v>
      </c>
      <c r="D1424" s="14" t="s">
        <v>1465</v>
      </c>
      <c r="E1424" s="14" t="s">
        <v>40</v>
      </c>
    </row>
    <row r="1425" spans="1:5" x14ac:dyDescent="0.25">
      <c r="A1425" s="36">
        <v>1423</v>
      </c>
      <c r="B1425" s="37">
        <v>297900493</v>
      </c>
      <c r="C1425" s="38">
        <v>0.13872072712458705</v>
      </c>
      <c r="D1425" s="14" t="s">
        <v>1466</v>
      </c>
      <c r="E1425" s="14" t="s">
        <v>43</v>
      </c>
    </row>
    <row r="1426" spans="1:5" x14ac:dyDescent="0.25">
      <c r="A1426" s="36">
        <v>1424</v>
      </c>
      <c r="B1426" s="37">
        <v>1267988160</v>
      </c>
      <c r="C1426" s="38">
        <v>0.59045299915152272</v>
      </c>
      <c r="D1426" s="14" t="s">
        <v>1467</v>
      </c>
      <c r="E1426" s="14" t="s">
        <v>46</v>
      </c>
    </row>
    <row r="1427" spans="1:5" x14ac:dyDescent="0.25">
      <c r="A1427" s="36">
        <v>1425</v>
      </c>
      <c r="B1427" s="37">
        <v>538049095</v>
      </c>
      <c r="C1427" s="38">
        <v>0.25054863432913488</v>
      </c>
      <c r="D1427" s="14" t="s">
        <v>1468</v>
      </c>
      <c r="E1427" s="14" t="s">
        <v>48</v>
      </c>
    </row>
    <row r="1428" spans="1:5" x14ac:dyDescent="0.25">
      <c r="A1428" s="36">
        <v>1426</v>
      </c>
      <c r="B1428" s="37">
        <v>2013679630</v>
      </c>
      <c r="C1428" s="38">
        <v>0.93769264916781925</v>
      </c>
      <c r="D1428" s="14" t="s">
        <v>1469</v>
      </c>
      <c r="E1428" s="14" t="s">
        <v>37</v>
      </c>
    </row>
    <row r="1429" spans="1:5" x14ac:dyDescent="0.25">
      <c r="A1429" s="36">
        <v>1427</v>
      </c>
      <c r="B1429" s="37">
        <v>706504962</v>
      </c>
      <c r="C1429" s="38">
        <v>0.32899201024742425</v>
      </c>
      <c r="D1429" s="14" t="s">
        <v>1470</v>
      </c>
      <c r="E1429" s="14" t="s">
        <v>40</v>
      </c>
    </row>
    <row r="1430" spans="1:5" x14ac:dyDescent="0.25">
      <c r="A1430" s="36">
        <v>1428</v>
      </c>
      <c r="B1430" s="37">
        <v>1928425368</v>
      </c>
      <c r="C1430" s="38">
        <v>0.89799303975794142</v>
      </c>
      <c r="D1430" s="14" t="s">
        <v>1471</v>
      </c>
      <c r="E1430" s="14" t="s">
        <v>43</v>
      </c>
    </row>
    <row r="1431" spans="1:5" x14ac:dyDescent="0.25">
      <c r="A1431" s="36">
        <v>1429</v>
      </c>
      <c r="B1431" s="37">
        <v>722926819</v>
      </c>
      <c r="C1431" s="38">
        <v>0.33663903332158879</v>
      </c>
      <c r="D1431" s="14" t="s">
        <v>1472</v>
      </c>
      <c r="E1431" s="14" t="s">
        <v>46</v>
      </c>
    </row>
    <row r="1432" spans="1:5" x14ac:dyDescent="0.25">
      <c r="A1432" s="36">
        <v>1430</v>
      </c>
      <c r="B1432" s="37">
        <v>1200605630</v>
      </c>
      <c r="C1432" s="38">
        <v>0.55907556347505916</v>
      </c>
      <c r="D1432" s="14" t="s">
        <v>1473</v>
      </c>
      <c r="E1432" s="14" t="s">
        <v>48</v>
      </c>
    </row>
    <row r="1433" spans="1:5" x14ac:dyDescent="0.25">
      <c r="A1433" s="36">
        <v>1431</v>
      </c>
      <c r="B1433" s="37">
        <v>1555700008</v>
      </c>
      <c r="C1433" s="38">
        <v>0.72442926872727897</v>
      </c>
      <c r="D1433" s="14" t="s">
        <v>1474</v>
      </c>
      <c r="E1433" s="14" t="s">
        <v>37</v>
      </c>
    </row>
    <row r="1434" spans="1:5" x14ac:dyDescent="0.25">
      <c r="A1434" s="36">
        <v>1432</v>
      </c>
      <c r="B1434" s="37">
        <v>216174766</v>
      </c>
      <c r="C1434" s="38">
        <v>0.10066421986588474</v>
      </c>
      <c r="D1434" s="14" t="s">
        <v>1475</v>
      </c>
      <c r="E1434" s="14" t="s">
        <v>40</v>
      </c>
    </row>
    <row r="1435" spans="1:5" x14ac:dyDescent="0.25">
      <c r="A1435" s="36">
        <v>1433</v>
      </c>
      <c r="B1435" s="37">
        <v>1251356347</v>
      </c>
      <c r="C1435" s="38">
        <v>0.58270820769607468</v>
      </c>
      <c r="D1435" s="14" t="s">
        <v>1476</v>
      </c>
      <c r="E1435" s="14" t="s">
        <v>43</v>
      </c>
    </row>
    <row r="1436" spans="1:5" x14ac:dyDescent="0.25">
      <c r="A1436" s="36">
        <v>1434</v>
      </c>
      <c r="B1436" s="37">
        <v>1828692394</v>
      </c>
      <c r="C1436" s="38">
        <v>0.85155125467644599</v>
      </c>
      <c r="D1436" s="14" t="s">
        <v>1477</v>
      </c>
      <c r="E1436" s="14" t="s">
        <v>46</v>
      </c>
    </row>
    <row r="1437" spans="1:5" x14ac:dyDescent="0.25">
      <c r="A1437" s="36">
        <v>1435</v>
      </c>
      <c r="B1437" s="37">
        <v>1770227157</v>
      </c>
      <c r="C1437" s="38">
        <v>0.82432625713959629</v>
      </c>
      <c r="D1437" s="14" t="s">
        <v>1478</v>
      </c>
      <c r="E1437" s="14" t="s">
        <v>48</v>
      </c>
    </row>
    <row r="1438" spans="1:5" x14ac:dyDescent="0.25">
      <c r="A1438" s="36">
        <v>1436</v>
      </c>
      <c r="B1438" s="37">
        <v>290557184</v>
      </c>
      <c r="C1438" s="38">
        <v>0.13530123240095621</v>
      </c>
      <c r="D1438" s="14" t="s">
        <v>1479</v>
      </c>
      <c r="E1438" s="14" t="s">
        <v>37</v>
      </c>
    </row>
    <row r="1439" spans="1:5" x14ac:dyDescent="0.25">
      <c r="A1439" s="36">
        <v>1437</v>
      </c>
      <c r="B1439" s="37">
        <v>1623493659</v>
      </c>
      <c r="C1439" s="38">
        <v>0.75599814753793093</v>
      </c>
      <c r="D1439" s="14" t="s">
        <v>1480</v>
      </c>
      <c r="E1439" s="14" t="s">
        <v>40</v>
      </c>
    </row>
    <row r="1440" spans="1:5" x14ac:dyDescent="0.25">
      <c r="A1440" s="36">
        <v>1438</v>
      </c>
      <c r="B1440" s="37">
        <v>619906632</v>
      </c>
      <c r="C1440" s="38">
        <v>0.2886665204021458</v>
      </c>
      <c r="D1440" s="14" t="s">
        <v>1481</v>
      </c>
      <c r="E1440" s="14" t="s">
        <v>43</v>
      </c>
    </row>
    <row r="1441" spans="1:5" x14ac:dyDescent="0.25">
      <c r="A1441" s="36">
        <v>1439</v>
      </c>
      <c r="B1441" s="37">
        <v>240536052</v>
      </c>
      <c r="C1441" s="38">
        <v>0.11200832767039925</v>
      </c>
      <c r="D1441" s="14" t="s">
        <v>1482</v>
      </c>
      <c r="E1441" s="14" t="s">
        <v>46</v>
      </c>
    </row>
    <row r="1442" spans="1:5" x14ac:dyDescent="0.25">
      <c r="A1442" s="36">
        <v>1440</v>
      </c>
      <c r="B1442" s="37">
        <v>287229196</v>
      </c>
      <c r="C1442" s="38">
        <v>0.13375151722400985</v>
      </c>
      <c r="D1442" s="14" t="s">
        <v>1483</v>
      </c>
      <c r="E1442" s="14" t="s">
        <v>48</v>
      </c>
    </row>
    <row r="1443" spans="1:5" x14ac:dyDescent="0.25">
      <c r="A1443" s="36">
        <v>1441</v>
      </c>
      <c r="B1443" s="37">
        <v>464593572</v>
      </c>
      <c r="C1443" s="38">
        <v>0.21634324091316351</v>
      </c>
      <c r="D1443" s="14" t="s">
        <v>1484</v>
      </c>
      <c r="E1443" s="14" t="s">
        <v>37</v>
      </c>
    </row>
    <row r="1444" spans="1:5" x14ac:dyDescent="0.25">
      <c r="A1444" s="36">
        <v>1442</v>
      </c>
      <c r="B1444" s="37">
        <v>440700000</v>
      </c>
      <c r="C1444" s="38">
        <v>0.20521692941208228</v>
      </c>
      <c r="D1444" s="14" t="s">
        <v>1485</v>
      </c>
      <c r="E1444" s="14" t="s">
        <v>40</v>
      </c>
    </row>
    <row r="1445" spans="1:5" x14ac:dyDescent="0.25">
      <c r="A1445" s="36">
        <v>1443</v>
      </c>
      <c r="B1445" s="37">
        <v>389909140</v>
      </c>
      <c r="C1445" s="38">
        <v>0.18156559215000159</v>
      </c>
      <c r="D1445" s="14" t="s">
        <v>1486</v>
      </c>
      <c r="E1445" s="14" t="s">
        <v>43</v>
      </c>
    </row>
    <row r="1446" spans="1:5" x14ac:dyDescent="0.25">
      <c r="A1446" s="36">
        <v>1444</v>
      </c>
      <c r="B1446" s="37">
        <v>2017366383</v>
      </c>
      <c r="C1446" s="38">
        <v>0.93940942731658439</v>
      </c>
      <c r="D1446" s="14" t="s">
        <v>1487</v>
      </c>
      <c r="E1446" s="14" t="s">
        <v>46</v>
      </c>
    </row>
    <row r="1447" spans="1:5" x14ac:dyDescent="0.25">
      <c r="A1447" s="36">
        <v>1445</v>
      </c>
      <c r="B1447" s="37">
        <v>2038262808</v>
      </c>
      <c r="C1447" s="38">
        <v>0.94914008348674517</v>
      </c>
      <c r="D1447" s="14" t="s">
        <v>1488</v>
      </c>
      <c r="E1447" s="14" t="s">
        <v>48</v>
      </c>
    </row>
    <row r="1448" spans="1:5" x14ac:dyDescent="0.25">
      <c r="A1448" s="36">
        <v>1446</v>
      </c>
      <c r="B1448" s="37">
        <v>1867455474</v>
      </c>
      <c r="C1448" s="38">
        <v>0.86960172041766426</v>
      </c>
      <c r="D1448" s="14" t="s">
        <v>1489</v>
      </c>
      <c r="E1448" s="14" t="s">
        <v>37</v>
      </c>
    </row>
    <row r="1449" spans="1:5" x14ac:dyDescent="0.25">
      <c r="A1449" s="36">
        <v>1447</v>
      </c>
      <c r="B1449" s="37">
        <v>592306395</v>
      </c>
      <c r="C1449" s="38">
        <v>0.27581415850474228</v>
      </c>
      <c r="D1449" s="14" t="s">
        <v>1490</v>
      </c>
      <c r="E1449" s="14" t="s">
        <v>40</v>
      </c>
    </row>
    <row r="1450" spans="1:5" x14ac:dyDescent="0.25">
      <c r="A1450" s="36">
        <v>1448</v>
      </c>
      <c r="B1450" s="37">
        <v>73703898</v>
      </c>
      <c r="C1450" s="38">
        <v>3.4321052038260295E-2</v>
      </c>
      <c r="D1450" s="14" t="s">
        <v>1491</v>
      </c>
      <c r="E1450" s="14" t="s">
        <v>43</v>
      </c>
    </row>
    <row r="1451" spans="1:5" x14ac:dyDescent="0.25">
      <c r="A1451" s="36">
        <v>1449</v>
      </c>
      <c r="B1451" s="37">
        <v>1548936857</v>
      </c>
      <c r="C1451" s="38">
        <v>0.72127993112489575</v>
      </c>
      <c r="D1451" s="14" t="s">
        <v>1492</v>
      </c>
      <c r="E1451" s="14" t="s">
        <v>46</v>
      </c>
    </row>
    <row r="1452" spans="1:5" x14ac:dyDescent="0.25">
      <c r="A1452" s="36">
        <v>1450</v>
      </c>
      <c r="B1452" s="37">
        <v>2039017712</v>
      </c>
      <c r="C1452" s="38">
        <v>0.94949161305534258</v>
      </c>
      <c r="D1452" s="14" t="s">
        <v>1493</v>
      </c>
      <c r="E1452" s="14" t="s">
        <v>48</v>
      </c>
    </row>
    <row r="1453" spans="1:5" x14ac:dyDescent="0.25">
      <c r="A1453" s="36">
        <v>1451</v>
      </c>
      <c r="B1453" s="37">
        <v>2146102579</v>
      </c>
      <c r="C1453" s="38">
        <v>0.99935689009696105</v>
      </c>
      <c r="D1453" s="14" t="s">
        <v>1494</v>
      </c>
      <c r="E1453" s="14" t="s">
        <v>37</v>
      </c>
    </row>
    <row r="1454" spans="1:5" x14ac:dyDescent="0.25">
      <c r="A1454" s="36">
        <v>1452</v>
      </c>
      <c r="B1454" s="37">
        <v>2146677460</v>
      </c>
      <c r="C1454" s="38">
        <v>0.99962458992359438</v>
      </c>
      <c r="D1454" s="14" t="s">
        <v>1495</v>
      </c>
      <c r="E1454" s="14" t="s">
        <v>40</v>
      </c>
    </row>
    <row r="1455" spans="1:5" x14ac:dyDescent="0.25">
      <c r="A1455" s="36">
        <v>1453</v>
      </c>
      <c r="B1455" s="37">
        <v>1272767423</v>
      </c>
      <c r="C1455" s="38">
        <v>0.59267851691352136</v>
      </c>
      <c r="D1455" s="14" t="s">
        <v>1496</v>
      </c>
      <c r="E1455" s="14" t="s">
        <v>43</v>
      </c>
    </row>
    <row r="1456" spans="1:5" x14ac:dyDescent="0.25">
      <c r="A1456" s="36">
        <v>1454</v>
      </c>
      <c r="B1456" s="37">
        <v>1461365682</v>
      </c>
      <c r="C1456" s="38">
        <v>0.68050142502435551</v>
      </c>
      <c r="D1456" s="14" t="s">
        <v>1497</v>
      </c>
      <c r="E1456" s="14" t="s">
        <v>46</v>
      </c>
    </row>
    <row r="1457" spans="1:5" x14ac:dyDescent="0.25">
      <c r="A1457" s="36">
        <v>1455</v>
      </c>
      <c r="B1457" s="37">
        <v>228974609</v>
      </c>
      <c r="C1457" s="38">
        <v>0.10662461123737721</v>
      </c>
      <c r="D1457" s="14" t="s">
        <v>1498</v>
      </c>
      <c r="E1457" s="14" t="s">
        <v>48</v>
      </c>
    </row>
    <row r="1458" spans="1:5" x14ac:dyDescent="0.25">
      <c r="A1458" s="36">
        <v>1456</v>
      </c>
      <c r="B1458" s="37">
        <v>1724764035</v>
      </c>
      <c r="C1458" s="38">
        <v>0.80315584121418926</v>
      </c>
      <c r="D1458" s="14" t="s">
        <v>1499</v>
      </c>
      <c r="E1458" s="14" t="s">
        <v>37</v>
      </c>
    </row>
    <row r="1459" spans="1:5" x14ac:dyDescent="0.25">
      <c r="A1459" s="36">
        <v>1457</v>
      </c>
      <c r="B1459" s="37">
        <v>963646767</v>
      </c>
      <c r="C1459" s="38">
        <v>0.44873299424011864</v>
      </c>
      <c r="D1459" s="14" t="s">
        <v>1500</v>
      </c>
      <c r="E1459" s="14" t="s">
        <v>40</v>
      </c>
    </row>
    <row r="1460" spans="1:5" x14ac:dyDescent="0.25">
      <c r="A1460" s="36">
        <v>1458</v>
      </c>
      <c r="B1460" s="37">
        <v>1630742129</v>
      </c>
      <c r="C1460" s="38">
        <v>0.7593734794107142</v>
      </c>
      <c r="D1460" s="14" t="s">
        <v>1501</v>
      </c>
      <c r="E1460" s="14" t="s">
        <v>43</v>
      </c>
    </row>
    <row r="1461" spans="1:5" x14ac:dyDescent="0.25">
      <c r="A1461" s="36">
        <v>1459</v>
      </c>
      <c r="B1461" s="37">
        <v>1316304536</v>
      </c>
      <c r="C1461" s="38">
        <v>0.61295206500820443</v>
      </c>
      <c r="D1461" s="14" t="s">
        <v>1502</v>
      </c>
      <c r="E1461" s="14" t="s">
        <v>46</v>
      </c>
    </row>
    <row r="1462" spans="1:5" x14ac:dyDescent="0.25">
      <c r="A1462" s="36">
        <v>1460</v>
      </c>
      <c r="B1462" s="37">
        <v>1091230345</v>
      </c>
      <c r="C1462" s="38">
        <v>0.50814372743859126</v>
      </c>
      <c r="D1462" s="14" t="s">
        <v>1503</v>
      </c>
      <c r="E1462" s="14" t="s">
        <v>48</v>
      </c>
    </row>
    <row r="1463" spans="1:5" x14ac:dyDescent="0.25">
      <c r="A1463" s="36">
        <v>1461</v>
      </c>
      <c r="B1463" s="37">
        <v>880577102</v>
      </c>
      <c r="C1463" s="38">
        <v>0.41005066708198312</v>
      </c>
      <c r="D1463" s="14" t="s">
        <v>1504</v>
      </c>
      <c r="E1463" s="14" t="s">
        <v>37</v>
      </c>
    </row>
    <row r="1464" spans="1:5" x14ac:dyDescent="0.25">
      <c r="A1464" s="36">
        <v>1462</v>
      </c>
      <c r="B1464" s="37">
        <v>126187393</v>
      </c>
      <c r="C1464" s="38">
        <v>5.8760583893750135E-2</v>
      </c>
      <c r="D1464" s="14" t="s">
        <v>1505</v>
      </c>
      <c r="E1464" s="14" t="s">
        <v>40</v>
      </c>
    </row>
    <row r="1465" spans="1:5" x14ac:dyDescent="0.25">
      <c r="A1465" s="36">
        <v>1463</v>
      </c>
      <c r="B1465" s="37">
        <v>2003691772</v>
      </c>
      <c r="C1465" s="38">
        <v>0.93304169035192652</v>
      </c>
      <c r="D1465" s="14" t="s">
        <v>1506</v>
      </c>
      <c r="E1465" s="14" t="s">
        <v>43</v>
      </c>
    </row>
    <row r="1466" spans="1:5" x14ac:dyDescent="0.25">
      <c r="A1466" s="36">
        <v>1464</v>
      </c>
      <c r="B1466" s="37">
        <v>1485562586</v>
      </c>
      <c r="C1466" s="38">
        <v>0.6917689864951041</v>
      </c>
      <c r="D1466" s="14" t="s">
        <v>1507</v>
      </c>
      <c r="E1466" s="14" t="s">
        <v>46</v>
      </c>
    </row>
    <row r="1467" spans="1:5" x14ac:dyDescent="0.25">
      <c r="A1467" s="36">
        <v>1465</v>
      </c>
      <c r="B1467" s="37">
        <v>524805724</v>
      </c>
      <c r="C1467" s="38">
        <v>0.24438170913810922</v>
      </c>
      <c r="D1467" s="14" t="s">
        <v>1508</v>
      </c>
      <c r="E1467" s="14" t="s">
        <v>48</v>
      </c>
    </row>
    <row r="1468" spans="1:5" x14ac:dyDescent="0.25">
      <c r="A1468" s="36">
        <v>1466</v>
      </c>
      <c r="B1468" s="37">
        <v>2011202310</v>
      </c>
      <c r="C1468" s="38">
        <v>0.93653905714700891</v>
      </c>
      <c r="D1468" s="14" t="s">
        <v>1509</v>
      </c>
      <c r="E1468" s="14" t="s">
        <v>37</v>
      </c>
    </row>
    <row r="1469" spans="1:5" x14ac:dyDescent="0.25">
      <c r="A1469" s="36">
        <v>1467</v>
      </c>
      <c r="B1469" s="37">
        <v>314034202</v>
      </c>
      <c r="C1469" s="38">
        <v>0.14623357083007393</v>
      </c>
      <c r="D1469" s="14" t="s">
        <v>1510</v>
      </c>
      <c r="E1469" s="14" t="s">
        <v>40</v>
      </c>
    </row>
    <row r="1470" spans="1:5" x14ac:dyDescent="0.25">
      <c r="A1470" s="36">
        <v>1468</v>
      </c>
      <c r="B1470" s="37">
        <v>1946955650</v>
      </c>
      <c r="C1470" s="38">
        <v>0.90662187473225497</v>
      </c>
      <c r="D1470" s="14" t="s">
        <v>1511</v>
      </c>
      <c r="E1470" s="14" t="s">
        <v>43</v>
      </c>
    </row>
    <row r="1471" spans="1:5" x14ac:dyDescent="0.25">
      <c r="A1471" s="36">
        <v>1469</v>
      </c>
      <c r="B1471" s="37">
        <v>532951008</v>
      </c>
      <c r="C1471" s="38">
        <v>0.24817465257280258</v>
      </c>
      <c r="D1471" s="14" t="s">
        <v>1512</v>
      </c>
      <c r="E1471" s="14" t="s">
        <v>46</v>
      </c>
    </row>
    <row r="1472" spans="1:5" x14ac:dyDescent="0.25">
      <c r="A1472" s="36">
        <v>1470</v>
      </c>
      <c r="B1472" s="37">
        <v>828305252</v>
      </c>
      <c r="C1472" s="38">
        <v>0.38570969010969142</v>
      </c>
      <c r="D1472" s="14" t="s">
        <v>1513</v>
      </c>
      <c r="E1472" s="14" t="s">
        <v>48</v>
      </c>
    </row>
    <row r="1473" spans="1:5" x14ac:dyDescent="0.25">
      <c r="A1473" s="36">
        <v>1471</v>
      </c>
      <c r="B1473" s="37">
        <v>1919991642</v>
      </c>
      <c r="C1473" s="38">
        <v>0.89406578005015191</v>
      </c>
      <c r="D1473" s="14" t="s">
        <v>1514</v>
      </c>
      <c r="E1473" s="14" t="s">
        <v>37</v>
      </c>
    </row>
    <row r="1474" spans="1:5" x14ac:dyDescent="0.25">
      <c r="A1474" s="36">
        <v>1472</v>
      </c>
      <c r="B1474" s="37">
        <v>675757108</v>
      </c>
      <c r="C1474" s="38">
        <v>0.31467392496516644</v>
      </c>
      <c r="D1474" s="14" t="s">
        <v>1515</v>
      </c>
      <c r="E1474" s="14" t="s">
        <v>40</v>
      </c>
    </row>
    <row r="1475" spans="1:5" x14ac:dyDescent="0.25">
      <c r="A1475" s="36">
        <v>1473</v>
      </c>
      <c r="B1475" s="37">
        <v>187021322</v>
      </c>
      <c r="C1475" s="38">
        <v>8.7088589597068999E-2</v>
      </c>
      <c r="D1475" s="14" t="s">
        <v>1516</v>
      </c>
      <c r="E1475" s="14" t="s">
        <v>43</v>
      </c>
    </row>
    <row r="1476" spans="1:5" x14ac:dyDescent="0.25">
      <c r="A1476" s="36">
        <v>1474</v>
      </c>
      <c r="B1476" s="37">
        <v>1302953506</v>
      </c>
      <c r="C1476" s="38">
        <v>0.60673500718862516</v>
      </c>
      <c r="D1476" s="14" t="s">
        <v>1517</v>
      </c>
      <c r="E1476" s="14" t="s">
        <v>46</v>
      </c>
    </row>
    <row r="1477" spans="1:5" x14ac:dyDescent="0.25">
      <c r="A1477" s="36">
        <v>1475</v>
      </c>
      <c r="B1477" s="37">
        <v>128798751</v>
      </c>
      <c r="C1477" s="38">
        <v>5.9976592222217746E-2</v>
      </c>
      <c r="D1477" s="14" t="s">
        <v>1518</v>
      </c>
      <c r="E1477" s="14" t="s">
        <v>48</v>
      </c>
    </row>
    <row r="1478" spans="1:5" x14ac:dyDescent="0.25">
      <c r="A1478" s="36">
        <v>1476</v>
      </c>
      <c r="B1478" s="37">
        <v>19981547</v>
      </c>
      <c r="C1478" s="38">
        <v>9.3046329027529021E-3</v>
      </c>
      <c r="D1478" s="14" t="s">
        <v>1519</v>
      </c>
      <c r="E1478" s="14" t="s">
        <v>37</v>
      </c>
    </row>
    <row r="1479" spans="1:5" x14ac:dyDescent="0.25">
      <c r="A1479" s="36">
        <v>1477</v>
      </c>
      <c r="B1479" s="37">
        <v>571699662</v>
      </c>
      <c r="C1479" s="38">
        <v>0.26621840068428704</v>
      </c>
      <c r="D1479" s="14" t="s">
        <v>1520</v>
      </c>
      <c r="E1479" s="14" t="s">
        <v>40</v>
      </c>
    </row>
    <row r="1480" spans="1:5" x14ac:dyDescent="0.25">
      <c r="A1480" s="36">
        <v>1478</v>
      </c>
      <c r="B1480" s="37">
        <v>1407750604</v>
      </c>
      <c r="C1480" s="38">
        <v>0.65553495877214474</v>
      </c>
      <c r="D1480" s="14" t="s">
        <v>1521</v>
      </c>
      <c r="E1480" s="14" t="s">
        <v>43</v>
      </c>
    </row>
    <row r="1481" spans="1:5" x14ac:dyDescent="0.25">
      <c r="A1481" s="36">
        <v>1479</v>
      </c>
      <c r="B1481" s="37">
        <v>1716668685</v>
      </c>
      <c r="C1481" s="38">
        <v>0.79938615011022718</v>
      </c>
      <c r="D1481" s="14" t="s">
        <v>1522</v>
      </c>
      <c r="E1481" s="14" t="s">
        <v>46</v>
      </c>
    </row>
    <row r="1482" spans="1:5" x14ac:dyDescent="0.25">
      <c r="A1482" s="36">
        <v>1480</v>
      </c>
      <c r="B1482" s="37">
        <v>1511072942</v>
      </c>
      <c r="C1482" s="38">
        <v>0.7036481717152745</v>
      </c>
      <c r="D1482" s="14" t="s">
        <v>1523</v>
      </c>
      <c r="E1482" s="14" t="s">
        <v>48</v>
      </c>
    </row>
    <row r="1483" spans="1:5" x14ac:dyDescent="0.25">
      <c r="A1483" s="36">
        <v>1481</v>
      </c>
      <c r="B1483" s="37">
        <v>955974493</v>
      </c>
      <c r="C1483" s="38">
        <v>0.44516031325103728</v>
      </c>
      <c r="D1483" s="14" t="s">
        <v>1524</v>
      </c>
      <c r="E1483" s="14" t="s">
        <v>37</v>
      </c>
    </row>
    <row r="1484" spans="1:5" x14ac:dyDescent="0.25">
      <c r="A1484" s="36">
        <v>1482</v>
      </c>
      <c r="B1484" s="37">
        <v>2024110988</v>
      </c>
      <c r="C1484" s="38">
        <v>0.9425501287647291</v>
      </c>
      <c r="D1484" s="14" t="s">
        <v>1525</v>
      </c>
      <c r="E1484" s="14" t="s">
        <v>40</v>
      </c>
    </row>
    <row r="1485" spans="1:5" x14ac:dyDescent="0.25">
      <c r="A1485" s="36">
        <v>1483</v>
      </c>
      <c r="B1485" s="37">
        <v>1557393917</v>
      </c>
      <c r="C1485" s="38">
        <v>0.7252180565731684</v>
      </c>
      <c r="D1485" s="14" t="s">
        <v>1526</v>
      </c>
      <c r="E1485" s="14" t="s">
        <v>43</v>
      </c>
    </row>
    <row r="1486" spans="1:5" x14ac:dyDescent="0.25">
      <c r="A1486" s="36">
        <v>1484</v>
      </c>
      <c r="B1486" s="37">
        <v>124024480</v>
      </c>
      <c r="C1486" s="38">
        <v>5.7753399041366484E-2</v>
      </c>
      <c r="D1486" s="14" t="s">
        <v>1527</v>
      </c>
      <c r="E1486" s="14" t="s">
        <v>46</v>
      </c>
    </row>
    <row r="1487" spans="1:5" x14ac:dyDescent="0.25">
      <c r="A1487" s="36">
        <v>1485</v>
      </c>
      <c r="B1487" s="37">
        <v>963522819</v>
      </c>
      <c r="C1487" s="38">
        <v>0.44867527645485256</v>
      </c>
      <c r="D1487" s="14" t="s">
        <v>1528</v>
      </c>
      <c r="E1487" s="14" t="s">
        <v>48</v>
      </c>
    </row>
    <row r="1488" spans="1:5" x14ac:dyDescent="0.25">
      <c r="A1488" s="36">
        <v>1486</v>
      </c>
      <c r="B1488" s="37">
        <v>1474627541</v>
      </c>
      <c r="C1488" s="38">
        <v>0.68667695936126494</v>
      </c>
      <c r="D1488" s="14" t="s">
        <v>1529</v>
      </c>
      <c r="E1488" s="14" t="s">
        <v>37</v>
      </c>
    </row>
    <row r="1489" spans="1:5" x14ac:dyDescent="0.25">
      <c r="A1489" s="36">
        <v>1487</v>
      </c>
      <c r="B1489" s="37">
        <v>940419071</v>
      </c>
      <c r="C1489" s="38">
        <v>0.43791675541452912</v>
      </c>
      <c r="D1489" s="14" t="s">
        <v>1530</v>
      </c>
      <c r="E1489" s="14" t="s">
        <v>40</v>
      </c>
    </row>
    <row r="1490" spans="1:5" x14ac:dyDescent="0.25">
      <c r="A1490" s="36">
        <v>1488</v>
      </c>
      <c r="B1490" s="37">
        <v>1845638317</v>
      </c>
      <c r="C1490" s="38">
        <v>0.85944231499891832</v>
      </c>
      <c r="D1490" s="14" t="s">
        <v>1531</v>
      </c>
      <c r="E1490" s="14" t="s">
        <v>43</v>
      </c>
    </row>
    <row r="1491" spans="1:5" x14ac:dyDescent="0.25">
      <c r="A1491" s="36">
        <v>1489</v>
      </c>
      <c r="B1491" s="37">
        <v>1485005387</v>
      </c>
      <c r="C1491" s="38">
        <v>0.69150952049135672</v>
      </c>
      <c r="D1491" s="14" t="s">
        <v>1532</v>
      </c>
      <c r="E1491" s="14" t="s">
        <v>46</v>
      </c>
    </row>
    <row r="1492" spans="1:5" x14ac:dyDescent="0.25">
      <c r="A1492" s="36">
        <v>1490</v>
      </c>
      <c r="B1492" s="37">
        <v>766075753</v>
      </c>
      <c r="C1492" s="38">
        <v>0.35673182148334187</v>
      </c>
      <c r="D1492" s="14" t="s">
        <v>1533</v>
      </c>
      <c r="E1492" s="14" t="s">
        <v>48</v>
      </c>
    </row>
    <row r="1493" spans="1:5" x14ac:dyDescent="0.25">
      <c r="A1493" s="36">
        <v>1491</v>
      </c>
      <c r="B1493" s="37">
        <v>1089398065</v>
      </c>
      <c r="C1493" s="38">
        <v>0.5072905055746858</v>
      </c>
      <c r="D1493" s="14" t="s">
        <v>1534</v>
      </c>
      <c r="E1493" s="14" t="s">
        <v>37</v>
      </c>
    </row>
    <row r="1494" spans="1:5" x14ac:dyDescent="0.25">
      <c r="A1494" s="36">
        <v>1492</v>
      </c>
      <c r="B1494" s="37">
        <v>431488842</v>
      </c>
      <c r="C1494" s="38">
        <v>0.20092764971820995</v>
      </c>
      <c r="D1494" s="14" t="s">
        <v>1535</v>
      </c>
      <c r="E1494" s="14" t="s">
        <v>40</v>
      </c>
    </row>
    <row r="1495" spans="1:5" x14ac:dyDescent="0.25">
      <c r="A1495" s="36">
        <v>1493</v>
      </c>
      <c r="B1495" s="37">
        <v>1220378770</v>
      </c>
      <c r="C1495" s="38">
        <v>0.56828314930586288</v>
      </c>
      <c r="D1495" s="14" t="s">
        <v>1536</v>
      </c>
      <c r="E1495" s="14" t="s">
        <v>43</v>
      </c>
    </row>
    <row r="1496" spans="1:5" x14ac:dyDescent="0.25">
      <c r="A1496" s="36">
        <v>1494</v>
      </c>
      <c r="B1496" s="37">
        <v>2107184586</v>
      </c>
      <c r="C1496" s="38">
        <v>0.98123428736870844</v>
      </c>
      <c r="D1496" s="14" t="s">
        <v>1537</v>
      </c>
      <c r="E1496" s="14" t="s">
        <v>46</v>
      </c>
    </row>
    <row r="1497" spans="1:5" x14ac:dyDescent="0.25">
      <c r="A1497" s="36">
        <v>1495</v>
      </c>
      <c r="B1497" s="37">
        <v>1018590890</v>
      </c>
      <c r="C1497" s="38">
        <v>0.47431834529820754</v>
      </c>
      <c r="D1497" s="14" t="s">
        <v>1538</v>
      </c>
      <c r="E1497" s="14" t="s">
        <v>48</v>
      </c>
    </row>
    <row r="1498" spans="1:5" x14ac:dyDescent="0.25">
      <c r="A1498" s="36">
        <v>1496</v>
      </c>
      <c r="B1498" s="37">
        <v>463520268</v>
      </c>
      <c r="C1498" s="38">
        <v>0.21584344479061823</v>
      </c>
      <c r="D1498" s="14" t="s">
        <v>1539</v>
      </c>
      <c r="E1498" s="14" t="s">
        <v>37</v>
      </c>
    </row>
    <row r="1499" spans="1:5" x14ac:dyDescent="0.25">
      <c r="A1499" s="36">
        <v>1497</v>
      </c>
      <c r="B1499" s="37">
        <v>605753704</v>
      </c>
      <c r="C1499" s="38">
        <v>0.28207604972742312</v>
      </c>
      <c r="D1499" s="14" t="s">
        <v>1540</v>
      </c>
      <c r="E1499" s="14" t="s">
        <v>40</v>
      </c>
    </row>
    <row r="1500" spans="1:5" x14ac:dyDescent="0.25">
      <c r="A1500" s="36">
        <v>1498</v>
      </c>
      <c r="B1500" s="37">
        <v>233664442</v>
      </c>
      <c r="C1500" s="38">
        <v>0.10880848491043248</v>
      </c>
      <c r="D1500" s="14" t="s">
        <v>1541</v>
      </c>
      <c r="E1500" s="14" t="s">
        <v>43</v>
      </c>
    </row>
    <row r="1501" spans="1:5" x14ac:dyDescent="0.25">
      <c r="A1501" s="36">
        <v>1499</v>
      </c>
      <c r="B1501" s="37">
        <v>1965981515</v>
      </c>
      <c r="C1501" s="38">
        <v>0.91548148352442382</v>
      </c>
      <c r="D1501" s="14" t="s">
        <v>1542</v>
      </c>
      <c r="E1501" s="14" t="s">
        <v>46</v>
      </c>
    </row>
    <row r="1502" spans="1:5" x14ac:dyDescent="0.25">
      <c r="A1502" s="36">
        <v>1500</v>
      </c>
      <c r="B1502" s="37">
        <v>619547824</v>
      </c>
      <c r="C1502" s="38">
        <v>0.28849943740689171</v>
      </c>
      <c r="D1502" s="14" t="s">
        <v>1543</v>
      </c>
      <c r="E1502" s="14" t="s">
        <v>48</v>
      </c>
    </row>
    <row r="1503" spans="1:5" x14ac:dyDescent="0.25">
      <c r="A1503" s="36">
        <v>1501</v>
      </c>
      <c r="B1503" s="37">
        <v>2143587365</v>
      </c>
      <c r="C1503" s="38">
        <v>0.99818565230732115</v>
      </c>
      <c r="D1503" s="14" t="s">
        <v>1544</v>
      </c>
      <c r="E1503" s="14" t="s">
        <v>37</v>
      </c>
    </row>
    <row r="1504" spans="1:5" x14ac:dyDescent="0.25">
      <c r="A1504" s="36">
        <v>1502</v>
      </c>
      <c r="B1504" s="37">
        <v>955722113</v>
      </c>
      <c r="C1504" s="38">
        <v>0.44504278965529187</v>
      </c>
      <c r="D1504" s="14" t="s">
        <v>1545</v>
      </c>
      <c r="E1504" s="14" t="s">
        <v>40</v>
      </c>
    </row>
    <row r="1505" spans="1:5" x14ac:dyDescent="0.25">
      <c r="A1505" s="36">
        <v>1503</v>
      </c>
      <c r="B1505" s="37">
        <v>690602653</v>
      </c>
      <c r="C1505" s="38">
        <v>0.32158692056387056</v>
      </c>
      <c r="D1505" s="14" t="s">
        <v>1546</v>
      </c>
      <c r="E1505" s="14" t="s">
        <v>43</v>
      </c>
    </row>
    <row r="1506" spans="1:5" x14ac:dyDescent="0.25">
      <c r="A1506" s="36">
        <v>1504</v>
      </c>
      <c r="B1506" s="37">
        <v>2020970065</v>
      </c>
      <c r="C1506" s="38">
        <v>0.94108752251653349</v>
      </c>
      <c r="D1506" s="14" t="s">
        <v>1547</v>
      </c>
      <c r="E1506" s="14" t="s">
        <v>46</v>
      </c>
    </row>
    <row r="1507" spans="1:5" x14ac:dyDescent="0.25">
      <c r="A1507" s="36">
        <v>1505</v>
      </c>
      <c r="B1507" s="37">
        <v>387734140</v>
      </c>
      <c r="C1507" s="38">
        <v>0.18055277884963564</v>
      </c>
      <c r="D1507" s="14" t="s">
        <v>1548</v>
      </c>
      <c r="E1507" s="14" t="s">
        <v>48</v>
      </c>
    </row>
    <row r="1508" spans="1:5" x14ac:dyDescent="0.25">
      <c r="A1508" s="36">
        <v>1506</v>
      </c>
      <c r="B1508" s="37">
        <v>185436578</v>
      </c>
      <c r="C1508" s="38">
        <v>8.6350635665632156E-2</v>
      </c>
      <c r="D1508" s="14" t="s">
        <v>1549</v>
      </c>
      <c r="E1508" s="14" t="s">
        <v>37</v>
      </c>
    </row>
    <row r="1509" spans="1:5" x14ac:dyDescent="0.25">
      <c r="A1509" s="36">
        <v>1507</v>
      </c>
      <c r="B1509" s="37">
        <v>566865422</v>
      </c>
      <c r="C1509" s="38">
        <v>0.2639672822616842</v>
      </c>
      <c r="D1509" s="14" t="s">
        <v>1550</v>
      </c>
      <c r="E1509" s="14" t="s">
        <v>40</v>
      </c>
    </row>
    <row r="1510" spans="1:5" x14ac:dyDescent="0.25">
      <c r="A1510" s="36">
        <v>1508</v>
      </c>
      <c r="B1510" s="37">
        <v>1315639913</v>
      </c>
      <c r="C1510" s="38">
        <v>0.61264257580630599</v>
      </c>
      <c r="D1510" s="14" t="s">
        <v>1551</v>
      </c>
      <c r="E1510" s="14" t="s">
        <v>43</v>
      </c>
    </row>
    <row r="1511" spans="1:5" x14ac:dyDescent="0.25">
      <c r="A1511" s="36">
        <v>1509</v>
      </c>
      <c r="B1511" s="37">
        <v>763709475</v>
      </c>
      <c r="C1511" s="38">
        <v>0.3556299374232208</v>
      </c>
      <c r="D1511" s="14" t="s">
        <v>1552</v>
      </c>
      <c r="E1511" s="14" t="s">
        <v>46</v>
      </c>
    </row>
    <row r="1512" spans="1:5" x14ac:dyDescent="0.25">
      <c r="A1512" s="36">
        <v>1510</v>
      </c>
      <c r="B1512" s="37">
        <v>845518713</v>
      </c>
      <c r="C1512" s="38">
        <v>0.39372533252170555</v>
      </c>
      <c r="D1512" s="14" t="s">
        <v>1553</v>
      </c>
      <c r="E1512" s="14" t="s">
        <v>48</v>
      </c>
    </row>
    <row r="1513" spans="1:5" x14ac:dyDescent="0.25">
      <c r="A1513" s="36">
        <v>1511</v>
      </c>
      <c r="B1513" s="37">
        <v>281860746</v>
      </c>
      <c r="C1513" s="38">
        <v>0.13125163788499852</v>
      </c>
      <c r="D1513" s="14" t="s">
        <v>1554</v>
      </c>
      <c r="E1513" s="14" t="s">
        <v>37</v>
      </c>
    </row>
    <row r="1514" spans="1:5" x14ac:dyDescent="0.25">
      <c r="A1514" s="36">
        <v>1512</v>
      </c>
      <c r="B1514" s="37">
        <v>224812489</v>
      </c>
      <c r="C1514" s="38">
        <v>0.10468647307934541</v>
      </c>
      <c r="D1514" s="14" t="s">
        <v>1555</v>
      </c>
      <c r="E1514" s="14" t="s">
        <v>40</v>
      </c>
    </row>
    <row r="1515" spans="1:5" x14ac:dyDescent="0.25">
      <c r="A1515" s="36">
        <v>1513</v>
      </c>
      <c r="B1515" s="37">
        <v>1554216257</v>
      </c>
      <c r="C1515" s="38">
        <v>0.72373834332625309</v>
      </c>
      <c r="D1515" s="14" t="s">
        <v>1556</v>
      </c>
      <c r="E1515" s="14" t="s">
        <v>43</v>
      </c>
    </row>
    <row r="1516" spans="1:5" x14ac:dyDescent="0.25">
      <c r="A1516" s="36">
        <v>1514</v>
      </c>
      <c r="B1516" s="37">
        <v>81735541</v>
      </c>
      <c r="C1516" s="38">
        <v>3.8061077258578074E-2</v>
      </c>
      <c r="D1516" s="14" t="s">
        <v>1557</v>
      </c>
      <c r="E1516" s="14" t="s">
        <v>46</v>
      </c>
    </row>
    <row r="1517" spans="1:5" x14ac:dyDescent="0.25">
      <c r="A1517" s="36">
        <v>1515</v>
      </c>
      <c r="B1517" s="37">
        <v>186315210</v>
      </c>
      <c r="C1517" s="38">
        <v>8.6759780574012443E-2</v>
      </c>
      <c r="D1517" s="14" t="s">
        <v>1558</v>
      </c>
      <c r="E1517" s="14" t="s">
        <v>48</v>
      </c>
    </row>
    <row r="1518" spans="1:5" x14ac:dyDescent="0.25">
      <c r="A1518" s="36">
        <v>1516</v>
      </c>
      <c r="B1518" s="37">
        <v>635431615</v>
      </c>
      <c r="C1518" s="38">
        <v>0.29589590397472304</v>
      </c>
      <c r="D1518" s="14" t="s">
        <v>1559</v>
      </c>
      <c r="E1518" s="14" t="s">
        <v>37</v>
      </c>
    </row>
    <row r="1519" spans="1:5" x14ac:dyDescent="0.25">
      <c r="A1519" s="36">
        <v>1517</v>
      </c>
      <c r="B1519" s="37">
        <v>1292139776</v>
      </c>
      <c r="C1519" s="38">
        <v>0.60169947175388205</v>
      </c>
      <c r="D1519" s="14" t="s">
        <v>1560</v>
      </c>
      <c r="E1519" s="14" t="s">
        <v>40</v>
      </c>
    </row>
    <row r="1520" spans="1:5" x14ac:dyDescent="0.25">
      <c r="A1520" s="36">
        <v>1518</v>
      </c>
      <c r="B1520" s="37">
        <v>612799655</v>
      </c>
      <c r="C1520" s="38">
        <v>0.28535707634191826</v>
      </c>
      <c r="D1520" s="14" t="s">
        <v>1561</v>
      </c>
      <c r="E1520" s="14" t="s">
        <v>43</v>
      </c>
    </row>
    <row r="1521" spans="1:5" x14ac:dyDescent="0.25">
      <c r="A1521" s="36">
        <v>1519</v>
      </c>
      <c r="B1521" s="37">
        <v>987056450</v>
      </c>
      <c r="C1521" s="38">
        <v>0.4596339773664409</v>
      </c>
      <c r="D1521" s="14" t="s">
        <v>1562</v>
      </c>
      <c r="E1521" s="14" t="s">
        <v>46</v>
      </c>
    </row>
    <row r="1522" spans="1:5" x14ac:dyDescent="0.25">
      <c r="A1522" s="36">
        <v>1520</v>
      </c>
      <c r="B1522" s="37">
        <v>1542562889</v>
      </c>
      <c r="C1522" s="38">
        <v>0.71831182097937529</v>
      </c>
      <c r="D1522" s="14" t="s">
        <v>1563</v>
      </c>
      <c r="E1522" s="14" t="s">
        <v>48</v>
      </c>
    </row>
    <row r="1523" spans="1:5" x14ac:dyDescent="0.25">
      <c r="A1523" s="36">
        <v>1521</v>
      </c>
      <c r="B1523" s="37">
        <v>979148692</v>
      </c>
      <c r="C1523" s="38">
        <v>0.45595164059472815</v>
      </c>
      <c r="D1523" s="14" t="s">
        <v>1564</v>
      </c>
      <c r="E1523" s="14" t="s">
        <v>37</v>
      </c>
    </row>
    <row r="1524" spans="1:5" x14ac:dyDescent="0.25">
      <c r="A1524" s="36">
        <v>1522</v>
      </c>
      <c r="B1524" s="37">
        <v>808950402</v>
      </c>
      <c r="C1524" s="38">
        <v>0.37669688573884635</v>
      </c>
      <c r="D1524" s="14" t="s">
        <v>1565</v>
      </c>
      <c r="E1524" s="14" t="s">
        <v>40</v>
      </c>
    </row>
    <row r="1525" spans="1:5" x14ac:dyDescent="0.25">
      <c r="A1525" s="36">
        <v>1523</v>
      </c>
      <c r="B1525" s="37">
        <v>1837967686</v>
      </c>
      <c r="C1525" s="38">
        <v>0.85587039909133245</v>
      </c>
      <c r="D1525" s="14" t="s">
        <v>1566</v>
      </c>
      <c r="E1525" s="14" t="s">
        <v>43</v>
      </c>
    </row>
    <row r="1526" spans="1:5" x14ac:dyDescent="0.25">
      <c r="A1526" s="36">
        <v>1524</v>
      </c>
      <c r="B1526" s="37">
        <v>318221527</v>
      </c>
      <c r="C1526" s="38">
        <v>0.14818344598085781</v>
      </c>
      <c r="D1526" s="14" t="s">
        <v>1567</v>
      </c>
      <c r="E1526" s="14" t="s">
        <v>46</v>
      </c>
    </row>
    <row r="1527" spans="1:5" x14ac:dyDescent="0.25">
      <c r="A1527" s="36">
        <v>1525</v>
      </c>
      <c r="B1527" s="37">
        <v>1122183113</v>
      </c>
      <c r="C1527" s="38">
        <v>0.52255723323792092</v>
      </c>
      <c r="D1527" s="14" t="s">
        <v>1568</v>
      </c>
      <c r="E1527" s="14" t="s">
        <v>48</v>
      </c>
    </row>
    <row r="1528" spans="1:5" x14ac:dyDescent="0.25">
      <c r="A1528" s="36">
        <v>1526</v>
      </c>
      <c r="B1528" s="37">
        <v>109073478</v>
      </c>
      <c r="C1528" s="38">
        <v>5.0791296200263916E-2</v>
      </c>
      <c r="D1528" s="14" t="s">
        <v>1569</v>
      </c>
      <c r="E1528" s="14" t="s">
        <v>37</v>
      </c>
    </row>
    <row r="1529" spans="1:5" x14ac:dyDescent="0.25">
      <c r="A1529" s="36">
        <v>1527</v>
      </c>
      <c r="B1529" s="37">
        <v>1834903852</v>
      </c>
      <c r="C1529" s="38">
        <v>0.85444369020613087</v>
      </c>
      <c r="D1529" s="14" t="s">
        <v>1570</v>
      </c>
      <c r="E1529" s="14" t="s">
        <v>40</v>
      </c>
    </row>
    <row r="1530" spans="1:5" x14ac:dyDescent="0.25">
      <c r="A1530" s="36">
        <v>1528</v>
      </c>
      <c r="B1530" s="37">
        <v>763594302</v>
      </c>
      <c r="C1530" s="38">
        <v>0.35557630581575272</v>
      </c>
      <c r="D1530" s="14" t="s">
        <v>1571</v>
      </c>
      <c r="E1530" s="14" t="s">
        <v>43</v>
      </c>
    </row>
    <row r="1531" spans="1:5" x14ac:dyDescent="0.25">
      <c r="A1531" s="36">
        <v>1529</v>
      </c>
      <c r="B1531" s="37">
        <v>263225471</v>
      </c>
      <c r="C1531" s="38">
        <v>0.12257391173512391</v>
      </c>
      <c r="D1531" s="14" t="s">
        <v>1572</v>
      </c>
      <c r="E1531" s="14" t="s">
        <v>46</v>
      </c>
    </row>
    <row r="1532" spans="1:5" x14ac:dyDescent="0.25">
      <c r="A1532" s="36">
        <v>1530</v>
      </c>
      <c r="B1532" s="37">
        <v>1744974029</v>
      </c>
      <c r="C1532" s="38">
        <v>0.81256685304109322</v>
      </c>
      <c r="D1532" s="14" t="s">
        <v>1573</v>
      </c>
      <c r="E1532" s="14" t="s">
        <v>48</v>
      </c>
    </row>
    <row r="1533" spans="1:5" x14ac:dyDescent="0.25">
      <c r="A1533" s="36">
        <v>1531</v>
      </c>
      <c r="B1533" s="37">
        <v>672579362</v>
      </c>
      <c r="C1533" s="38">
        <v>0.31319417167138036</v>
      </c>
      <c r="D1533" s="14" t="s">
        <v>1574</v>
      </c>
      <c r="E1533" s="14" t="s">
        <v>37</v>
      </c>
    </row>
    <row r="1534" spans="1:5" x14ac:dyDescent="0.25">
      <c r="A1534" s="36">
        <v>1532</v>
      </c>
      <c r="B1534" s="37">
        <v>1583233</v>
      </c>
      <c r="C1534" s="38">
        <v>7.3725031723140288E-4</v>
      </c>
      <c r="D1534" s="14" t="s">
        <v>1575</v>
      </c>
      <c r="E1534" s="14" t="s">
        <v>40</v>
      </c>
    </row>
    <row r="1535" spans="1:5" x14ac:dyDescent="0.25">
      <c r="A1535" s="36">
        <v>1533</v>
      </c>
      <c r="B1535" s="37">
        <v>1382378679</v>
      </c>
      <c r="C1535" s="38">
        <v>0.64372023550966762</v>
      </c>
      <c r="D1535" s="14" t="s">
        <v>1576</v>
      </c>
      <c r="E1535" s="14" t="s">
        <v>43</v>
      </c>
    </row>
    <row r="1536" spans="1:5" x14ac:dyDescent="0.25">
      <c r="A1536" s="36">
        <v>1534</v>
      </c>
      <c r="B1536" s="37">
        <v>1926609962</v>
      </c>
      <c r="C1536" s="38">
        <v>0.89714767546260155</v>
      </c>
      <c r="D1536" s="14" t="s">
        <v>1577</v>
      </c>
      <c r="E1536" s="14" t="s">
        <v>46</v>
      </c>
    </row>
    <row r="1537" spans="1:5" x14ac:dyDescent="0.25">
      <c r="A1537" s="36">
        <v>1535</v>
      </c>
      <c r="B1537" s="37">
        <v>443745998</v>
      </c>
      <c r="C1537" s="38">
        <v>0.20663533276255958</v>
      </c>
      <c r="D1537" s="14" t="s">
        <v>1578</v>
      </c>
      <c r="E1537" s="14" t="s">
        <v>48</v>
      </c>
    </row>
    <row r="1538" spans="1:5" x14ac:dyDescent="0.25">
      <c r="A1538" s="36">
        <v>1536</v>
      </c>
      <c r="B1538" s="37">
        <v>320839523</v>
      </c>
      <c r="C1538" s="38">
        <v>0.14940254536895201</v>
      </c>
      <c r="D1538" s="14" t="s">
        <v>1579</v>
      </c>
      <c r="E1538" s="14" t="s">
        <v>37</v>
      </c>
    </row>
    <row r="1539" spans="1:5" x14ac:dyDescent="0.25">
      <c r="A1539" s="36">
        <v>1537</v>
      </c>
      <c r="B1539" s="37">
        <v>1597655250</v>
      </c>
      <c r="C1539" s="38">
        <v>0.7439662007354042</v>
      </c>
      <c r="D1539" s="14" t="s">
        <v>1580</v>
      </c>
      <c r="E1539" s="14" t="s">
        <v>40</v>
      </c>
    </row>
    <row r="1540" spans="1:5" x14ac:dyDescent="0.25">
      <c r="A1540" s="36">
        <v>1538</v>
      </c>
      <c r="B1540" s="37">
        <v>1744648023</v>
      </c>
      <c r="C1540" s="38">
        <v>0.81241504466739256</v>
      </c>
      <c r="D1540" s="14" t="s">
        <v>1581</v>
      </c>
      <c r="E1540" s="14" t="s">
        <v>43</v>
      </c>
    </row>
    <row r="1541" spans="1:5" x14ac:dyDescent="0.25">
      <c r="A1541" s="36">
        <v>1539</v>
      </c>
      <c r="B1541" s="37">
        <v>1340804903</v>
      </c>
      <c r="C1541" s="38">
        <v>0.62436093745024923</v>
      </c>
      <c r="D1541" s="14" t="s">
        <v>1582</v>
      </c>
      <c r="E1541" s="14" t="s">
        <v>46</v>
      </c>
    </row>
    <row r="1542" spans="1:5" x14ac:dyDescent="0.25">
      <c r="A1542" s="36">
        <v>1540</v>
      </c>
      <c r="B1542" s="37">
        <v>1850154490</v>
      </c>
      <c r="C1542" s="38">
        <v>0.8615453219327821</v>
      </c>
      <c r="D1542" s="14" t="s">
        <v>1583</v>
      </c>
      <c r="E1542" s="14" t="s">
        <v>48</v>
      </c>
    </row>
    <row r="1543" spans="1:5" x14ac:dyDescent="0.25">
      <c r="A1543" s="36">
        <v>1541</v>
      </c>
      <c r="B1543" s="37">
        <v>427620065</v>
      </c>
      <c r="C1543" s="38">
        <v>0.19912611003924446</v>
      </c>
      <c r="D1543" s="14" t="s">
        <v>1584</v>
      </c>
      <c r="E1543" s="14" t="s">
        <v>37</v>
      </c>
    </row>
    <row r="1544" spans="1:5" x14ac:dyDescent="0.25">
      <c r="A1544" s="36">
        <v>1542</v>
      </c>
      <c r="B1544" s="37">
        <v>1847800198</v>
      </c>
      <c r="C1544" s="38">
        <v>0.86044901928885331</v>
      </c>
      <c r="D1544" s="14" t="s">
        <v>1585</v>
      </c>
      <c r="E1544" s="14" t="s">
        <v>40</v>
      </c>
    </row>
    <row r="1545" spans="1:5" x14ac:dyDescent="0.25">
      <c r="A1545" s="36">
        <v>1543</v>
      </c>
      <c r="B1545" s="37">
        <v>807384540</v>
      </c>
      <c r="C1545" s="38">
        <v>0.37596772442384052</v>
      </c>
      <c r="D1545" s="14" t="s">
        <v>1586</v>
      </c>
      <c r="E1545" s="14" t="s">
        <v>43</v>
      </c>
    </row>
    <row r="1546" spans="1:5" x14ac:dyDescent="0.25">
      <c r="A1546" s="36">
        <v>1544</v>
      </c>
      <c r="B1546" s="37">
        <v>319185947</v>
      </c>
      <c r="C1546" s="38">
        <v>0.14863253903977225</v>
      </c>
      <c r="D1546" s="14" t="s">
        <v>1587</v>
      </c>
      <c r="E1546" s="14" t="s">
        <v>46</v>
      </c>
    </row>
    <row r="1547" spans="1:5" x14ac:dyDescent="0.25">
      <c r="A1547" s="36">
        <v>1545</v>
      </c>
      <c r="B1547" s="37">
        <v>105615657</v>
      </c>
      <c r="C1547" s="38">
        <v>4.9181122821374386E-2</v>
      </c>
      <c r="D1547" s="14" t="s">
        <v>1588</v>
      </c>
      <c r="E1547" s="14" t="s">
        <v>48</v>
      </c>
    </row>
    <row r="1548" spans="1:5" x14ac:dyDescent="0.25">
      <c r="A1548" s="36">
        <v>1546</v>
      </c>
      <c r="B1548" s="37">
        <v>1461577787</v>
      </c>
      <c r="C1548" s="38">
        <v>0.68060019411174588</v>
      </c>
      <c r="D1548" s="14" t="s">
        <v>1589</v>
      </c>
      <c r="E1548" s="14" t="s">
        <v>37</v>
      </c>
    </row>
    <row r="1549" spans="1:5" x14ac:dyDescent="0.25">
      <c r="A1549" s="36">
        <v>1547</v>
      </c>
      <c r="B1549" s="37">
        <v>1095731626</v>
      </c>
      <c r="C1549" s="38">
        <v>0.51023979974456124</v>
      </c>
      <c r="D1549" s="14" t="s">
        <v>1590</v>
      </c>
      <c r="E1549" s="14" t="s">
        <v>40</v>
      </c>
    </row>
    <row r="1550" spans="1:5" x14ac:dyDescent="0.25">
      <c r="A1550" s="36">
        <v>1548</v>
      </c>
      <c r="B1550" s="37">
        <v>804889244</v>
      </c>
      <c r="C1550" s="38">
        <v>0.3748057616757256</v>
      </c>
      <c r="D1550" s="14" t="s">
        <v>1591</v>
      </c>
      <c r="E1550" s="14" t="s">
        <v>43</v>
      </c>
    </row>
    <row r="1551" spans="1:5" x14ac:dyDescent="0.25">
      <c r="A1551" s="36">
        <v>1549</v>
      </c>
      <c r="B1551" s="37">
        <v>69984845</v>
      </c>
      <c r="C1551" s="38">
        <v>3.2589233029908141E-2</v>
      </c>
      <c r="D1551" s="14" t="s">
        <v>1592</v>
      </c>
      <c r="E1551" s="14" t="s">
        <v>46</v>
      </c>
    </row>
    <row r="1552" spans="1:5" x14ac:dyDescent="0.25">
      <c r="A1552" s="36">
        <v>1550</v>
      </c>
      <c r="B1552" s="37">
        <v>140112686</v>
      </c>
      <c r="C1552" s="38">
        <v>6.5245053761287156E-2</v>
      </c>
      <c r="D1552" s="14" t="s">
        <v>1593</v>
      </c>
      <c r="E1552" s="14" t="s">
        <v>48</v>
      </c>
    </row>
    <row r="1553" spans="1:5" x14ac:dyDescent="0.25">
      <c r="A1553" s="36">
        <v>1551</v>
      </c>
      <c r="B1553" s="37">
        <v>1063536879</v>
      </c>
      <c r="C1553" s="38">
        <v>0.49524795240501313</v>
      </c>
      <c r="D1553" s="14" t="s">
        <v>1594</v>
      </c>
      <c r="E1553" s="14" t="s">
        <v>37</v>
      </c>
    </row>
    <row r="1554" spans="1:5" x14ac:dyDescent="0.25">
      <c r="A1554" s="36">
        <v>1552</v>
      </c>
      <c r="B1554" s="37">
        <v>150566307</v>
      </c>
      <c r="C1554" s="38">
        <v>7.0112900375441142E-2</v>
      </c>
      <c r="D1554" s="14" t="s">
        <v>1595</v>
      </c>
      <c r="E1554" s="14" t="s">
        <v>40</v>
      </c>
    </row>
    <row r="1555" spans="1:5" x14ac:dyDescent="0.25">
      <c r="A1555" s="36">
        <v>1553</v>
      </c>
      <c r="B1555" s="37">
        <v>317040263</v>
      </c>
      <c r="C1555" s="38">
        <v>0.14763337706571136</v>
      </c>
      <c r="D1555" s="14" t="s">
        <v>1596</v>
      </c>
      <c r="E1555" s="14" t="s">
        <v>43</v>
      </c>
    </row>
    <row r="1556" spans="1:5" x14ac:dyDescent="0.25">
      <c r="A1556" s="36">
        <v>1554</v>
      </c>
      <c r="B1556" s="37">
        <v>1973744165</v>
      </c>
      <c r="C1556" s="38">
        <v>0.91909624911802645</v>
      </c>
      <c r="D1556" s="14" t="s">
        <v>1597</v>
      </c>
      <c r="E1556" s="14" t="s">
        <v>46</v>
      </c>
    </row>
    <row r="1557" spans="1:5" x14ac:dyDescent="0.25">
      <c r="A1557" s="36">
        <v>1555</v>
      </c>
      <c r="B1557" s="37">
        <v>335435075</v>
      </c>
      <c r="C1557" s="38">
        <v>0.15619912890540397</v>
      </c>
      <c r="D1557" s="14" t="s">
        <v>1598</v>
      </c>
      <c r="E1557" s="14" t="s">
        <v>48</v>
      </c>
    </row>
    <row r="1558" spans="1:5" x14ac:dyDescent="0.25">
      <c r="A1558" s="36">
        <v>1556</v>
      </c>
      <c r="B1558" s="37">
        <v>1776349539</v>
      </c>
      <c r="C1558" s="38">
        <v>0.82717721342443362</v>
      </c>
      <c r="D1558" s="14" t="s">
        <v>1599</v>
      </c>
      <c r="E1558" s="14" t="s">
        <v>37</v>
      </c>
    </row>
    <row r="1559" spans="1:5" x14ac:dyDescent="0.25">
      <c r="A1559" s="36">
        <v>1557</v>
      </c>
      <c r="B1559" s="37">
        <v>1338550719</v>
      </c>
      <c r="C1559" s="38">
        <v>0.62331125122649189</v>
      </c>
      <c r="D1559" s="14" t="s">
        <v>1600</v>
      </c>
      <c r="E1559" s="14" t="s">
        <v>40</v>
      </c>
    </row>
    <row r="1560" spans="1:5" x14ac:dyDescent="0.25">
      <c r="A1560" s="36">
        <v>1558</v>
      </c>
      <c r="B1560" s="37">
        <v>1358463199</v>
      </c>
      <c r="C1560" s="38">
        <v>0.63258372230109927</v>
      </c>
      <c r="D1560" s="14" t="s">
        <v>1601</v>
      </c>
      <c r="E1560" s="14" t="s">
        <v>43</v>
      </c>
    </row>
    <row r="1561" spans="1:5" x14ac:dyDescent="0.25">
      <c r="A1561" s="36">
        <v>1559</v>
      </c>
      <c r="B1561" s="37">
        <v>1916627401</v>
      </c>
      <c r="C1561" s="38">
        <v>0.89249918325454891</v>
      </c>
      <c r="D1561" s="14" t="s">
        <v>1602</v>
      </c>
      <c r="E1561" s="14" t="s">
        <v>46</v>
      </c>
    </row>
    <row r="1562" spans="1:5" x14ac:dyDescent="0.25">
      <c r="A1562" s="36">
        <v>1560</v>
      </c>
      <c r="B1562" s="37">
        <v>1449857959</v>
      </c>
      <c r="C1562" s="38">
        <v>0.67514272391569929</v>
      </c>
      <c r="D1562" s="14" t="s">
        <v>1603</v>
      </c>
      <c r="E1562" s="14" t="s">
        <v>48</v>
      </c>
    </row>
    <row r="1563" spans="1:5" x14ac:dyDescent="0.25">
      <c r="A1563" s="36">
        <v>1561</v>
      </c>
      <c r="B1563" s="37">
        <v>890479274</v>
      </c>
      <c r="C1563" s="38">
        <v>0.414661725244793</v>
      </c>
      <c r="D1563" s="14" t="s">
        <v>1604</v>
      </c>
      <c r="E1563" s="14" t="s">
        <v>37</v>
      </c>
    </row>
    <row r="1564" spans="1:5" x14ac:dyDescent="0.25">
      <c r="A1564" s="36">
        <v>1562</v>
      </c>
      <c r="B1564" s="37">
        <v>602044968</v>
      </c>
      <c r="C1564" s="38">
        <v>0.28034903494657437</v>
      </c>
      <c r="D1564" s="14" t="s">
        <v>1605</v>
      </c>
      <c r="E1564" s="14" t="s">
        <v>40</v>
      </c>
    </row>
    <row r="1565" spans="1:5" x14ac:dyDescent="0.25">
      <c r="A1565" s="36">
        <v>1563</v>
      </c>
      <c r="B1565" s="37">
        <v>965359167</v>
      </c>
      <c r="C1565" s="38">
        <v>0.44953039262887573</v>
      </c>
      <c r="D1565" s="14" t="s">
        <v>1606</v>
      </c>
      <c r="E1565" s="14" t="s">
        <v>43</v>
      </c>
    </row>
    <row r="1566" spans="1:5" x14ac:dyDescent="0.25">
      <c r="A1566" s="36">
        <v>1564</v>
      </c>
      <c r="B1566" s="37">
        <v>105068913</v>
      </c>
      <c r="C1566" s="38">
        <v>4.8926525306388052E-2</v>
      </c>
      <c r="D1566" s="14" t="s">
        <v>1607</v>
      </c>
      <c r="E1566" s="14" t="s">
        <v>46</v>
      </c>
    </row>
    <row r="1567" spans="1:5" x14ac:dyDescent="0.25">
      <c r="A1567" s="36">
        <v>1565</v>
      </c>
      <c r="B1567" s="37">
        <v>1925587515</v>
      </c>
      <c r="C1567" s="38">
        <v>0.8966715614761559</v>
      </c>
      <c r="D1567" s="14" t="s">
        <v>1608</v>
      </c>
      <c r="E1567" s="14" t="s">
        <v>48</v>
      </c>
    </row>
    <row r="1568" spans="1:5" x14ac:dyDescent="0.25">
      <c r="A1568" s="36">
        <v>1566</v>
      </c>
      <c r="B1568" s="37">
        <v>1509685394</v>
      </c>
      <c r="C1568" s="38">
        <v>0.70300204432709235</v>
      </c>
      <c r="D1568" s="14" t="s">
        <v>1609</v>
      </c>
      <c r="E1568" s="14" t="s">
        <v>37</v>
      </c>
    </row>
    <row r="1569" spans="1:5" x14ac:dyDescent="0.25">
      <c r="A1569" s="36">
        <v>1567</v>
      </c>
      <c r="B1569" s="37">
        <v>2040043965</v>
      </c>
      <c r="C1569" s="38">
        <v>0.9499694993486486</v>
      </c>
      <c r="D1569" s="14" t="s">
        <v>1610</v>
      </c>
      <c r="E1569" s="14" t="s">
        <v>40</v>
      </c>
    </row>
    <row r="1570" spans="1:5" x14ac:dyDescent="0.25">
      <c r="A1570" s="36">
        <v>1568</v>
      </c>
      <c r="B1570" s="37">
        <v>972894392</v>
      </c>
      <c r="C1570" s="38">
        <v>0.45303925520416316</v>
      </c>
      <c r="D1570" s="14" t="s">
        <v>1611</v>
      </c>
      <c r="E1570" s="14" t="s">
        <v>43</v>
      </c>
    </row>
    <row r="1571" spans="1:5" x14ac:dyDescent="0.25">
      <c r="A1571" s="36">
        <v>1569</v>
      </c>
      <c r="B1571" s="37">
        <v>1370963558</v>
      </c>
      <c r="C1571" s="38">
        <v>0.63840465556755877</v>
      </c>
      <c r="D1571" s="14" t="s">
        <v>1612</v>
      </c>
      <c r="E1571" s="14" t="s">
        <v>46</v>
      </c>
    </row>
    <row r="1572" spans="1:5" x14ac:dyDescent="0.25">
      <c r="A1572" s="36">
        <v>1570</v>
      </c>
      <c r="B1572" s="37">
        <v>2107636093</v>
      </c>
      <c r="C1572" s="38">
        <v>0.98144453669965481</v>
      </c>
      <c r="D1572" s="14" t="s">
        <v>1613</v>
      </c>
      <c r="E1572" s="14" t="s">
        <v>48</v>
      </c>
    </row>
    <row r="1573" spans="1:5" x14ac:dyDescent="0.25">
      <c r="A1573" s="36">
        <v>1571</v>
      </c>
      <c r="B1573" s="37">
        <v>944003615</v>
      </c>
      <c r="C1573" s="38">
        <v>0.43958593878875762</v>
      </c>
      <c r="D1573" s="14" t="s">
        <v>1614</v>
      </c>
      <c r="E1573" s="14" t="s">
        <v>37</v>
      </c>
    </row>
    <row r="1574" spans="1:5" x14ac:dyDescent="0.25">
      <c r="A1574" s="36">
        <v>1572</v>
      </c>
      <c r="B1574" s="37">
        <v>551684904</v>
      </c>
      <c r="C1574" s="38">
        <v>0.25689830270451414</v>
      </c>
      <c r="D1574" s="14" t="s">
        <v>1615</v>
      </c>
      <c r="E1574" s="14" t="s">
        <v>40</v>
      </c>
    </row>
    <row r="1575" spans="1:5" x14ac:dyDescent="0.25">
      <c r="A1575" s="36">
        <v>1573</v>
      </c>
      <c r="B1575" s="37">
        <v>256506565</v>
      </c>
      <c r="C1575" s="38">
        <v>0.11944517731640729</v>
      </c>
      <c r="D1575" s="14" t="s">
        <v>1616</v>
      </c>
      <c r="E1575" s="14" t="s">
        <v>43</v>
      </c>
    </row>
    <row r="1576" spans="1:5" x14ac:dyDescent="0.25">
      <c r="A1576" s="36">
        <v>1574</v>
      </c>
      <c r="B1576" s="37">
        <v>2052797955</v>
      </c>
      <c r="C1576" s="38">
        <v>0.9559085387531242</v>
      </c>
      <c r="D1576" s="14" t="s">
        <v>1617</v>
      </c>
      <c r="E1576" s="14" t="s">
        <v>46</v>
      </c>
    </row>
    <row r="1577" spans="1:5" x14ac:dyDescent="0.25">
      <c r="A1577" s="36">
        <v>1575</v>
      </c>
      <c r="B1577" s="37">
        <v>284764900</v>
      </c>
      <c r="C1577" s="38">
        <v>0.13260398997580819</v>
      </c>
      <c r="D1577" s="14" t="s">
        <v>1618</v>
      </c>
      <c r="E1577" s="14" t="s">
        <v>48</v>
      </c>
    </row>
    <row r="1578" spans="1:5" x14ac:dyDescent="0.25">
      <c r="A1578" s="36">
        <v>1576</v>
      </c>
      <c r="B1578" s="37">
        <v>276059942</v>
      </c>
      <c r="C1578" s="38">
        <v>0.12855042802568079</v>
      </c>
      <c r="D1578" s="14" t="s">
        <v>1619</v>
      </c>
      <c r="E1578" s="14" t="s">
        <v>37</v>
      </c>
    </row>
    <row r="1579" spans="1:5" x14ac:dyDescent="0.25">
      <c r="A1579" s="36">
        <v>1577</v>
      </c>
      <c r="B1579" s="37">
        <v>1875494948</v>
      </c>
      <c r="C1579" s="38">
        <v>0.87334539223152463</v>
      </c>
      <c r="D1579" s="14" t="s">
        <v>1620</v>
      </c>
      <c r="E1579" s="14" t="s">
        <v>40</v>
      </c>
    </row>
    <row r="1580" spans="1:5" x14ac:dyDescent="0.25">
      <c r="A1580" s="36">
        <v>1578</v>
      </c>
      <c r="B1580" s="37">
        <v>1527161788</v>
      </c>
      <c r="C1580" s="38">
        <v>0.71114012445841923</v>
      </c>
      <c r="D1580" s="14" t="s">
        <v>1621</v>
      </c>
      <c r="E1580" s="14" t="s">
        <v>43</v>
      </c>
    </row>
    <row r="1581" spans="1:5" x14ac:dyDescent="0.25">
      <c r="A1581" s="36">
        <v>1579</v>
      </c>
      <c r="B1581" s="37">
        <v>2121284553</v>
      </c>
      <c r="C1581" s="38">
        <v>0.98780009615598252</v>
      </c>
      <c r="D1581" s="14" t="s">
        <v>1622</v>
      </c>
      <c r="E1581" s="14" t="s">
        <v>46</v>
      </c>
    </row>
    <row r="1582" spans="1:5" x14ac:dyDescent="0.25">
      <c r="A1582" s="36">
        <v>1580</v>
      </c>
      <c r="B1582" s="37">
        <v>917383502</v>
      </c>
      <c r="C1582" s="38">
        <v>0.42718998269512781</v>
      </c>
      <c r="D1582" s="14" t="s">
        <v>1623</v>
      </c>
      <c r="E1582" s="14" t="s">
        <v>48</v>
      </c>
    </row>
    <row r="1583" spans="1:5" x14ac:dyDescent="0.25">
      <c r="A1583" s="36">
        <v>1581</v>
      </c>
      <c r="B1583" s="37">
        <v>1885665777</v>
      </c>
      <c r="C1583" s="38">
        <v>0.87808155355885698</v>
      </c>
      <c r="D1583" s="14" t="s">
        <v>1624</v>
      </c>
      <c r="E1583" s="14" t="s">
        <v>37</v>
      </c>
    </row>
    <row r="1584" spans="1:5" x14ac:dyDescent="0.25">
      <c r="A1584" s="36">
        <v>1582</v>
      </c>
      <c r="B1584" s="37">
        <v>365230065</v>
      </c>
      <c r="C1584" s="38">
        <v>0.17007350231058593</v>
      </c>
      <c r="D1584" s="14" t="s">
        <v>1625</v>
      </c>
      <c r="E1584" s="14" t="s">
        <v>40</v>
      </c>
    </row>
    <row r="1585" spans="1:5" x14ac:dyDescent="0.25">
      <c r="A1585" s="36">
        <v>1583</v>
      </c>
      <c r="B1585" s="37">
        <v>147251824</v>
      </c>
      <c r="C1585" s="38">
        <v>6.8569473954182808E-2</v>
      </c>
      <c r="D1585" s="14" t="s">
        <v>1626</v>
      </c>
      <c r="E1585" s="14" t="s">
        <v>43</v>
      </c>
    </row>
    <row r="1586" spans="1:5" x14ac:dyDescent="0.25">
      <c r="A1586" s="36">
        <v>1584</v>
      </c>
      <c r="B1586" s="37">
        <v>162713831</v>
      </c>
      <c r="C1586" s="38">
        <v>7.5769532041516874E-2</v>
      </c>
      <c r="D1586" s="14" t="s">
        <v>1627</v>
      </c>
      <c r="E1586" s="14" t="s">
        <v>46</v>
      </c>
    </row>
    <row r="1587" spans="1:5" x14ac:dyDescent="0.25">
      <c r="A1587" s="36">
        <v>1585</v>
      </c>
      <c r="B1587" s="37">
        <v>1615889858</v>
      </c>
      <c r="C1587" s="38">
        <v>0.75245735177419026</v>
      </c>
      <c r="D1587" s="14" t="s">
        <v>1628</v>
      </c>
      <c r="E1587" s="14" t="s">
        <v>48</v>
      </c>
    </row>
    <row r="1588" spans="1:5" x14ac:dyDescent="0.25">
      <c r="A1588" s="36">
        <v>1586</v>
      </c>
      <c r="B1588" s="37">
        <v>1171662525</v>
      </c>
      <c r="C1588" s="38">
        <v>0.5455978799358</v>
      </c>
      <c r="D1588" s="14" t="s">
        <v>1629</v>
      </c>
      <c r="E1588" s="14" t="s">
        <v>37</v>
      </c>
    </row>
    <row r="1589" spans="1:5" x14ac:dyDescent="0.25">
      <c r="A1589" s="36">
        <v>1587</v>
      </c>
      <c r="B1589" s="37">
        <v>1681986681</v>
      </c>
      <c r="C1589" s="38">
        <v>0.78323608347365448</v>
      </c>
      <c r="D1589" s="14" t="s">
        <v>1630</v>
      </c>
      <c r="E1589" s="14" t="s">
        <v>40</v>
      </c>
    </row>
    <row r="1590" spans="1:5" x14ac:dyDescent="0.25">
      <c r="A1590" s="36">
        <v>1588</v>
      </c>
      <c r="B1590" s="37">
        <v>1103763496</v>
      </c>
      <c r="C1590" s="38">
        <v>0.51397993066999126</v>
      </c>
      <c r="D1590" s="14" t="s">
        <v>1631</v>
      </c>
      <c r="E1590" s="14" t="s">
        <v>43</v>
      </c>
    </row>
    <row r="1591" spans="1:5" x14ac:dyDescent="0.25">
      <c r="A1591" s="36">
        <v>1589</v>
      </c>
      <c r="B1591" s="37">
        <v>1967598419</v>
      </c>
      <c r="C1591" s="38">
        <v>0.91623441312286746</v>
      </c>
      <c r="D1591" s="14" t="s">
        <v>1632</v>
      </c>
      <c r="E1591" s="14" t="s">
        <v>46</v>
      </c>
    </row>
    <row r="1592" spans="1:5" x14ac:dyDescent="0.25">
      <c r="A1592" s="36">
        <v>1590</v>
      </c>
      <c r="B1592" s="37">
        <v>1199668733</v>
      </c>
      <c r="C1592" s="38">
        <v>0.55863928681176123</v>
      </c>
      <c r="D1592" s="14" t="s">
        <v>1633</v>
      </c>
      <c r="E1592" s="14" t="s">
        <v>48</v>
      </c>
    </row>
    <row r="1593" spans="1:5" x14ac:dyDescent="0.25">
      <c r="A1593" s="36">
        <v>1591</v>
      </c>
      <c r="B1593" s="37">
        <v>1140348805</v>
      </c>
      <c r="C1593" s="38">
        <v>0.53101629276341589</v>
      </c>
      <c r="D1593" s="14" t="s">
        <v>1634</v>
      </c>
      <c r="E1593" s="14" t="s">
        <v>37</v>
      </c>
    </row>
    <row r="1594" spans="1:5" x14ac:dyDescent="0.25">
      <c r="A1594" s="36">
        <v>1592</v>
      </c>
      <c r="B1594" s="37">
        <v>787800018</v>
      </c>
      <c r="C1594" s="38">
        <v>0.36684797069376707</v>
      </c>
      <c r="D1594" s="14" t="s">
        <v>1635</v>
      </c>
      <c r="E1594" s="14" t="s">
        <v>40</v>
      </c>
    </row>
    <row r="1595" spans="1:5" x14ac:dyDescent="0.25">
      <c r="A1595" s="36">
        <v>1593</v>
      </c>
      <c r="B1595" s="37">
        <v>194465357</v>
      </c>
      <c r="C1595" s="38">
        <v>9.0554988519547033E-2</v>
      </c>
      <c r="D1595" s="14" t="s">
        <v>1636</v>
      </c>
      <c r="E1595" s="14" t="s">
        <v>43</v>
      </c>
    </row>
    <row r="1596" spans="1:5" x14ac:dyDescent="0.25">
      <c r="A1596" s="36">
        <v>1594</v>
      </c>
      <c r="B1596" s="37">
        <v>1104668691</v>
      </c>
      <c r="C1596" s="38">
        <v>0.51440144493915207</v>
      </c>
      <c r="D1596" s="14" t="s">
        <v>1637</v>
      </c>
      <c r="E1596" s="14" t="s">
        <v>46</v>
      </c>
    </row>
    <row r="1597" spans="1:5" x14ac:dyDescent="0.25">
      <c r="A1597" s="36">
        <v>1595</v>
      </c>
      <c r="B1597" s="37">
        <v>1153785600</v>
      </c>
      <c r="C1597" s="38">
        <v>0.53727328802331975</v>
      </c>
      <c r="D1597" s="14" t="s">
        <v>1638</v>
      </c>
      <c r="E1597" s="14" t="s">
        <v>48</v>
      </c>
    </row>
    <row r="1598" spans="1:5" x14ac:dyDescent="0.25">
      <c r="A1598" s="36">
        <v>1596</v>
      </c>
      <c r="B1598" s="37">
        <v>626813888</v>
      </c>
      <c r="C1598" s="38">
        <v>0.29188296212436771</v>
      </c>
      <c r="D1598" s="14" t="s">
        <v>1639</v>
      </c>
      <c r="E1598" s="14" t="s">
        <v>37</v>
      </c>
    </row>
    <row r="1599" spans="1:5" x14ac:dyDescent="0.25">
      <c r="A1599" s="36">
        <v>1597</v>
      </c>
      <c r="B1599" s="37">
        <v>2060867061</v>
      </c>
      <c r="C1599" s="38">
        <v>0.95966600904225652</v>
      </c>
      <c r="D1599" s="14" t="s">
        <v>1640</v>
      </c>
      <c r="E1599" s="14" t="s">
        <v>40</v>
      </c>
    </row>
    <row r="1600" spans="1:5" x14ac:dyDescent="0.25">
      <c r="A1600" s="36">
        <v>1598</v>
      </c>
      <c r="B1600" s="37">
        <v>1150701212</v>
      </c>
      <c r="C1600" s="38">
        <v>0.5358370079360143</v>
      </c>
      <c r="D1600" s="14" t="s">
        <v>1641</v>
      </c>
      <c r="E1600" s="14" t="s">
        <v>43</v>
      </c>
    </row>
    <row r="1601" spans="1:5" x14ac:dyDescent="0.25">
      <c r="A1601" s="36">
        <v>1599</v>
      </c>
      <c r="B1601" s="37">
        <v>1219278165</v>
      </c>
      <c r="C1601" s="38">
        <v>0.56777064016450696</v>
      </c>
      <c r="D1601" s="14" t="s">
        <v>1642</v>
      </c>
      <c r="E1601" s="14" t="s">
        <v>46</v>
      </c>
    </row>
    <row r="1602" spans="1:5" x14ac:dyDescent="0.25">
      <c r="A1602" s="36">
        <v>1600</v>
      </c>
      <c r="B1602" s="37">
        <v>1926197852</v>
      </c>
      <c r="C1602" s="38">
        <v>0.89695577178939978</v>
      </c>
      <c r="D1602" s="14" t="s">
        <v>1643</v>
      </c>
      <c r="E1602" s="14" t="s">
        <v>48</v>
      </c>
    </row>
    <row r="1603" spans="1:5" x14ac:dyDescent="0.25">
      <c r="A1603" s="36">
        <v>1601</v>
      </c>
      <c r="B1603" s="37">
        <v>1671115288</v>
      </c>
      <c r="C1603" s="38">
        <v>0.77817369661208879</v>
      </c>
      <c r="D1603" s="14" t="s">
        <v>1644</v>
      </c>
      <c r="E1603" s="14" t="s">
        <v>37</v>
      </c>
    </row>
    <row r="1604" spans="1:5" x14ac:dyDescent="0.25">
      <c r="A1604" s="36">
        <v>1602</v>
      </c>
      <c r="B1604" s="37">
        <v>95539793</v>
      </c>
      <c r="C1604" s="38">
        <v>4.4489183018211829E-2</v>
      </c>
      <c r="D1604" s="14" t="s">
        <v>1645</v>
      </c>
      <c r="E1604" s="14" t="s">
        <v>40</v>
      </c>
    </row>
    <row r="1605" spans="1:5" x14ac:dyDescent="0.25">
      <c r="A1605" s="36">
        <v>1603</v>
      </c>
      <c r="B1605" s="37">
        <v>1781336257</v>
      </c>
      <c r="C1605" s="38">
        <v>0.82949933494883554</v>
      </c>
      <c r="D1605" s="14" t="s">
        <v>1646</v>
      </c>
      <c r="E1605" s="14" t="s">
        <v>43</v>
      </c>
    </row>
    <row r="1606" spans="1:5" x14ac:dyDescent="0.25">
      <c r="A1606" s="36">
        <v>1604</v>
      </c>
      <c r="B1606" s="37">
        <v>1831034014</v>
      </c>
      <c r="C1606" s="38">
        <v>0.85264165646053924</v>
      </c>
      <c r="D1606" s="14" t="s">
        <v>1647</v>
      </c>
      <c r="E1606" s="14" t="s">
        <v>46</v>
      </c>
    </row>
    <row r="1607" spans="1:5" x14ac:dyDescent="0.25">
      <c r="A1607" s="36">
        <v>1605</v>
      </c>
      <c r="B1607" s="37">
        <v>1772438352</v>
      </c>
      <c r="C1607" s="38">
        <v>0.82535592505026423</v>
      </c>
      <c r="D1607" s="14" t="s">
        <v>1648</v>
      </c>
      <c r="E1607" s="14" t="s">
        <v>48</v>
      </c>
    </row>
    <row r="1608" spans="1:5" x14ac:dyDescent="0.25">
      <c r="A1608" s="36">
        <v>1606</v>
      </c>
      <c r="B1608" s="37">
        <v>92943601</v>
      </c>
      <c r="C1608" s="38">
        <v>4.3280236908830816E-2</v>
      </c>
      <c r="D1608" s="14" t="s">
        <v>1649</v>
      </c>
      <c r="E1608" s="14" t="s">
        <v>37</v>
      </c>
    </row>
    <row r="1609" spans="1:5" x14ac:dyDescent="0.25">
      <c r="A1609" s="36">
        <v>1607</v>
      </c>
      <c r="B1609" s="37">
        <v>1091945221</v>
      </c>
      <c r="C1609" s="38">
        <v>0.50847661751717177</v>
      </c>
      <c r="D1609" s="14" t="s">
        <v>1650</v>
      </c>
      <c r="E1609" s="14" t="s">
        <v>40</v>
      </c>
    </row>
    <row r="1610" spans="1:5" x14ac:dyDescent="0.25">
      <c r="A1610" s="36">
        <v>1608</v>
      </c>
      <c r="B1610" s="37">
        <v>1103610564</v>
      </c>
      <c r="C1610" s="38">
        <v>0.51390871615796752</v>
      </c>
      <c r="D1610" s="14" t="s">
        <v>1651</v>
      </c>
      <c r="E1610" s="14" t="s">
        <v>43</v>
      </c>
    </row>
    <row r="1611" spans="1:5" x14ac:dyDescent="0.25">
      <c r="A1611" s="36">
        <v>1609</v>
      </c>
      <c r="B1611" s="37">
        <v>811531465</v>
      </c>
      <c r="C1611" s="38">
        <v>0.37789878685860839</v>
      </c>
      <c r="D1611" s="14" t="s">
        <v>1652</v>
      </c>
      <c r="E1611" s="14" t="s">
        <v>46</v>
      </c>
    </row>
    <row r="1612" spans="1:5" x14ac:dyDescent="0.25">
      <c r="A1612" s="36">
        <v>1610</v>
      </c>
      <c r="B1612" s="37">
        <v>967080114</v>
      </c>
      <c r="C1612" s="38">
        <v>0.45033177102465732</v>
      </c>
      <c r="D1612" s="14" t="s">
        <v>1653</v>
      </c>
      <c r="E1612" s="14" t="s">
        <v>48</v>
      </c>
    </row>
    <row r="1613" spans="1:5" x14ac:dyDescent="0.25">
      <c r="A1613" s="36">
        <v>1611</v>
      </c>
      <c r="B1613" s="37">
        <v>2068672637</v>
      </c>
      <c r="C1613" s="38">
        <v>0.96330076361228745</v>
      </c>
      <c r="D1613" s="14" t="s">
        <v>1654</v>
      </c>
      <c r="E1613" s="14" t="s">
        <v>37</v>
      </c>
    </row>
    <row r="1614" spans="1:5" x14ac:dyDescent="0.25">
      <c r="A1614" s="36">
        <v>1612</v>
      </c>
      <c r="B1614" s="37">
        <v>1451028262</v>
      </c>
      <c r="C1614" s="38">
        <v>0.6756876887174732</v>
      </c>
      <c r="D1614" s="14" t="s">
        <v>1655</v>
      </c>
      <c r="E1614" s="14" t="s">
        <v>40</v>
      </c>
    </row>
    <row r="1615" spans="1:5" x14ac:dyDescent="0.25">
      <c r="A1615" s="36">
        <v>1613</v>
      </c>
      <c r="B1615" s="37">
        <v>1121412520</v>
      </c>
      <c r="C1615" s="38">
        <v>0.52219839790938349</v>
      </c>
      <c r="D1615" s="14" t="s">
        <v>1656</v>
      </c>
      <c r="E1615" s="14" t="s">
        <v>43</v>
      </c>
    </row>
    <row r="1616" spans="1:5" x14ac:dyDescent="0.25">
      <c r="A1616" s="36">
        <v>1614</v>
      </c>
      <c r="B1616" s="37">
        <v>1632981059</v>
      </c>
      <c r="C1616" s="38">
        <v>0.76041606243719162</v>
      </c>
      <c r="D1616" s="14" t="s">
        <v>1657</v>
      </c>
      <c r="E1616" s="14" t="s">
        <v>46</v>
      </c>
    </row>
    <row r="1617" spans="1:5" x14ac:dyDescent="0.25">
      <c r="A1617" s="36">
        <v>1615</v>
      </c>
      <c r="B1617" s="37">
        <v>39651594</v>
      </c>
      <c r="C1617" s="38">
        <v>1.84642123144419E-2</v>
      </c>
      <c r="D1617" s="14" t="s">
        <v>1658</v>
      </c>
      <c r="E1617" s="14" t="s">
        <v>48</v>
      </c>
    </row>
    <row r="1618" spans="1:5" x14ac:dyDescent="0.25">
      <c r="A1618" s="36">
        <v>1616</v>
      </c>
      <c r="B1618" s="37">
        <v>1321000175</v>
      </c>
      <c r="C1618" s="38">
        <v>0.61513864231069504</v>
      </c>
      <c r="D1618" s="14" t="s">
        <v>1659</v>
      </c>
      <c r="E1618" s="14" t="s">
        <v>37</v>
      </c>
    </row>
    <row r="1619" spans="1:5" x14ac:dyDescent="0.25">
      <c r="A1619" s="36">
        <v>1617</v>
      </c>
      <c r="B1619" s="37">
        <v>259261740</v>
      </c>
      <c r="C1619" s="38">
        <v>0.12072815565426283</v>
      </c>
      <c r="D1619" s="14" t="s">
        <v>1660</v>
      </c>
      <c r="E1619" s="14" t="s">
        <v>40</v>
      </c>
    </row>
    <row r="1620" spans="1:5" x14ac:dyDescent="0.25">
      <c r="A1620" s="36">
        <v>1618</v>
      </c>
      <c r="B1620" s="37">
        <v>1085394838</v>
      </c>
      <c r="C1620" s="38">
        <v>0.50542635773561262</v>
      </c>
      <c r="D1620" s="14" t="s">
        <v>1661</v>
      </c>
      <c r="E1620" s="14" t="s">
        <v>43</v>
      </c>
    </row>
    <row r="1621" spans="1:5" x14ac:dyDescent="0.25">
      <c r="A1621" s="36">
        <v>1619</v>
      </c>
      <c r="B1621" s="37">
        <v>601823308</v>
      </c>
      <c r="C1621" s="38">
        <v>0.28024581646558167</v>
      </c>
      <c r="D1621" s="14" t="s">
        <v>1662</v>
      </c>
      <c r="E1621" s="14" t="s">
        <v>46</v>
      </c>
    </row>
    <row r="1622" spans="1:5" x14ac:dyDescent="0.25">
      <c r="A1622" s="36">
        <v>1620</v>
      </c>
      <c r="B1622" s="37">
        <v>1373934951</v>
      </c>
      <c r="C1622" s="38">
        <v>0.63978831825768034</v>
      </c>
      <c r="D1622" s="14" t="s">
        <v>1663</v>
      </c>
      <c r="E1622" s="14" t="s">
        <v>48</v>
      </c>
    </row>
    <row r="1623" spans="1:5" x14ac:dyDescent="0.25">
      <c r="A1623" s="36">
        <v>1621</v>
      </c>
      <c r="B1623" s="37">
        <v>263246730</v>
      </c>
      <c r="C1623" s="38">
        <v>0.1225838112284354</v>
      </c>
      <c r="D1623" s="14" t="s">
        <v>1664</v>
      </c>
      <c r="E1623" s="14" t="s">
        <v>37</v>
      </c>
    </row>
    <row r="1624" spans="1:5" x14ac:dyDescent="0.25">
      <c r="A1624" s="36">
        <v>1622</v>
      </c>
      <c r="B1624" s="37">
        <v>623889005</v>
      </c>
      <c r="C1624" s="38">
        <v>0.29052095734072891</v>
      </c>
      <c r="D1624" s="14" t="s">
        <v>1665</v>
      </c>
      <c r="E1624" s="14" t="s">
        <v>40</v>
      </c>
    </row>
    <row r="1625" spans="1:5" x14ac:dyDescent="0.25">
      <c r="A1625" s="36">
        <v>1623</v>
      </c>
      <c r="B1625" s="37">
        <v>1865419235</v>
      </c>
      <c r="C1625" s="38">
        <v>0.8686535227432165</v>
      </c>
      <c r="D1625" s="14" t="s">
        <v>1666</v>
      </c>
      <c r="E1625" s="14" t="s">
        <v>43</v>
      </c>
    </row>
    <row r="1626" spans="1:5" x14ac:dyDescent="0.25">
      <c r="A1626" s="36">
        <v>1624</v>
      </c>
      <c r="B1626" s="37">
        <v>2098263533</v>
      </c>
      <c r="C1626" s="38">
        <v>0.97708009834265341</v>
      </c>
      <c r="D1626" s="14" t="s">
        <v>1667</v>
      </c>
      <c r="E1626" s="14" t="s">
        <v>46</v>
      </c>
    </row>
    <row r="1627" spans="1:5" x14ac:dyDescent="0.25">
      <c r="A1627" s="36">
        <v>1625</v>
      </c>
      <c r="B1627" s="37">
        <v>1552265070</v>
      </c>
      <c r="C1627" s="38">
        <v>0.72282975107563185</v>
      </c>
      <c r="D1627" s="14" t="s">
        <v>1668</v>
      </c>
      <c r="E1627" s="14" t="s">
        <v>48</v>
      </c>
    </row>
    <row r="1628" spans="1:5" x14ac:dyDescent="0.25">
      <c r="A1628" s="36">
        <v>1626</v>
      </c>
      <c r="B1628" s="37">
        <v>1424952277</v>
      </c>
      <c r="C1628" s="38">
        <v>0.66354511196890154</v>
      </c>
      <c r="D1628" s="14" t="s">
        <v>1669</v>
      </c>
      <c r="E1628" s="14" t="s">
        <v>37</v>
      </c>
    </row>
    <row r="1629" spans="1:5" x14ac:dyDescent="0.25">
      <c r="A1629" s="36">
        <v>1627</v>
      </c>
      <c r="B1629" s="37">
        <v>1931953559</v>
      </c>
      <c r="C1629" s="38">
        <v>0.89963598172163406</v>
      </c>
      <c r="D1629" s="14" t="s">
        <v>1670</v>
      </c>
      <c r="E1629" s="14" t="s">
        <v>40</v>
      </c>
    </row>
    <row r="1630" spans="1:5" x14ac:dyDescent="0.25">
      <c r="A1630" s="36">
        <v>1628</v>
      </c>
      <c r="B1630" s="37">
        <v>117276549</v>
      </c>
      <c r="C1630" s="38">
        <v>5.4611148803779458E-2</v>
      </c>
      <c r="D1630" s="14" t="s">
        <v>1671</v>
      </c>
      <c r="E1630" s="14" t="s">
        <v>43</v>
      </c>
    </row>
    <row r="1631" spans="1:5" x14ac:dyDescent="0.25">
      <c r="A1631" s="36">
        <v>1629</v>
      </c>
      <c r="B1631" s="37">
        <v>203148854</v>
      </c>
      <c r="C1631" s="38">
        <v>9.4598556912782863E-2</v>
      </c>
      <c r="D1631" s="14" t="s">
        <v>1672</v>
      </c>
      <c r="E1631" s="14" t="s">
        <v>46</v>
      </c>
    </row>
    <row r="1632" spans="1:5" x14ac:dyDescent="0.25">
      <c r="A1632" s="36">
        <v>1630</v>
      </c>
      <c r="B1632" s="37">
        <v>290084659</v>
      </c>
      <c r="C1632" s="38">
        <v>0.13508119580106864</v>
      </c>
      <c r="D1632" s="14" t="s">
        <v>1673</v>
      </c>
      <c r="E1632" s="14" t="s">
        <v>48</v>
      </c>
    </row>
    <row r="1633" spans="1:5" x14ac:dyDescent="0.25">
      <c r="A1633" s="36">
        <v>1631</v>
      </c>
      <c r="B1633" s="37">
        <v>1072832836</v>
      </c>
      <c r="C1633" s="38">
        <v>0.49957671971040624</v>
      </c>
      <c r="D1633" s="14" t="s">
        <v>1674</v>
      </c>
      <c r="E1633" s="14" t="s">
        <v>37</v>
      </c>
    </row>
    <row r="1634" spans="1:5" x14ac:dyDescent="0.25">
      <c r="A1634" s="36">
        <v>1632</v>
      </c>
      <c r="B1634" s="37">
        <v>883715097</v>
      </c>
      <c r="C1634" s="38">
        <v>0.41151190987392883</v>
      </c>
      <c r="D1634" s="14" t="s">
        <v>1675</v>
      </c>
      <c r="E1634" s="14" t="s">
        <v>40</v>
      </c>
    </row>
    <row r="1635" spans="1:5" x14ac:dyDescent="0.25">
      <c r="A1635" s="36">
        <v>1633</v>
      </c>
      <c r="B1635" s="37">
        <v>717085264</v>
      </c>
      <c r="C1635" s="38">
        <v>0.33391884729914312</v>
      </c>
      <c r="D1635" s="14" t="s">
        <v>1676</v>
      </c>
      <c r="E1635" s="14" t="s">
        <v>43</v>
      </c>
    </row>
    <row r="1636" spans="1:5" x14ac:dyDescent="0.25">
      <c r="A1636" s="36">
        <v>1634</v>
      </c>
      <c r="B1636" s="37">
        <v>1592222871</v>
      </c>
      <c r="C1636" s="38">
        <v>0.74143655213594273</v>
      </c>
      <c r="D1636" s="14" t="s">
        <v>1677</v>
      </c>
      <c r="E1636" s="14" t="s">
        <v>46</v>
      </c>
    </row>
    <row r="1637" spans="1:5" x14ac:dyDescent="0.25">
      <c r="A1637" s="36">
        <v>1635</v>
      </c>
      <c r="B1637" s="37">
        <v>320146918</v>
      </c>
      <c r="C1637" s="38">
        <v>0.14908002603290604</v>
      </c>
      <c r="D1637" s="14" t="s">
        <v>1678</v>
      </c>
      <c r="E1637" s="14" t="s">
        <v>48</v>
      </c>
    </row>
    <row r="1638" spans="1:5" x14ac:dyDescent="0.25">
      <c r="A1638" s="36">
        <v>1636</v>
      </c>
      <c r="B1638" s="37">
        <v>1938036064</v>
      </c>
      <c r="C1638" s="38">
        <v>0.90246836883130876</v>
      </c>
      <c r="D1638" s="14" t="s">
        <v>1679</v>
      </c>
      <c r="E1638" s="14" t="s">
        <v>37</v>
      </c>
    </row>
    <row r="1639" spans="1:5" x14ac:dyDescent="0.25">
      <c r="A1639" s="36">
        <v>1637</v>
      </c>
      <c r="B1639" s="37">
        <v>1360999716</v>
      </c>
      <c r="C1639" s="38">
        <v>0.63376488007314735</v>
      </c>
      <c r="D1639" s="14" t="s">
        <v>1680</v>
      </c>
      <c r="E1639" s="14" t="s">
        <v>40</v>
      </c>
    </row>
    <row r="1640" spans="1:5" x14ac:dyDescent="0.25">
      <c r="A1640" s="36">
        <v>1638</v>
      </c>
      <c r="B1640" s="37">
        <v>2059736824</v>
      </c>
      <c r="C1640" s="38">
        <v>0.95913970142562854</v>
      </c>
      <c r="D1640" s="14" t="s">
        <v>1681</v>
      </c>
      <c r="E1640" s="14" t="s">
        <v>43</v>
      </c>
    </row>
    <row r="1641" spans="1:5" x14ac:dyDescent="0.25">
      <c r="A1641" s="36">
        <v>1639</v>
      </c>
      <c r="B1641" s="37">
        <v>1038633559</v>
      </c>
      <c r="C1641" s="38">
        <v>0.48365144035017649</v>
      </c>
      <c r="D1641" s="14" t="s">
        <v>1682</v>
      </c>
      <c r="E1641" s="14" t="s">
        <v>46</v>
      </c>
    </row>
    <row r="1642" spans="1:5" x14ac:dyDescent="0.25">
      <c r="A1642" s="36">
        <v>1640</v>
      </c>
      <c r="B1642" s="37">
        <v>828681348</v>
      </c>
      <c r="C1642" s="38">
        <v>0.38588482345728431</v>
      </c>
      <c r="D1642" s="14" t="s">
        <v>1683</v>
      </c>
      <c r="E1642" s="14" t="s">
        <v>48</v>
      </c>
    </row>
    <row r="1643" spans="1:5" x14ac:dyDescent="0.25">
      <c r="A1643" s="36">
        <v>1641</v>
      </c>
      <c r="B1643" s="37">
        <v>875961118</v>
      </c>
      <c r="C1643" s="38">
        <v>0.40790118202935027</v>
      </c>
      <c r="D1643" s="14" t="s">
        <v>1684</v>
      </c>
      <c r="E1643" s="14" t="s">
        <v>37</v>
      </c>
    </row>
    <row r="1644" spans="1:5" x14ac:dyDescent="0.25">
      <c r="A1644" s="36">
        <v>1642</v>
      </c>
      <c r="B1644" s="37">
        <v>401908759</v>
      </c>
      <c r="C1644" s="38">
        <v>0.187153350183346</v>
      </c>
      <c r="D1644" s="14" t="s">
        <v>1685</v>
      </c>
      <c r="E1644" s="14" t="s">
        <v>40</v>
      </c>
    </row>
    <row r="1645" spans="1:5" x14ac:dyDescent="0.25">
      <c r="A1645" s="36">
        <v>1643</v>
      </c>
      <c r="B1645" s="37">
        <v>1937781611</v>
      </c>
      <c r="C1645" s="38">
        <v>0.90234987991971427</v>
      </c>
      <c r="D1645" s="14" t="s">
        <v>1686</v>
      </c>
      <c r="E1645" s="14" t="s">
        <v>43</v>
      </c>
    </row>
    <row r="1646" spans="1:5" x14ac:dyDescent="0.25">
      <c r="A1646" s="36">
        <v>1644</v>
      </c>
      <c r="B1646" s="37">
        <v>871898350</v>
      </c>
      <c r="C1646" s="38">
        <v>0.40600930825155662</v>
      </c>
      <c r="D1646" s="14" t="s">
        <v>1687</v>
      </c>
      <c r="E1646" s="14" t="s">
        <v>46</v>
      </c>
    </row>
    <row r="1647" spans="1:5" x14ac:dyDescent="0.25">
      <c r="A1647" s="36">
        <v>1645</v>
      </c>
      <c r="B1647" s="37">
        <v>249007962</v>
      </c>
      <c r="C1647" s="38">
        <v>0.11595336818879161</v>
      </c>
      <c r="D1647" s="14" t="s">
        <v>1688</v>
      </c>
      <c r="E1647" s="14" t="s">
        <v>48</v>
      </c>
    </row>
    <row r="1648" spans="1:5" x14ac:dyDescent="0.25">
      <c r="A1648" s="36">
        <v>1646</v>
      </c>
      <c r="B1648" s="37">
        <v>1615595744</v>
      </c>
      <c r="C1648" s="38">
        <v>0.7523203942702712</v>
      </c>
      <c r="D1648" s="14" t="s">
        <v>1689</v>
      </c>
      <c r="E1648" s="14" t="s">
        <v>37</v>
      </c>
    </row>
    <row r="1649" spans="1:5" x14ac:dyDescent="0.25">
      <c r="A1649" s="36">
        <v>1647</v>
      </c>
      <c r="B1649" s="37">
        <v>1237828191</v>
      </c>
      <c r="C1649" s="38">
        <v>0.57640866915528133</v>
      </c>
      <c r="D1649" s="14" t="s">
        <v>1690</v>
      </c>
      <c r="E1649" s="14" t="s">
        <v>40</v>
      </c>
    </row>
    <row r="1650" spans="1:5" x14ac:dyDescent="0.25">
      <c r="A1650" s="36">
        <v>1648</v>
      </c>
      <c r="B1650" s="37">
        <v>240865289</v>
      </c>
      <c r="C1650" s="38">
        <v>0.11216164059571998</v>
      </c>
      <c r="D1650" s="14" t="s">
        <v>1691</v>
      </c>
      <c r="E1650" s="14" t="s">
        <v>43</v>
      </c>
    </row>
    <row r="1651" spans="1:5" x14ac:dyDescent="0.25">
      <c r="A1651" s="36">
        <v>1649</v>
      </c>
      <c r="B1651" s="37">
        <v>702116636</v>
      </c>
      <c r="C1651" s="38">
        <v>0.32694853671218665</v>
      </c>
      <c r="D1651" s="14" t="s">
        <v>1692</v>
      </c>
      <c r="E1651" s="14" t="s">
        <v>46</v>
      </c>
    </row>
    <row r="1652" spans="1:5" x14ac:dyDescent="0.25">
      <c r="A1652" s="36">
        <v>1650</v>
      </c>
      <c r="B1652" s="37">
        <v>1041973665</v>
      </c>
      <c r="C1652" s="38">
        <v>0.4852067984106051</v>
      </c>
      <c r="D1652" s="14" t="s">
        <v>1693</v>
      </c>
      <c r="E1652" s="14" t="s">
        <v>48</v>
      </c>
    </row>
    <row r="1653" spans="1:5" x14ac:dyDescent="0.25">
      <c r="A1653" s="36">
        <v>1651</v>
      </c>
      <c r="B1653" s="37">
        <v>683458915</v>
      </c>
      <c r="C1653" s="38">
        <v>0.31826035832905225</v>
      </c>
      <c r="D1653" s="14" t="s">
        <v>1694</v>
      </c>
      <c r="E1653" s="14" t="s">
        <v>37</v>
      </c>
    </row>
    <row r="1654" spans="1:5" x14ac:dyDescent="0.25">
      <c r="A1654" s="36">
        <v>1652</v>
      </c>
      <c r="B1654" s="37">
        <v>1707429054</v>
      </c>
      <c r="C1654" s="38">
        <v>0.79508361164251506</v>
      </c>
      <c r="D1654" s="14" t="s">
        <v>1695</v>
      </c>
      <c r="E1654" s="14" t="s">
        <v>40</v>
      </c>
    </row>
    <row r="1655" spans="1:5" x14ac:dyDescent="0.25">
      <c r="A1655" s="36">
        <v>1653</v>
      </c>
      <c r="B1655" s="37">
        <v>44678834</v>
      </c>
      <c r="C1655" s="38">
        <v>2.0805203365536967E-2</v>
      </c>
      <c r="D1655" s="14" t="s">
        <v>1696</v>
      </c>
      <c r="E1655" s="14" t="s">
        <v>43</v>
      </c>
    </row>
    <row r="1656" spans="1:5" x14ac:dyDescent="0.25">
      <c r="A1656" s="36">
        <v>1654</v>
      </c>
      <c r="B1656" s="37">
        <v>543888816</v>
      </c>
      <c r="C1656" s="38">
        <v>0.25326796632877924</v>
      </c>
      <c r="D1656" s="14" t="s">
        <v>1697</v>
      </c>
      <c r="E1656" s="14" t="s">
        <v>46</v>
      </c>
    </row>
    <row r="1657" spans="1:5" x14ac:dyDescent="0.25">
      <c r="A1657" s="36">
        <v>1655</v>
      </c>
      <c r="B1657" s="37">
        <v>716807186</v>
      </c>
      <c r="C1657" s="38">
        <v>0.33378935713963087</v>
      </c>
      <c r="D1657" s="14" t="s">
        <v>1698</v>
      </c>
      <c r="E1657" s="14" t="s">
        <v>48</v>
      </c>
    </row>
    <row r="1658" spans="1:5" x14ac:dyDescent="0.25">
      <c r="A1658" s="36">
        <v>1656</v>
      </c>
      <c r="B1658" s="37">
        <v>433424026</v>
      </c>
      <c r="C1658" s="38">
        <v>0.2018287899912469</v>
      </c>
      <c r="D1658" s="14" t="s">
        <v>1699</v>
      </c>
      <c r="E1658" s="14" t="s">
        <v>37</v>
      </c>
    </row>
    <row r="1659" spans="1:5" x14ac:dyDescent="0.25">
      <c r="A1659" s="36">
        <v>1657</v>
      </c>
      <c r="B1659" s="37">
        <v>1157055870</v>
      </c>
      <c r="C1659" s="38">
        <v>0.53879612616207273</v>
      </c>
      <c r="D1659" s="14" t="s">
        <v>1700</v>
      </c>
      <c r="E1659" s="14" t="s">
        <v>40</v>
      </c>
    </row>
    <row r="1660" spans="1:5" x14ac:dyDescent="0.25">
      <c r="A1660" s="36">
        <v>1658</v>
      </c>
      <c r="B1660" s="37">
        <v>201940493</v>
      </c>
      <c r="C1660" s="38">
        <v>9.403586997372837E-2</v>
      </c>
      <c r="D1660" s="14" t="s">
        <v>1701</v>
      </c>
      <c r="E1660" s="14" t="s">
        <v>43</v>
      </c>
    </row>
    <row r="1661" spans="1:5" x14ac:dyDescent="0.25">
      <c r="A1661" s="36">
        <v>1659</v>
      </c>
      <c r="B1661" s="37">
        <v>1135168373</v>
      </c>
      <c r="C1661" s="38">
        <v>0.52860396612836236</v>
      </c>
      <c r="D1661" s="14" t="s">
        <v>1702</v>
      </c>
      <c r="E1661" s="14" t="s">
        <v>46</v>
      </c>
    </row>
    <row r="1662" spans="1:5" x14ac:dyDescent="0.25">
      <c r="A1662" s="36">
        <v>1660</v>
      </c>
      <c r="B1662" s="37">
        <v>2123551570</v>
      </c>
      <c r="C1662" s="38">
        <v>0.98885575821104266</v>
      </c>
      <c r="D1662" s="14" t="s">
        <v>1703</v>
      </c>
      <c r="E1662" s="14" t="s">
        <v>48</v>
      </c>
    </row>
    <row r="1663" spans="1:5" x14ac:dyDescent="0.25">
      <c r="A1663" s="36">
        <v>1661</v>
      </c>
      <c r="B1663" s="37">
        <v>1295087648</v>
      </c>
      <c r="C1663" s="38">
        <v>0.60307218162485965</v>
      </c>
      <c r="D1663" s="14" t="s">
        <v>1704</v>
      </c>
      <c r="E1663" s="14" t="s">
        <v>37</v>
      </c>
    </row>
    <row r="1664" spans="1:5" x14ac:dyDescent="0.25">
      <c r="A1664" s="36">
        <v>1662</v>
      </c>
      <c r="B1664" s="37">
        <v>419307060</v>
      </c>
      <c r="C1664" s="38">
        <v>0.19525506542774618</v>
      </c>
      <c r="D1664" s="14" t="s">
        <v>1705</v>
      </c>
      <c r="E1664" s="14" t="s">
        <v>40</v>
      </c>
    </row>
    <row r="1665" spans="1:5" x14ac:dyDescent="0.25">
      <c r="A1665" s="36">
        <v>1663</v>
      </c>
      <c r="B1665" s="37">
        <v>880290194</v>
      </c>
      <c r="C1665" s="38">
        <v>0.40991706513330206</v>
      </c>
      <c r="D1665" s="14" t="s">
        <v>1706</v>
      </c>
      <c r="E1665" s="14" t="s">
        <v>43</v>
      </c>
    </row>
    <row r="1666" spans="1:5" x14ac:dyDescent="0.25">
      <c r="A1666" s="36">
        <v>1664</v>
      </c>
      <c r="B1666" s="37">
        <v>1449501974</v>
      </c>
      <c r="C1666" s="38">
        <v>0.67497695548225989</v>
      </c>
      <c r="D1666" s="14" t="s">
        <v>1707</v>
      </c>
      <c r="E1666" s="14" t="s">
        <v>46</v>
      </c>
    </row>
    <row r="1667" spans="1:5" x14ac:dyDescent="0.25">
      <c r="A1667" s="36">
        <v>1665</v>
      </c>
      <c r="B1667" s="37">
        <v>1050033721</v>
      </c>
      <c r="C1667" s="38">
        <v>0.48896005446508528</v>
      </c>
      <c r="D1667" s="14" t="s">
        <v>1708</v>
      </c>
      <c r="E1667" s="14" t="s">
        <v>48</v>
      </c>
    </row>
    <row r="1668" spans="1:5" x14ac:dyDescent="0.25">
      <c r="A1668" s="36">
        <v>1666</v>
      </c>
      <c r="B1668" s="37">
        <v>1517829506</v>
      </c>
      <c r="C1668" s="38">
        <v>0.70679444200675678</v>
      </c>
      <c r="D1668" s="14" t="s">
        <v>1709</v>
      </c>
      <c r="E1668" s="14" t="s">
        <v>37</v>
      </c>
    </row>
    <row r="1669" spans="1:5" x14ac:dyDescent="0.25">
      <c r="A1669" s="36">
        <v>1667</v>
      </c>
      <c r="B1669" s="37">
        <v>1053807254</v>
      </c>
      <c r="C1669" s="38">
        <v>0.49071724270038181</v>
      </c>
      <c r="D1669" s="14" t="s">
        <v>1710</v>
      </c>
      <c r="E1669" s="14" t="s">
        <v>40</v>
      </c>
    </row>
    <row r="1670" spans="1:5" x14ac:dyDescent="0.25">
      <c r="A1670" s="36">
        <v>1668</v>
      </c>
      <c r="B1670" s="37">
        <v>1268178856</v>
      </c>
      <c r="C1670" s="38">
        <v>0.59054179889640857</v>
      </c>
      <c r="D1670" s="14" t="s">
        <v>1711</v>
      </c>
      <c r="E1670" s="14" t="s">
        <v>43</v>
      </c>
    </row>
    <row r="1671" spans="1:5" x14ac:dyDescent="0.25">
      <c r="A1671" s="36">
        <v>1669</v>
      </c>
      <c r="B1671" s="37">
        <v>128728739</v>
      </c>
      <c r="C1671" s="38">
        <v>5.9943990344155575E-2</v>
      </c>
      <c r="D1671" s="14" t="s">
        <v>1712</v>
      </c>
      <c r="E1671" s="14" t="s">
        <v>46</v>
      </c>
    </row>
    <row r="1672" spans="1:5" x14ac:dyDescent="0.25">
      <c r="A1672" s="36">
        <v>1670</v>
      </c>
      <c r="B1672" s="37">
        <v>1594857832</v>
      </c>
      <c r="C1672" s="38">
        <v>0.74266355146777985</v>
      </c>
      <c r="D1672" s="14" t="s">
        <v>1713</v>
      </c>
      <c r="E1672" s="14" t="s">
        <v>48</v>
      </c>
    </row>
    <row r="1673" spans="1:5" x14ac:dyDescent="0.25">
      <c r="A1673" s="36">
        <v>1671</v>
      </c>
      <c r="B1673" s="37">
        <v>1116998269</v>
      </c>
      <c r="C1673" s="38">
        <v>0.52014285210526678</v>
      </c>
      <c r="D1673" s="14" t="s">
        <v>1714</v>
      </c>
      <c r="E1673" s="14" t="s">
        <v>37</v>
      </c>
    </row>
    <row r="1674" spans="1:5" x14ac:dyDescent="0.25">
      <c r="A1674" s="36">
        <v>1672</v>
      </c>
      <c r="B1674" s="37">
        <v>543391671</v>
      </c>
      <c r="C1674" s="38">
        <v>0.25303646514799283</v>
      </c>
      <c r="D1674" s="14" t="s">
        <v>1715</v>
      </c>
      <c r="E1674" s="14" t="s">
        <v>40</v>
      </c>
    </row>
    <row r="1675" spans="1:5" x14ac:dyDescent="0.25">
      <c r="A1675" s="36">
        <v>1673</v>
      </c>
      <c r="B1675" s="37">
        <v>2135213803</v>
      </c>
      <c r="C1675" s="38">
        <v>0.99428640864523421</v>
      </c>
      <c r="D1675" s="14" t="s">
        <v>1716</v>
      </c>
      <c r="E1675" s="14" t="s">
        <v>43</v>
      </c>
    </row>
    <row r="1676" spans="1:5" x14ac:dyDescent="0.25">
      <c r="A1676" s="36">
        <v>1674</v>
      </c>
      <c r="B1676" s="37">
        <v>121303093</v>
      </c>
      <c r="C1676" s="38">
        <v>5.6486154467093833E-2</v>
      </c>
      <c r="D1676" s="14" t="s">
        <v>1717</v>
      </c>
      <c r="E1676" s="14" t="s">
        <v>46</v>
      </c>
    </row>
    <row r="1677" spans="1:5" x14ac:dyDescent="0.25">
      <c r="A1677" s="36">
        <v>1675</v>
      </c>
      <c r="B1677" s="37">
        <v>189838167</v>
      </c>
      <c r="C1677" s="38">
        <v>8.8400285266526171E-2</v>
      </c>
      <c r="D1677" s="14" t="s">
        <v>1718</v>
      </c>
      <c r="E1677" s="14" t="s">
        <v>48</v>
      </c>
    </row>
    <row r="1678" spans="1:5" x14ac:dyDescent="0.25">
      <c r="A1678" s="36">
        <v>1676</v>
      </c>
      <c r="B1678" s="37">
        <v>2055075730</v>
      </c>
      <c r="C1678" s="38">
        <v>0.95696921039231553</v>
      </c>
      <c r="D1678" s="14" t="s">
        <v>1719</v>
      </c>
      <c r="E1678" s="14" t="s">
        <v>37</v>
      </c>
    </row>
    <row r="1679" spans="1:5" x14ac:dyDescent="0.25">
      <c r="A1679" s="36">
        <v>1677</v>
      </c>
      <c r="B1679" s="37">
        <v>1389559820</v>
      </c>
      <c r="C1679" s="38">
        <v>0.6470642148736232</v>
      </c>
      <c r="D1679" s="14" t="s">
        <v>1720</v>
      </c>
      <c r="E1679" s="14" t="s">
        <v>40</v>
      </c>
    </row>
    <row r="1680" spans="1:5" x14ac:dyDescent="0.25">
      <c r="A1680" s="36">
        <v>1678</v>
      </c>
      <c r="B1680" s="37">
        <v>73870138</v>
      </c>
      <c r="C1680" s="38">
        <v>3.4398463570698382E-2</v>
      </c>
      <c r="D1680" s="14" t="s">
        <v>1721</v>
      </c>
      <c r="E1680" s="14" t="s">
        <v>43</v>
      </c>
    </row>
    <row r="1681" spans="1:5" x14ac:dyDescent="0.25">
      <c r="A1681" s="36">
        <v>1679</v>
      </c>
      <c r="B1681" s="37">
        <v>1234182394</v>
      </c>
      <c r="C1681" s="38">
        <v>0.57471096263020804</v>
      </c>
      <c r="D1681" s="14" t="s">
        <v>1722</v>
      </c>
      <c r="E1681" s="14" t="s">
        <v>46</v>
      </c>
    </row>
    <row r="1682" spans="1:5" x14ac:dyDescent="0.25">
      <c r="A1682" s="36">
        <v>1680</v>
      </c>
      <c r="B1682" s="37">
        <v>509400286</v>
      </c>
      <c r="C1682" s="38">
        <v>0.23720799304414913</v>
      </c>
      <c r="D1682" s="14" t="s">
        <v>1723</v>
      </c>
      <c r="E1682" s="14" t="s">
        <v>48</v>
      </c>
    </row>
    <row r="1683" spans="1:5" x14ac:dyDescent="0.25">
      <c r="A1683" s="36">
        <v>1681</v>
      </c>
      <c r="B1683" s="37">
        <v>229260540</v>
      </c>
      <c r="C1683" s="38">
        <v>0.1067577582349804</v>
      </c>
      <c r="D1683" s="14" t="s">
        <v>1724</v>
      </c>
      <c r="E1683" s="14" t="s">
        <v>37</v>
      </c>
    </row>
    <row r="1684" spans="1:5" x14ac:dyDescent="0.25">
      <c r="A1684" s="36">
        <v>1682</v>
      </c>
      <c r="B1684" s="37">
        <v>922692176</v>
      </c>
      <c r="C1684" s="38">
        <v>0.42966202666501607</v>
      </c>
      <c r="D1684" s="14" t="s">
        <v>1725</v>
      </c>
      <c r="E1684" s="14" t="s">
        <v>40</v>
      </c>
    </row>
    <row r="1685" spans="1:5" x14ac:dyDescent="0.25">
      <c r="A1685" s="36">
        <v>1683</v>
      </c>
      <c r="B1685" s="37">
        <v>1411048222</v>
      </c>
      <c r="C1685" s="38">
        <v>0.65707053181578901</v>
      </c>
      <c r="D1685" s="14" t="s">
        <v>1726</v>
      </c>
      <c r="E1685" s="14" t="s">
        <v>43</v>
      </c>
    </row>
    <row r="1686" spans="1:5" x14ac:dyDescent="0.25">
      <c r="A1686" s="36">
        <v>1684</v>
      </c>
      <c r="B1686" s="37">
        <v>1716068403</v>
      </c>
      <c r="C1686" s="38">
        <v>0.79910662202122928</v>
      </c>
      <c r="D1686" s="14" t="s">
        <v>1727</v>
      </c>
      <c r="E1686" s="14" t="s">
        <v>46</v>
      </c>
    </row>
    <row r="1687" spans="1:5" x14ac:dyDescent="0.25">
      <c r="A1687" s="36">
        <v>1685</v>
      </c>
      <c r="B1687" s="37">
        <v>906572747</v>
      </c>
      <c r="C1687" s="38">
        <v>0.42215583260271505</v>
      </c>
      <c r="D1687" s="14" t="s">
        <v>1728</v>
      </c>
      <c r="E1687" s="14" t="s">
        <v>48</v>
      </c>
    </row>
    <row r="1688" spans="1:5" x14ac:dyDescent="0.25">
      <c r="A1688" s="36">
        <v>1686</v>
      </c>
      <c r="B1688" s="37">
        <v>879177615</v>
      </c>
      <c r="C1688" s="38">
        <v>0.40939898016368925</v>
      </c>
      <c r="D1688" s="14" t="s">
        <v>1729</v>
      </c>
      <c r="E1688" s="14" t="s">
        <v>37</v>
      </c>
    </row>
    <row r="1689" spans="1:5" x14ac:dyDescent="0.25">
      <c r="A1689" s="36">
        <v>1687</v>
      </c>
      <c r="B1689" s="37">
        <v>664845713</v>
      </c>
      <c r="C1689" s="38">
        <v>0.30959291072077721</v>
      </c>
      <c r="D1689" s="14" t="s">
        <v>1730</v>
      </c>
      <c r="E1689" s="14" t="s">
        <v>40</v>
      </c>
    </row>
    <row r="1690" spans="1:5" x14ac:dyDescent="0.25">
      <c r="A1690" s="36">
        <v>1688</v>
      </c>
      <c r="B1690" s="37">
        <v>1313945273</v>
      </c>
      <c r="C1690" s="38">
        <v>0.61185344756201532</v>
      </c>
      <c r="D1690" s="14" t="s">
        <v>1731</v>
      </c>
      <c r="E1690" s="14" t="s">
        <v>43</v>
      </c>
    </row>
    <row r="1691" spans="1:5" x14ac:dyDescent="0.25">
      <c r="A1691" s="36">
        <v>1689</v>
      </c>
      <c r="B1691" s="37">
        <v>1786575633</v>
      </c>
      <c r="C1691" s="38">
        <v>0.83193910952282102</v>
      </c>
      <c r="D1691" s="14" t="s">
        <v>1732</v>
      </c>
      <c r="E1691" s="14" t="s">
        <v>46</v>
      </c>
    </row>
    <row r="1692" spans="1:5" x14ac:dyDescent="0.25">
      <c r="A1692" s="36">
        <v>1690</v>
      </c>
      <c r="B1692" s="37">
        <v>1972279947</v>
      </c>
      <c r="C1692" s="38">
        <v>0.91841441947892977</v>
      </c>
      <c r="D1692" s="14" t="s">
        <v>1733</v>
      </c>
      <c r="E1692" s="14" t="s">
        <v>48</v>
      </c>
    </row>
    <row r="1693" spans="1:5" x14ac:dyDescent="0.25">
      <c r="A1693" s="36">
        <v>1691</v>
      </c>
      <c r="B1693" s="37">
        <v>501907970</v>
      </c>
      <c r="C1693" s="38">
        <v>0.23371911152904812</v>
      </c>
      <c r="D1693" s="14" t="s">
        <v>1734</v>
      </c>
      <c r="E1693" s="14" t="s">
        <v>37</v>
      </c>
    </row>
    <row r="1694" spans="1:5" x14ac:dyDescent="0.25">
      <c r="A1694" s="36">
        <v>1692</v>
      </c>
      <c r="B1694" s="37">
        <v>1666992416</v>
      </c>
      <c r="C1694" s="38">
        <v>0.77625383472826981</v>
      </c>
      <c r="D1694" s="14" t="s">
        <v>1735</v>
      </c>
      <c r="E1694" s="14" t="s">
        <v>40</v>
      </c>
    </row>
    <row r="1695" spans="1:5" x14ac:dyDescent="0.25">
      <c r="A1695" s="36">
        <v>1693</v>
      </c>
      <c r="B1695" s="37">
        <v>829759805</v>
      </c>
      <c r="C1695" s="38">
        <v>0.38638701913244416</v>
      </c>
      <c r="D1695" s="14" t="s">
        <v>1736</v>
      </c>
      <c r="E1695" s="14" t="s">
        <v>43</v>
      </c>
    </row>
    <row r="1696" spans="1:5" x14ac:dyDescent="0.25">
      <c r="A1696" s="36">
        <v>1694</v>
      </c>
      <c r="B1696" s="37">
        <v>698270151</v>
      </c>
      <c r="C1696" s="38">
        <v>0.32515737755464269</v>
      </c>
      <c r="D1696" s="14" t="s">
        <v>1737</v>
      </c>
      <c r="E1696" s="14" t="s">
        <v>46</v>
      </c>
    </row>
    <row r="1697" spans="1:5" x14ac:dyDescent="0.25">
      <c r="A1697" s="36">
        <v>1695</v>
      </c>
      <c r="B1697" s="37">
        <v>120280747</v>
      </c>
      <c r="C1697" s="38">
        <v>5.6010087512438224E-2</v>
      </c>
      <c r="D1697" s="14" t="s">
        <v>1738</v>
      </c>
      <c r="E1697" s="14" t="s">
        <v>48</v>
      </c>
    </row>
    <row r="1698" spans="1:5" x14ac:dyDescent="0.25">
      <c r="A1698" s="36">
        <v>1696</v>
      </c>
      <c r="B1698" s="37">
        <v>1423894588</v>
      </c>
      <c r="C1698" s="38">
        <v>0.66305258714736093</v>
      </c>
      <c r="D1698" s="14" t="s">
        <v>1739</v>
      </c>
      <c r="E1698" s="14" t="s">
        <v>37</v>
      </c>
    </row>
    <row r="1699" spans="1:5" x14ac:dyDescent="0.25">
      <c r="A1699" s="36">
        <v>1697</v>
      </c>
      <c r="B1699" s="37">
        <v>171277727</v>
      </c>
      <c r="C1699" s="38">
        <v>7.975740687910346E-2</v>
      </c>
      <c r="D1699" s="14" t="s">
        <v>1740</v>
      </c>
      <c r="E1699" s="14" t="s">
        <v>40</v>
      </c>
    </row>
    <row r="1700" spans="1:5" x14ac:dyDescent="0.25">
      <c r="A1700" s="36">
        <v>1698</v>
      </c>
      <c r="B1700" s="37">
        <v>1438430472</v>
      </c>
      <c r="C1700" s="38">
        <v>0.66982138560610893</v>
      </c>
      <c r="D1700" s="14" t="s">
        <v>1741</v>
      </c>
      <c r="E1700" s="14" t="s">
        <v>43</v>
      </c>
    </row>
    <row r="1701" spans="1:5" x14ac:dyDescent="0.25">
      <c r="A1701" s="36">
        <v>1699</v>
      </c>
      <c r="B1701" s="37">
        <v>1962825725</v>
      </c>
      <c r="C1701" s="38">
        <v>0.91401195428986659</v>
      </c>
      <c r="D1701" s="14" t="s">
        <v>1742</v>
      </c>
      <c r="E1701" s="14" t="s">
        <v>46</v>
      </c>
    </row>
    <row r="1702" spans="1:5" x14ac:dyDescent="0.25">
      <c r="A1702" s="36">
        <v>1700</v>
      </c>
      <c r="B1702" s="37">
        <v>473198636</v>
      </c>
      <c r="C1702" s="38">
        <v>0.22035028609463492</v>
      </c>
      <c r="D1702" s="14" t="s">
        <v>1743</v>
      </c>
      <c r="E1702" s="14" t="s">
        <v>48</v>
      </c>
    </row>
    <row r="1703" spans="1:5" x14ac:dyDescent="0.25">
      <c r="A1703" s="36">
        <v>1701</v>
      </c>
      <c r="B1703" s="37">
        <v>68929110</v>
      </c>
      <c r="C1703" s="38">
        <v>3.2097618110523383E-2</v>
      </c>
      <c r="D1703" s="14" t="s">
        <v>1744</v>
      </c>
      <c r="E1703" s="14" t="s">
        <v>37</v>
      </c>
    </row>
    <row r="1704" spans="1:5" x14ac:dyDescent="0.25">
      <c r="A1704" s="36">
        <v>1702</v>
      </c>
      <c r="B1704" s="37">
        <v>1631918704</v>
      </c>
      <c r="C1704" s="38">
        <v>0.75992136484008344</v>
      </c>
      <c r="D1704" s="14" t="s">
        <v>1745</v>
      </c>
      <c r="E1704" s="14" t="s">
        <v>40</v>
      </c>
    </row>
    <row r="1705" spans="1:5" x14ac:dyDescent="0.25">
      <c r="A1705" s="36">
        <v>1703</v>
      </c>
      <c r="B1705" s="37">
        <v>1249720347</v>
      </c>
      <c r="C1705" s="38">
        <v>0.5819463858296845</v>
      </c>
      <c r="D1705" s="14" t="s">
        <v>1746</v>
      </c>
      <c r="E1705" s="14" t="s">
        <v>43</v>
      </c>
    </row>
    <row r="1706" spans="1:5" x14ac:dyDescent="0.25">
      <c r="A1706" s="36">
        <v>1704</v>
      </c>
      <c r="B1706" s="37">
        <v>1675056790</v>
      </c>
      <c r="C1706" s="38">
        <v>0.78000910150818947</v>
      </c>
      <c r="D1706" s="14" t="s">
        <v>1747</v>
      </c>
      <c r="E1706" s="14" t="s">
        <v>46</v>
      </c>
    </row>
    <row r="1707" spans="1:5" x14ac:dyDescent="0.25">
      <c r="A1707" s="36">
        <v>1705</v>
      </c>
      <c r="B1707" s="37">
        <v>261614758</v>
      </c>
      <c r="C1707" s="38">
        <v>0.12182386504571134</v>
      </c>
      <c r="D1707" s="14" t="s">
        <v>1748</v>
      </c>
      <c r="E1707" s="14" t="s">
        <v>48</v>
      </c>
    </row>
    <row r="1708" spans="1:5" x14ac:dyDescent="0.25">
      <c r="A1708" s="36">
        <v>1706</v>
      </c>
      <c r="B1708" s="37">
        <v>732509160</v>
      </c>
      <c r="C1708" s="38">
        <v>0.34110115856914835</v>
      </c>
      <c r="D1708" s="14" t="s">
        <v>1749</v>
      </c>
      <c r="E1708" s="14" t="s">
        <v>37</v>
      </c>
    </row>
    <row r="1709" spans="1:5" x14ac:dyDescent="0.25">
      <c r="A1709" s="36">
        <v>1707</v>
      </c>
      <c r="B1709" s="37">
        <v>1885712386</v>
      </c>
      <c r="C1709" s="38">
        <v>0.8781032575658072</v>
      </c>
      <c r="D1709" s="14" t="s">
        <v>1750</v>
      </c>
      <c r="E1709" s="14" t="s">
        <v>40</v>
      </c>
    </row>
    <row r="1710" spans="1:5" x14ac:dyDescent="0.25">
      <c r="A1710" s="36">
        <v>1708</v>
      </c>
      <c r="B1710" s="37">
        <v>637664498</v>
      </c>
      <c r="C1710" s="38">
        <v>0.29693567114739478</v>
      </c>
      <c r="D1710" s="14" t="s">
        <v>1751</v>
      </c>
      <c r="E1710" s="14" t="s">
        <v>43</v>
      </c>
    </row>
    <row r="1711" spans="1:5" x14ac:dyDescent="0.25">
      <c r="A1711" s="36">
        <v>1709</v>
      </c>
      <c r="B1711" s="37">
        <v>687522394</v>
      </c>
      <c r="C1711" s="38">
        <v>0.32015256319202134</v>
      </c>
      <c r="D1711" s="14" t="s">
        <v>1752</v>
      </c>
      <c r="E1711" s="14" t="s">
        <v>46</v>
      </c>
    </row>
    <row r="1712" spans="1:5" x14ac:dyDescent="0.25">
      <c r="A1712" s="36">
        <v>1710</v>
      </c>
      <c r="B1712" s="37">
        <v>896323479</v>
      </c>
      <c r="C1712" s="38">
        <v>0.41738314526965059</v>
      </c>
      <c r="D1712" s="14" t="s">
        <v>1753</v>
      </c>
      <c r="E1712" s="14" t="s">
        <v>48</v>
      </c>
    </row>
    <row r="1713" spans="1:5" x14ac:dyDescent="0.25">
      <c r="A1713" s="36">
        <v>1711</v>
      </c>
      <c r="B1713" s="37">
        <v>326451683</v>
      </c>
      <c r="C1713" s="38">
        <v>0.15201591102034595</v>
      </c>
      <c r="D1713" s="14" t="s">
        <v>1754</v>
      </c>
      <c r="E1713" s="14" t="s">
        <v>37</v>
      </c>
    </row>
    <row r="1714" spans="1:5" x14ac:dyDescent="0.25">
      <c r="A1714" s="36">
        <v>1712</v>
      </c>
      <c r="B1714" s="37">
        <v>1624414800</v>
      </c>
      <c r="C1714" s="38">
        <v>0.7564270872419826</v>
      </c>
      <c r="D1714" s="14" t="s">
        <v>1755</v>
      </c>
      <c r="E1714" s="14" t="s">
        <v>40</v>
      </c>
    </row>
    <row r="1715" spans="1:5" x14ac:dyDescent="0.25">
      <c r="A1715" s="36">
        <v>1713</v>
      </c>
      <c r="B1715" s="37">
        <v>578805699</v>
      </c>
      <c r="C1715" s="38">
        <v>0.26952740702290434</v>
      </c>
      <c r="D1715" s="14" t="s">
        <v>1756</v>
      </c>
      <c r="E1715" s="14" t="s">
        <v>43</v>
      </c>
    </row>
    <row r="1716" spans="1:5" x14ac:dyDescent="0.25">
      <c r="A1716" s="36">
        <v>1714</v>
      </c>
      <c r="B1716" s="37">
        <v>1244060353</v>
      </c>
      <c r="C1716" s="38">
        <v>0.57931074573626307</v>
      </c>
      <c r="D1716" s="14" t="s">
        <v>1757</v>
      </c>
      <c r="E1716" s="14" t="s">
        <v>46</v>
      </c>
    </row>
    <row r="1717" spans="1:5" x14ac:dyDescent="0.25">
      <c r="A1717" s="36">
        <v>1715</v>
      </c>
      <c r="B1717" s="37">
        <v>1484303329</v>
      </c>
      <c r="C1717" s="38">
        <v>0.69118259925915981</v>
      </c>
      <c r="D1717" s="14" t="s">
        <v>1758</v>
      </c>
      <c r="E1717" s="14" t="s">
        <v>48</v>
      </c>
    </row>
    <row r="1718" spans="1:5" x14ac:dyDescent="0.25">
      <c r="A1718" s="36">
        <v>1716</v>
      </c>
      <c r="B1718" s="37">
        <v>404087271</v>
      </c>
      <c r="C1718" s="38">
        <v>0.18816779888615376</v>
      </c>
      <c r="D1718" s="14" t="s">
        <v>1759</v>
      </c>
      <c r="E1718" s="14" t="s">
        <v>37</v>
      </c>
    </row>
    <row r="1719" spans="1:5" x14ac:dyDescent="0.25">
      <c r="A1719" s="36">
        <v>1717</v>
      </c>
      <c r="B1719" s="37">
        <v>1025588628</v>
      </c>
      <c r="C1719" s="38">
        <v>0.47757692098504723</v>
      </c>
      <c r="D1719" s="14" t="s">
        <v>1760</v>
      </c>
      <c r="E1719" s="14" t="s">
        <v>40</v>
      </c>
    </row>
    <row r="1720" spans="1:5" x14ac:dyDescent="0.25">
      <c r="A1720" s="36">
        <v>1718</v>
      </c>
      <c r="B1720" s="37">
        <v>422063390</v>
      </c>
      <c r="C1720" s="38">
        <v>0.19653858160438881</v>
      </c>
      <c r="D1720" s="14" t="s">
        <v>1761</v>
      </c>
      <c r="E1720" s="14" t="s">
        <v>43</v>
      </c>
    </row>
    <row r="1721" spans="1:5" x14ac:dyDescent="0.25">
      <c r="A1721" s="36">
        <v>1719</v>
      </c>
      <c r="B1721" s="37">
        <v>1835413452</v>
      </c>
      <c r="C1721" s="38">
        <v>0.85468099119825336</v>
      </c>
      <c r="D1721" s="14" t="s">
        <v>1762</v>
      </c>
      <c r="E1721" s="14" t="s">
        <v>46</v>
      </c>
    </row>
    <row r="1722" spans="1:5" x14ac:dyDescent="0.25">
      <c r="A1722" s="36">
        <v>1720</v>
      </c>
      <c r="B1722" s="37">
        <v>749493737</v>
      </c>
      <c r="C1722" s="38">
        <v>0.34901021856302872</v>
      </c>
      <c r="D1722" s="14" t="s">
        <v>1763</v>
      </c>
      <c r="E1722" s="14" t="s">
        <v>48</v>
      </c>
    </row>
    <row r="1723" spans="1:5" x14ac:dyDescent="0.25">
      <c r="A1723" s="36">
        <v>1721</v>
      </c>
      <c r="B1723" s="37">
        <v>1516530556</v>
      </c>
      <c r="C1723" s="38">
        <v>0.70618957127732673</v>
      </c>
      <c r="D1723" s="14" t="s">
        <v>1764</v>
      </c>
      <c r="E1723" s="14" t="s">
        <v>37</v>
      </c>
    </row>
    <row r="1724" spans="1:5" x14ac:dyDescent="0.25">
      <c r="A1724" s="36">
        <v>1722</v>
      </c>
      <c r="B1724" s="37">
        <v>1435091033</v>
      </c>
      <c r="C1724" s="38">
        <v>0.66826633814175906</v>
      </c>
      <c r="D1724" s="14" t="s">
        <v>1765</v>
      </c>
      <c r="E1724" s="14" t="s">
        <v>40</v>
      </c>
    </row>
    <row r="1725" spans="1:5" x14ac:dyDescent="0.25">
      <c r="A1725" s="36">
        <v>1723</v>
      </c>
      <c r="B1725" s="37">
        <v>1070802686</v>
      </c>
      <c r="C1725" s="38">
        <v>0.49863135744753823</v>
      </c>
      <c r="D1725" s="14" t="s">
        <v>1766</v>
      </c>
      <c r="E1725" s="14" t="s">
        <v>43</v>
      </c>
    </row>
    <row r="1726" spans="1:5" x14ac:dyDescent="0.25">
      <c r="A1726" s="36">
        <v>1724</v>
      </c>
      <c r="B1726" s="37">
        <v>1787546725</v>
      </c>
      <c r="C1726" s="38">
        <v>0.83239130947384576</v>
      </c>
      <c r="D1726" s="14" t="s">
        <v>1767</v>
      </c>
      <c r="E1726" s="14" t="s">
        <v>46</v>
      </c>
    </row>
    <row r="1727" spans="1:5" x14ac:dyDescent="0.25">
      <c r="A1727" s="36">
        <v>1725</v>
      </c>
      <c r="B1727" s="37">
        <v>1324005056</v>
      </c>
      <c r="C1727" s="38">
        <v>0.6165378990660132</v>
      </c>
      <c r="D1727" s="14" t="s">
        <v>1768</v>
      </c>
      <c r="E1727" s="14" t="s">
        <v>48</v>
      </c>
    </row>
    <row r="1728" spans="1:5" x14ac:dyDescent="0.25">
      <c r="A1728" s="36">
        <v>1726</v>
      </c>
      <c r="B1728" s="37">
        <v>469394402</v>
      </c>
      <c r="C1728" s="38">
        <v>0.21857880159215015</v>
      </c>
      <c r="D1728" s="14" t="s">
        <v>1769</v>
      </c>
      <c r="E1728" s="14" t="s">
        <v>37</v>
      </c>
    </row>
    <row r="1729" spans="1:5" x14ac:dyDescent="0.25">
      <c r="A1729" s="36">
        <v>1727</v>
      </c>
      <c r="B1729" s="37">
        <v>755605263</v>
      </c>
      <c r="C1729" s="38">
        <v>0.35185611962892865</v>
      </c>
      <c r="D1729" s="14" t="s">
        <v>1770</v>
      </c>
      <c r="E1729" s="14" t="s">
        <v>40</v>
      </c>
    </row>
    <row r="1730" spans="1:5" x14ac:dyDescent="0.25">
      <c r="A1730" s="36">
        <v>1728</v>
      </c>
      <c r="B1730" s="37">
        <v>1674309867</v>
      </c>
      <c r="C1730" s="38">
        <v>0.77966128838232773</v>
      </c>
      <c r="D1730" s="14" t="s">
        <v>1771</v>
      </c>
      <c r="E1730" s="14" t="s">
        <v>43</v>
      </c>
    </row>
    <row r="1731" spans="1:5" x14ac:dyDescent="0.25">
      <c r="A1731" s="36">
        <v>1729</v>
      </c>
      <c r="B1731" s="37">
        <v>382639796</v>
      </c>
      <c r="C1731" s="38">
        <v>0.17818054006350251</v>
      </c>
      <c r="D1731" s="14" t="s">
        <v>1772</v>
      </c>
      <c r="E1731" s="14" t="s">
        <v>46</v>
      </c>
    </row>
    <row r="1732" spans="1:5" x14ac:dyDescent="0.25">
      <c r="A1732" s="36">
        <v>1730</v>
      </c>
      <c r="B1732" s="37">
        <v>935411981</v>
      </c>
      <c r="C1732" s="38">
        <v>0.43558514743837767</v>
      </c>
      <c r="D1732" s="14" t="s">
        <v>1773</v>
      </c>
      <c r="E1732" s="14" t="s">
        <v>48</v>
      </c>
    </row>
    <row r="1733" spans="1:5" x14ac:dyDescent="0.25">
      <c r="A1733" s="36">
        <v>1731</v>
      </c>
      <c r="B1733" s="37">
        <v>1803190074</v>
      </c>
      <c r="C1733" s="38">
        <v>0.83967581151038218</v>
      </c>
      <c r="D1733" s="14" t="s">
        <v>1774</v>
      </c>
      <c r="E1733" s="14" t="s">
        <v>37</v>
      </c>
    </row>
    <row r="1734" spans="1:5" x14ac:dyDescent="0.25">
      <c r="A1734" s="36">
        <v>1732</v>
      </c>
      <c r="B1734" s="37">
        <v>1830279406</v>
      </c>
      <c r="C1734" s="38">
        <v>0.85229026472768288</v>
      </c>
      <c r="D1734" s="14" t="s">
        <v>1775</v>
      </c>
      <c r="E1734" s="14" t="s">
        <v>40</v>
      </c>
    </row>
    <row r="1735" spans="1:5" x14ac:dyDescent="0.25">
      <c r="A1735" s="36">
        <v>1733</v>
      </c>
      <c r="B1735" s="37">
        <v>1986490647</v>
      </c>
      <c r="C1735" s="38">
        <v>0.92503179233755539</v>
      </c>
      <c r="D1735" s="14" t="s">
        <v>1776</v>
      </c>
      <c r="E1735" s="14" t="s">
        <v>43</v>
      </c>
    </row>
    <row r="1736" spans="1:5" x14ac:dyDescent="0.25">
      <c r="A1736" s="36">
        <v>1734</v>
      </c>
      <c r="B1736" s="37">
        <v>34953765</v>
      </c>
      <c r="C1736" s="38">
        <v>1.6276615213731589E-2</v>
      </c>
      <c r="D1736" s="14" t="s">
        <v>1777</v>
      </c>
      <c r="E1736" s="14" t="s">
        <v>46</v>
      </c>
    </row>
    <row r="1737" spans="1:5" x14ac:dyDescent="0.25">
      <c r="A1737" s="36">
        <v>1735</v>
      </c>
      <c r="B1737" s="37">
        <v>655142677</v>
      </c>
      <c r="C1737" s="38">
        <v>0.30507458248411984</v>
      </c>
      <c r="D1737" s="14" t="s">
        <v>1778</v>
      </c>
      <c r="E1737" s="14" t="s">
        <v>48</v>
      </c>
    </row>
    <row r="1738" spans="1:5" x14ac:dyDescent="0.25">
      <c r="A1738" s="36">
        <v>1736</v>
      </c>
      <c r="B1738" s="37">
        <v>1592456460</v>
      </c>
      <c r="C1738" s="38">
        <v>0.74154532549043439</v>
      </c>
      <c r="D1738" s="14" t="s">
        <v>1779</v>
      </c>
      <c r="E1738" s="14" t="s">
        <v>37</v>
      </c>
    </row>
    <row r="1739" spans="1:5" x14ac:dyDescent="0.25">
      <c r="A1739" s="36">
        <v>1737</v>
      </c>
      <c r="B1739" s="37">
        <v>440337036</v>
      </c>
      <c r="C1739" s="38">
        <v>0.2050479111285172</v>
      </c>
      <c r="D1739" s="14" t="s">
        <v>1780</v>
      </c>
      <c r="E1739" s="14" t="s">
        <v>40</v>
      </c>
    </row>
    <row r="1740" spans="1:5" x14ac:dyDescent="0.25">
      <c r="A1740" s="36">
        <v>1738</v>
      </c>
      <c r="B1740" s="37">
        <v>1817645494</v>
      </c>
      <c r="C1740" s="38">
        <v>0.84640714099929071</v>
      </c>
      <c r="D1740" s="14" t="s">
        <v>1781</v>
      </c>
      <c r="E1740" s="14" t="s">
        <v>43</v>
      </c>
    </row>
    <row r="1741" spans="1:5" x14ac:dyDescent="0.25">
      <c r="A1741" s="36">
        <v>1739</v>
      </c>
      <c r="B1741" s="37">
        <v>683990271</v>
      </c>
      <c r="C1741" s="38">
        <v>0.31850779024814618</v>
      </c>
      <c r="D1741" s="14" t="s">
        <v>1782</v>
      </c>
      <c r="E1741" s="14" t="s">
        <v>46</v>
      </c>
    </row>
    <row r="1742" spans="1:5" x14ac:dyDescent="0.25">
      <c r="A1742" s="36">
        <v>1740</v>
      </c>
      <c r="B1742" s="37">
        <v>1399512390</v>
      </c>
      <c r="C1742" s="38">
        <v>0.65169874143400175</v>
      </c>
      <c r="D1742" s="14" t="s">
        <v>1783</v>
      </c>
      <c r="E1742" s="14" t="s">
        <v>48</v>
      </c>
    </row>
    <row r="1743" spans="1:5" x14ac:dyDescent="0.25">
      <c r="A1743" s="36">
        <v>1741</v>
      </c>
      <c r="B1743" s="37">
        <v>686596430</v>
      </c>
      <c r="C1743" s="38">
        <v>0.31972137760357994</v>
      </c>
      <c r="D1743" s="14" t="s">
        <v>1784</v>
      </c>
      <c r="E1743" s="14" t="s">
        <v>37</v>
      </c>
    </row>
    <row r="1744" spans="1:5" x14ac:dyDescent="0.25">
      <c r="A1744" s="36">
        <v>1742</v>
      </c>
      <c r="B1744" s="37">
        <v>1499354925</v>
      </c>
      <c r="C1744" s="38">
        <v>0.69819154483181967</v>
      </c>
      <c r="D1744" s="14" t="s">
        <v>1785</v>
      </c>
      <c r="E1744" s="14" t="s">
        <v>40</v>
      </c>
    </row>
    <row r="1745" spans="1:5" x14ac:dyDescent="0.25">
      <c r="A1745" s="36">
        <v>1743</v>
      </c>
      <c r="B1745" s="37">
        <v>1617693269</v>
      </c>
      <c r="C1745" s="38">
        <v>0.75329713046238622</v>
      </c>
      <c r="D1745" s="14" t="s">
        <v>1786</v>
      </c>
      <c r="E1745" s="14" t="s">
        <v>43</v>
      </c>
    </row>
    <row r="1746" spans="1:5" x14ac:dyDescent="0.25">
      <c r="A1746" s="36">
        <v>1744</v>
      </c>
      <c r="B1746" s="37">
        <v>812218794</v>
      </c>
      <c r="C1746" s="38">
        <v>0.37821884936570138</v>
      </c>
      <c r="D1746" s="14" t="s">
        <v>1787</v>
      </c>
      <c r="E1746" s="14" t="s">
        <v>46</v>
      </c>
    </row>
    <row r="1747" spans="1:5" x14ac:dyDescent="0.25">
      <c r="A1747" s="36">
        <v>1745</v>
      </c>
      <c r="B1747" s="37">
        <v>434599988</v>
      </c>
      <c r="C1747" s="38">
        <v>0.20237638997024687</v>
      </c>
      <c r="D1747" s="14" t="s">
        <v>1788</v>
      </c>
      <c r="E1747" s="14" t="s">
        <v>48</v>
      </c>
    </row>
    <row r="1748" spans="1:5" x14ac:dyDescent="0.25">
      <c r="A1748" s="36">
        <v>1746</v>
      </c>
      <c r="B1748" s="37">
        <v>70117856</v>
      </c>
      <c r="C1748" s="38">
        <v>3.2651171103423075E-2</v>
      </c>
      <c r="D1748" s="14" t="s">
        <v>1789</v>
      </c>
      <c r="E1748" s="14" t="s">
        <v>37</v>
      </c>
    </row>
    <row r="1749" spans="1:5" x14ac:dyDescent="0.25">
      <c r="A1749" s="36">
        <v>1747</v>
      </c>
      <c r="B1749" s="37">
        <v>349431820</v>
      </c>
      <c r="C1749" s="38">
        <v>0.16271687120325717</v>
      </c>
      <c r="D1749" s="14" t="s">
        <v>1790</v>
      </c>
      <c r="E1749" s="14" t="s">
        <v>40</v>
      </c>
    </row>
    <row r="1750" spans="1:5" x14ac:dyDescent="0.25">
      <c r="A1750" s="36">
        <v>1748</v>
      </c>
      <c r="B1750" s="37">
        <v>1658234361</v>
      </c>
      <c r="C1750" s="38">
        <v>0.77217554756075868</v>
      </c>
      <c r="D1750" s="14" t="s">
        <v>1791</v>
      </c>
      <c r="E1750" s="14" t="s">
        <v>43</v>
      </c>
    </row>
    <row r="1751" spans="1:5" x14ac:dyDescent="0.25">
      <c r="A1751" s="36">
        <v>1749</v>
      </c>
      <c r="B1751" s="37">
        <v>2094740413</v>
      </c>
      <c r="C1751" s="38">
        <v>0.97543951774734983</v>
      </c>
      <c r="D1751" s="14" t="s">
        <v>1792</v>
      </c>
      <c r="E1751" s="14" t="s">
        <v>46</v>
      </c>
    </row>
    <row r="1752" spans="1:5" x14ac:dyDescent="0.25">
      <c r="A1752" s="36">
        <v>1750</v>
      </c>
      <c r="B1752" s="37">
        <v>2008787027</v>
      </c>
      <c r="C1752" s="38">
        <v>0.93541435335549261</v>
      </c>
      <c r="D1752" s="14" t="s">
        <v>1793</v>
      </c>
      <c r="E1752" s="14" t="s">
        <v>48</v>
      </c>
    </row>
    <row r="1753" spans="1:5" x14ac:dyDescent="0.25">
      <c r="A1753" s="36">
        <v>1751</v>
      </c>
      <c r="B1753" s="37">
        <v>104485811</v>
      </c>
      <c r="C1753" s="38">
        <v>4.8654997278309894E-2</v>
      </c>
      <c r="D1753" s="14" t="s">
        <v>1794</v>
      </c>
      <c r="E1753" s="14" t="s">
        <v>37</v>
      </c>
    </row>
    <row r="1754" spans="1:5" x14ac:dyDescent="0.25">
      <c r="A1754" s="36">
        <v>1752</v>
      </c>
      <c r="B1754" s="37">
        <v>2000339409</v>
      </c>
      <c r="C1754" s="38">
        <v>0.93148062468109682</v>
      </c>
      <c r="D1754" s="14" t="s">
        <v>1795</v>
      </c>
      <c r="E1754" s="14" t="s">
        <v>40</v>
      </c>
    </row>
    <row r="1755" spans="1:5" x14ac:dyDescent="0.25">
      <c r="A1755" s="36">
        <v>1753</v>
      </c>
      <c r="B1755" s="37">
        <v>556054917</v>
      </c>
      <c r="C1755" s="38">
        <v>0.25893324858459332</v>
      </c>
      <c r="D1755" s="14" t="s">
        <v>1796</v>
      </c>
      <c r="E1755" s="14" t="s">
        <v>43</v>
      </c>
    </row>
    <row r="1756" spans="1:5" x14ac:dyDescent="0.25">
      <c r="A1756" s="36">
        <v>1754</v>
      </c>
      <c r="B1756" s="37">
        <v>725283001</v>
      </c>
      <c r="C1756" s="38">
        <v>0.33773621606535104</v>
      </c>
      <c r="D1756" s="14" t="s">
        <v>1797</v>
      </c>
      <c r="E1756" s="14" t="s">
        <v>46</v>
      </c>
    </row>
    <row r="1757" spans="1:5" x14ac:dyDescent="0.25">
      <c r="A1757" s="36">
        <v>1755</v>
      </c>
      <c r="B1757" s="37">
        <v>1819309758</v>
      </c>
      <c r="C1757" s="38">
        <v>0.84718212431631146</v>
      </c>
      <c r="D1757" s="14" t="s">
        <v>1798</v>
      </c>
      <c r="E1757" s="14" t="s">
        <v>48</v>
      </c>
    </row>
    <row r="1758" spans="1:5" x14ac:dyDescent="0.25">
      <c r="A1758" s="36">
        <v>1756</v>
      </c>
      <c r="B1758" s="37">
        <v>639120241</v>
      </c>
      <c r="C1758" s="38">
        <v>0.29761355430707964</v>
      </c>
      <c r="D1758" s="14" t="s">
        <v>1799</v>
      </c>
      <c r="E1758" s="14" t="s">
        <v>37</v>
      </c>
    </row>
    <row r="1759" spans="1:5" x14ac:dyDescent="0.25">
      <c r="A1759" s="36">
        <v>1757</v>
      </c>
      <c r="B1759" s="37">
        <v>1446585653</v>
      </c>
      <c r="C1759" s="38">
        <v>0.67361893769056491</v>
      </c>
      <c r="D1759" s="14" t="s">
        <v>1800</v>
      </c>
      <c r="E1759" s="14" t="s">
        <v>40</v>
      </c>
    </row>
    <row r="1760" spans="1:5" x14ac:dyDescent="0.25">
      <c r="A1760" s="36">
        <v>1758</v>
      </c>
      <c r="B1760" s="37">
        <v>73863416</v>
      </c>
      <c r="C1760" s="38">
        <v>3.4395333395523642E-2</v>
      </c>
      <c r="D1760" s="14" t="s">
        <v>1801</v>
      </c>
      <c r="E1760" s="14" t="s">
        <v>43</v>
      </c>
    </row>
    <row r="1761" spans="1:5" x14ac:dyDescent="0.25">
      <c r="A1761" s="36">
        <v>1759</v>
      </c>
      <c r="B1761" s="37">
        <v>782663579</v>
      </c>
      <c r="C1761" s="38">
        <v>0.36445612989573561</v>
      </c>
      <c r="D1761" s="14" t="s">
        <v>1802</v>
      </c>
      <c r="E1761" s="14" t="s">
        <v>46</v>
      </c>
    </row>
    <row r="1762" spans="1:5" x14ac:dyDescent="0.25">
      <c r="A1762" s="36">
        <v>1760</v>
      </c>
      <c r="B1762" s="37">
        <v>1743221236</v>
      </c>
      <c r="C1762" s="38">
        <v>0.81175064519594919</v>
      </c>
      <c r="D1762" s="14" t="s">
        <v>1803</v>
      </c>
      <c r="E1762" s="14" t="s">
        <v>48</v>
      </c>
    </row>
    <row r="1763" spans="1:5" x14ac:dyDescent="0.25">
      <c r="A1763" s="36">
        <v>1761</v>
      </c>
      <c r="B1763" s="37">
        <v>1535087310</v>
      </c>
      <c r="C1763" s="38">
        <v>0.71483073323724355</v>
      </c>
      <c r="D1763" s="14" t="s">
        <v>1804</v>
      </c>
      <c r="E1763" s="14" t="s">
        <v>37</v>
      </c>
    </row>
    <row r="1764" spans="1:5" x14ac:dyDescent="0.25">
      <c r="A1764" s="36">
        <v>1762</v>
      </c>
      <c r="B1764" s="37">
        <v>211264435</v>
      </c>
      <c r="C1764" s="38">
        <v>9.837766881025288E-2</v>
      </c>
      <c r="D1764" s="14" t="s">
        <v>1805</v>
      </c>
      <c r="E1764" s="14" t="s">
        <v>40</v>
      </c>
    </row>
    <row r="1765" spans="1:5" x14ac:dyDescent="0.25">
      <c r="A1765" s="36">
        <v>1763</v>
      </c>
      <c r="B1765" s="37">
        <v>1205409054</v>
      </c>
      <c r="C1765" s="38">
        <v>0.56131233207942566</v>
      </c>
      <c r="D1765" s="14" t="s">
        <v>1806</v>
      </c>
      <c r="E1765" s="14" t="s">
        <v>43</v>
      </c>
    </row>
    <row r="1766" spans="1:5" x14ac:dyDescent="0.25">
      <c r="A1766" s="36">
        <v>1764</v>
      </c>
      <c r="B1766" s="37">
        <v>1893415827</v>
      </c>
      <c r="C1766" s="38">
        <v>0.88169045182023686</v>
      </c>
      <c r="D1766" s="14" t="s">
        <v>1807</v>
      </c>
      <c r="E1766" s="14" t="s">
        <v>46</v>
      </c>
    </row>
    <row r="1767" spans="1:5" x14ac:dyDescent="0.25">
      <c r="A1767" s="36">
        <v>1765</v>
      </c>
      <c r="B1767" s="37">
        <v>582938786</v>
      </c>
      <c r="C1767" s="38">
        <v>0.27145202563677545</v>
      </c>
      <c r="D1767" s="14" t="s">
        <v>1808</v>
      </c>
      <c r="E1767" s="14" t="s">
        <v>48</v>
      </c>
    </row>
    <row r="1768" spans="1:5" x14ac:dyDescent="0.25">
      <c r="A1768" s="36">
        <v>1766</v>
      </c>
      <c r="B1768" s="37">
        <v>333094040</v>
      </c>
      <c r="C1768" s="38">
        <v>0.15510899953316384</v>
      </c>
      <c r="D1768" s="14" t="s">
        <v>1809</v>
      </c>
      <c r="E1768" s="14" t="s">
        <v>37</v>
      </c>
    </row>
    <row r="1769" spans="1:5" x14ac:dyDescent="0.25">
      <c r="A1769" s="36">
        <v>1767</v>
      </c>
      <c r="B1769" s="37">
        <v>600401822</v>
      </c>
      <c r="C1769" s="38">
        <v>0.27958388546462354</v>
      </c>
      <c r="D1769" s="14" t="s">
        <v>1810</v>
      </c>
      <c r="E1769" s="14" t="s">
        <v>40</v>
      </c>
    </row>
    <row r="1770" spans="1:5" x14ac:dyDescent="0.25">
      <c r="A1770" s="36">
        <v>1768</v>
      </c>
      <c r="B1770" s="37">
        <v>1801929795</v>
      </c>
      <c r="C1770" s="38">
        <v>0.83908894836860193</v>
      </c>
      <c r="D1770" s="14" t="s">
        <v>1811</v>
      </c>
      <c r="E1770" s="14" t="s">
        <v>43</v>
      </c>
    </row>
    <row r="1771" spans="1:5" x14ac:dyDescent="0.25">
      <c r="A1771" s="36">
        <v>1769</v>
      </c>
      <c r="B1771" s="37">
        <v>8416403</v>
      </c>
      <c r="C1771" s="38">
        <v>3.9191930573057353E-3</v>
      </c>
      <c r="D1771" s="14" t="s">
        <v>1812</v>
      </c>
      <c r="E1771" s="14" t="s">
        <v>46</v>
      </c>
    </row>
    <row r="1772" spans="1:5" x14ac:dyDescent="0.25">
      <c r="A1772" s="36">
        <v>1770</v>
      </c>
      <c r="B1772" s="37">
        <v>143794770</v>
      </c>
      <c r="C1772" s="38">
        <v>6.6959657737500802E-2</v>
      </c>
      <c r="D1772" s="14" t="s">
        <v>1813</v>
      </c>
      <c r="E1772" s="14" t="s">
        <v>48</v>
      </c>
    </row>
    <row r="1773" spans="1:5" x14ac:dyDescent="0.25">
      <c r="A1773" s="36">
        <v>1771</v>
      </c>
      <c r="B1773" s="37">
        <v>1066078441</v>
      </c>
      <c r="C1773" s="38">
        <v>0.49643145943825667</v>
      </c>
      <c r="D1773" s="14" t="s">
        <v>1814</v>
      </c>
      <c r="E1773" s="14" t="s">
        <v>37</v>
      </c>
    </row>
    <row r="1774" spans="1:5" x14ac:dyDescent="0.25">
      <c r="A1774" s="36">
        <v>1772</v>
      </c>
      <c r="B1774" s="37">
        <v>101269767</v>
      </c>
      <c r="C1774" s="38">
        <v>4.7157410088534191E-2</v>
      </c>
      <c r="D1774" s="14" t="s">
        <v>1815</v>
      </c>
      <c r="E1774" s="14" t="s">
        <v>40</v>
      </c>
    </row>
    <row r="1775" spans="1:5" x14ac:dyDescent="0.25">
      <c r="A1775" s="36">
        <v>1773</v>
      </c>
      <c r="B1775" s="37">
        <v>343948633</v>
      </c>
      <c r="C1775" s="38">
        <v>0.16016356328509915</v>
      </c>
      <c r="D1775" s="14" t="s">
        <v>1816</v>
      </c>
      <c r="E1775" s="14" t="s">
        <v>43</v>
      </c>
    </row>
    <row r="1776" spans="1:5" x14ac:dyDescent="0.25">
      <c r="A1776" s="36">
        <v>1774</v>
      </c>
      <c r="B1776" s="37">
        <v>1561892936</v>
      </c>
      <c r="C1776" s="38">
        <v>0.72731307555330593</v>
      </c>
      <c r="D1776" s="14" t="s">
        <v>1817</v>
      </c>
      <c r="E1776" s="14" t="s">
        <v>46</v>
      </c>
    </row>
    <row r="1777" spans="1:5" x14ac:dyDescent="0.25">
      <c r="A1777" s="36">
        <v>1775</v>
      </c>
      <c r="B1777" s="37">
        <v>578148366</v>
      </c>
      <c r="C1777" s="38">
        <v>0.26922131249179193</v>
      </c>
      <c r="D1777" s="14" t="s">
        <v>1818</v>
      </c>
      <c r="E1777" s="14" t="s">
        <v>48</v>
      </c>
    </row>
    <row r="1778" spans="1:5" x14ac:dyDescent="0.25">
      <c r="A1778" s="36">
        <v>1776</v>
      </c>
      <c r="B1778" s="37">
        <v>166024851</v>
      </c>
      <c r="C1778" s="38">
        <v>7.7311345877736498E-2</v>
      </c>
      <c r="D1778" s="14" t="s">
        <v>1819</v>
      </c>
      <c r="E1778" s="14" t="s">
        <v>37</v>
      </c>
    </row>
    <row r="1779" spans="1:5" x14ac:dyDescent="0.25">
      <c r="A1779" s="36">
        <v>1777</v>
      </c>
      <c r="B1779" s="37">
        <v>300933509</v>
      </c>
      <c r="C1779" s="38">
        <v>0.14013308526022969</v>
      </c>
      <c r="D1779" s="14" t="s">
        <v>1820</v>
      </c>
      <c r="E1779" s="14" t="s">
        <v>40</v>
      </c>
    </row>
    <row r="1780" spans="1:5" x14ac:dyDescent="0.25">
      <c r="A1780" s="36">
        <v>1778</v>
      </c>
      <c r="B1780" s="37">
        <v>1064891463</v>
      </c>
      <c r="C1780" s="38">
        <v>0.4958787297345133</v>
      </c>
      <c r="D1780" s="14" t="s">
        <v>1821</v>
      </c>
      <c r="E1780" s="14" t="s">
        <v>43</v>
      </c>
    </row>
    <row r="1781" spans="1:5" x14ac:dyDescent="0.25">
      <c r="A1781" s="36">
        <v>1779</v>
      </c>
      <c r="B1781" s="37">
        <v>31669557</v>
      </c>
      <c r="C1781" s="38">
        <v>1.4747286687953066E-2</v>
      </c>
      <c r="D1781" s="14" t="s">
        <v>1822</v>
      </c>
      <c r="E1781" s="14" t="s">
        <v>46</v>
      </c>
    </row>
    <row r="1782" spans="1:5" x14ac:dyDescent="0.25">
      <c r="A1782" s="36">
        <v>1780</v>
      </c>
      <c r="B1782" s="37">
        <v>1502186739</v>
      </c>
      <c r="C1782" s="38">
        <v>0.6995102109850897</v>
      </c>
      <c r="D1782" s="14" t="s">
        <v>1823</v>
      </c>
      <c r="E1782" s="14" t="s">
        <v>48</v>
      </c>
    </row>
    <row r="1783" spans="1:5" x14ac:dyDescent="0.25">
      <c r="A1783" s="36">
        <v>1781</v>
      </c>
      <c r="B1783" s="37">
        <v>1516286454</v>
      </c>
      <c r="C1783" s="38">
        <v>0.70607590242571938</v>
      </c>
      <c r="D1783" s="14" t="s">
        <v>1824</v>
      </c>
      <c r="E1783" s="14" t="s">
        <v>37</v>
      </c>
    </row>
    <row r="1784" spans="1:5" x14ac:dyDescent="0.25">
      <c r="A1784" s="36">
        <v>1782</v>
      </c>
      <c r="B1784" s="37">
        <v>995618766</v>
      </c>
      <c r="C1784" s="38">
        <v>0.46362111645919324</v>
      </c>
      <c r="D1784" s="14" t="s">
        <v>1825</v>
      </c>
      <c r="E1784" s="14" t="s">
        <v>40</v>
      </c>
    </row>
    <row r="1785" spans="1:5" x14ac:dyDescent="0.25">
      <c r="A1785" s="36">
        <v>1783</v>
      </c>
      <c r="B1785" s="37">
        <v>882637650</v>
      </c>
      <c r="C1785" s="38">
        <v>0.41101018451666932</v>
      </c>
      <c r="D1785" s="14" t="s">
        <v>1826</v>
      </c>
      <c r="E1785" s="14" t="s">
        <v>43</v>
      </c>
    </row>
    <row r="1786" spans="1:5" x14ac:dyDescent="0.25">
      <c r="A1786" s="36">
        <v>1784</v>
      </c>
      <c r="B1786" s="37">
        <v>428462834</v>
      </c>
      <c r="C1786" s="38">
        <v>0.19951855493687026</v>
      </c>
      <c r="D1786" s="14" t="s">
        <v>1827</v>
      </c>
      <c r="E1786" s="14" t="s">
        <v>46</v>
      </c>
    </row>
    <row r="1787" spans="1:5" x14ac:dyDescent="0.25">
      <c r="A1787" s="36">
        <v>1785</v>
      </c>
      <c r="B1787" s="37">
        <v>203564785</v>
      </c>
      <c r="C1787" s="38">
        <v>9.4792239877764251E-2</v>
      </c>
      <c r="D1787" s="14" t="s">
        <v>1828</v>
      </c>
      <c r="E1787" s="14" t="s">
        <v>48</v>
      </c>
    </row>
    <row r="1788" spans="1:5" x14ac:dyDescent="0.25">
      <c r="A1788" s="36">
        <v>1786</v>
      </c>
      <c r="B1788" s="37">
        <v>1127898100</v>
      </c>
      <c r="C1788" s="38">
        <v>0.52521848144252714</v>
      </c>
      <c r="D1788" s="14" t="s">
        <v>1829</v>
      </c>
      <c r="E1788" s="14" t="s">
        <v>37</v>
      </c>
    </row>
    <row r="1789" spans="1:5" x14ac:dyDescent="0.25">
      <c r="A1789" s="36">
        <v>1787</v>
      </c>
      <c r="B1789" s="37">
        <v>1642737090</v>
      </c>
      <c r="C1789" s="38">
        <v>0.76495906839378136</v>
      </c>
      <c r="D1789" s="14" t="s">
        <v>1830</v>
      </c>
      <c r="E1789" s="14" t="s">
        <v>40</v>
      </c>
    </row>
    <row r="1790" spans="1:5" x14ac:dyDescent="0.25">
      <c r="A1790" s="36">
        <v>1788</v>
      </c>
      <c r="B1790" s="37">
        <v>2073296902</v>
      </c>
      <c r="C1790" s="38">
        <v>0.96545410480604232</v>
      </c>
      <c r="D1790" s="14" t="s">
        <v>1831</v>
      </c>
      <c r="E1790" s="14" t="s">
        <v>43</v>
      </c>
    </row>
    <row r="1791" spans="1:5" x14ac:dyDescent="0.25">
      <c r="A1791" s="36">
        <v>1789</v>
      </c>
      <c r="B1791" s="37">
        <v>2074336539</v>
      </c>
      <c r="C1791" s="38">
        <v>0.96593822351002057</v>
      </c>
      <c r="D1791" s="14" t="s">
        <v>1832</v>
      </c>
      <c r="E1791" s="14" t="s">
        <v>46</v>
      </c>
    </row>
    <row r="1792" spans="1:5" x14ac:dyDescent="0.25">
      <c r="A1792" s="36">
        <v>1790</v>
      </c>
      <c r="B1792" s="37">
        <v>1704294482</v>
      </c>
      <c r="C1792" s="38">
        <v>0.79362396280915659</v>
      </c>
      <c r="D1792" s="14" t="s">
        <v>1833</v>
      </c>
      <c r="E1792" s="14" t="s">
        <v>48</v>
      </c>
    </row>
    <row r="1793" spans="1:5" x14ac:dyDescent="0.25">
      <c r="A1793" s="36">
        <v>1791</v>
      </c>
      <c r="B1793" s="37">
        <v>856482744</v>
      </c>
      <c r="C1793" s="38">
        <v>0.398830857313625</v>
      </c>
      <c r="D1793" s="14" t="s">
        <v>1834</v>
      </c>
      <c r="E1793" s="14" t="s">
        <v>37</v>
      </c>
    </row>
    <row r="1794" spans="1:5" x14ac:dyDescent="0.25">
      <c r="A1794" s="36">
        <v>1792</v>
      </c>
      <c r="B1794" s="37">
        <v>869528815</v>
      </c>
      <c r="C1794" s="38">
        <v>0.40490590753262207</v>
      </c>
      <c r="D1794" s="14" t="s">
        <v>1835</v>
      </c>
      <c r="E1794" s="14" t="s">
        <v>40</v>
      </c>
    </row>
    <row r="1795" spans="1:5" x14ac:dyDescent="0.25">
      <c r="A1795" s="36">
        <v>1793</v>
      </c>
      <c r="B1795" s="37">
        <v>1026221626</v>
      </c>
      <c r="C1795" s="38">
        <v>0.47787168364872767</v>
      </c>
      <c r="D1795" s="14" t="s">
        <v>1836</v>
      </c>
      <c r="E1795" s="14" t="s">
        <v>43</v>
      </c>
    </row>
    <row r="1796" spans="1:5" x14ac:dyDescent="0.25">
      <c r="A1796" s="36">
        <v>1794</v>
      </c>
      <c r="B1796" s="37">
        <v>1796072310</v>
      </c>
      <c r="C1796" s="38">
        <v>0.83636134436184606</v>
      </c>
      <c r="D1796" s="14" t="s">
        <v>1837</v>
      </c>
      <c r="E1796" s="14" t="s">
        <v>46</v>
      </c>
    </row>
    <row r="1797" spans="1:5" x14ac:dyDescent="0.25">
      <c r="A1797" s="36">
        <v>1795</v>
      </c>
      <c r="B1797" s="37">
        <v>1801437805</v>
      </c>
      <c r="C1797" s="38">
        <v>0.8388598476717527</v>
      </c>
      <c r="D1797" s="14" t="s">
        <v>1838</v>
      </c>
      <c r="E1797" s="14" t="s">
        <v>48</v>
      </c>
    </row>
    <row r="1798" spans="1:5" x14ac:dyDescent="0.25">
      <c r="A1798" s="36">
        <v>1796</v>
      </c>
      <c r="B1798" s="37">
        <v>1417514807</v>
      </c>
      <c r="C1798" s="38">
        <v>0.66008177011277613</v>
      </c>
      <c r="D1798" s="14" t="s">
        <v>1839</v>
      </c>
      <c r="E1798" s="14" t="s">
        <v>37</v>
      </c>
    </row>
    <row r="1799" spans="1:5" x14ac:dyDescent="0.25">
      <c r="A1799" s="36">
        <v>1797</v>
      </c>
      <c r="B1799" s="37">
        <v>172943117</v>
      </c>
      <c r="C1799" s="38">
        <v>8.0532914530734023E-2</v>
      </c>
      <c r="D1799" s="14" t="s">
        <v>1840</v>
      </c>
      <c r="E1799" s="14" t="s">
        <v>40</v>
      </c>
    </row>
    <row r="1800" spans="1:5" x14ac:dyDescent="0.25">
      <c r="A1800" s="36">
        <v>1798</v>
      </c>
      <c r="B1800" s="37">
        <v>1120331945</v>
      </c>
      <c r="C1800" s="38">
        <v>0.52169521596361657</v>
      </c>
      <c r="D1800" s="14" t="s">
        <v>1841</v>
      </c>
      <c r="E1800" s="14" t="s">
        <v>43</v>
      </c>
    </row>
    <row r="1801" spans="1:5" x14ac:dyDescent="0.25">
      <c r="A1801" s="36">
        <v>1799</v>
      </c>
      <c r="B1801" s="37">
        <v>432691723</v>
      </c>
      <c r="C1801" s="38">
        <v>0.20148778483340879</v>
      </c>
      <c r="D1801" s="14" t="s">
        <v>1842</v>
      </c>
      <c r="E1801" s="14" t="s">
        <v>46</v>
      </c>
    </row>
    <row r="1802" spans="1:5" x14ac:dyDescent="0.25">
      <c r="A1802" s="36">
        <v>1800</v>
      </c>
      <c r="B1802" s="37">
        <v>1991116291</v>
      </c>
      <c r="C1802" s="38">
        <v>0.92718577567822569</v>
      </c>
      <c r="D1802" s="14" t="s">
        <v>1843</v>
      </c>
      <c r="E1802" s="14" t="s">
        <v>48</v>
      </c>
    </row>
    <row r="1803" spans="1:5" x14ac:dyDescent="0.25">
      <c r="A1803" s="36">
        <v>1801</v>
      </c>
      <c r="B1803" s="37">
        <v>806158370</v>
      </c>
      <c r="C1803" s="38">
        <v>0.37539674452291649</v>
      </c>
      <c r="D1803" s="14" t="s">
        <v>1844</v>
      </c>
      <c r="E1803" s="14" t="s">
        <v>37</v>
      </c>
    </row>
    <row r="1804" spans="1:5" x14ac:dyDescent="0.25">
      <c r="A1804" s="36">
        <v>1802</v>
      </c>
      <c r="B1804" s="37">
        <v>1585514994</v>
      </c>
      <c r="C1804" s="38">
        <v>0.73831295349556625</v>
      </c>
      <c r="D1804" s="14" t="s">
        <v>1845</v>
      </c>
      <c r="E1804" s="14" t="s">
        <v>40</v>
      </c>
    </row>
    <row r="1805" spans="1:5" x14ac:dyDescent="0.25">
      <c r="A1805" s="36">
        <v>1803</v>
      </c>
      <c r="B1805" s="37">
        <v>1806147893</v>
      </c>
      <c r="C1805" s="38">
        <v>0.84105315331418684</v>
      </c>
      <c r="D1805" s="14" t="s">
        <v>1846</v>
      </c>
      <c r="E1805" s="14" t="s">
        <v>43</v>
      </c>
    </row>
    <row r="1806" spans="1:5" x14ac:dyDescent="0.25">
      <c r="A1806" s="36">
        <v>1804</v>
      </c>
      <c r="B1806" s="37">
        <v>1013947810</v>
      </c>
      <c r="C1806" s="38">
        <v>0.47215624268732792</v>
      </c>
      <c r="D1806" s="14" t="s">
        <v>1847</v>
      </c>
      <c r="E1806" s="14" t="s">
        <v>46</v>
      </c>
    </row>
    <row r="1807" spans="1:5" x14ac:dyDescent="0.25">
      <c r="A1807" s="36">
        <v>1805</v>
      </c>
      <c r="B1807" s="37">
        <v>734428821</v>
      </c>
      <c r="C1807" s="38">
        <v>0.3419950703820191</v>
      </c>
      <c r="D1807" s="14" t="s">
        <v>1848</v>
      </c>
      <c r="E1807" s="14" t="s">
        <v>48</v>
      </c>
    </row>
    <row r="1808" spans="1:5" x14ac:dyDescent="0.25">
      <c r="A1808" s="36">
        <v>1806</v>
      </c>
      <c r="B1808" s="37">
        <v>1753771675</v>
      </c>
      <c r="C1808" s="38">
        <v>0.8166635762046387</v>
      </c>
      <c r="D1808" s="14" t="s">
        <v>1849</v>
      </c>
      <c r="E1808" s="14" t="s">
        <v>37</v>
      </c>
    </row>
    <row r="1809" spans="1:5" x14ac:dyDescent="0.25">
      <c r="A1809" s="36">
        <v>1807</v>
      </c>
      <c r="B1809" s="37">
        <v>883298619</v>
      </c>
      <c r="C1809" s="38">
        <v>0.41131797219222316</v>
      </c>
      <c r="D1809" s="14" t="s">
        <v>1850</v>
      </c>
      <c r="E1809" s="14" t="s">
        <v>40</v>
      </c>
    </row>
    <row r="1810" spans="1:5" x14ac:dyDescent="0.25">
      <c r="A1810" s="36">
        <v>1808</v>
      </c>
      <c r="B1810" s="37">
        <v>1116260295</v>
      </c>
      <c r="C1810" s="38">
        <v>0.51979920618226716</v>
      </c>
      <c r="D1810" s="14" t="s">
        <v>1851</v>
      </c>
      <c r="E1810" s="14" t="s">
        <v>43</v>
      </c>
    </row>
    <row r="1811" spans="1:5" x14ac:dyDescent="0.25">
      <c r="A1811" s="36">
        <v>1809</v>
      </c>
      <c r="B1811" s="37">
        <v>527865405</v>
      </c>
      <c r="C1811" s="38">
        <v>0.24580648413198369</v>
      </c>
      <c r="D1811" s="14" t="s">
        <v>1852</v>
      </c>
      <c r="E1811" s="14" t="s">
        <v>46</v>
      </c>
    </row>
    <row r="1812" spans="1:5" x14ac:dyDescent="0.25">
      <c r="A1812" s="36">
        <v>1810</v>
      </c>
      <c r="B1812" s="37">
        <v>1095508151</v>
      </c>
      <c r="C1812" s="38">
        <v>0.51013573608833163</v>
      </c>
      <c r="D1812" s="14" t="s">
        <v>1853</v>
      </c>
      <c r="E1812" s="14" t="s">
        <v>48</v>
      </c>
    </row>
    <row r="1813" spans="1:5" x14ac:dyDescent="0.25">
      <c r="A1813" s="36">
        <v>1811</v>
      </c>
      <c r="B1813" s="37">
        <v>339835800</v>
      </c>
      <c r="C1813" s="38">
        <v>0.15824837617494555</v>
      </c>
      <c r="D1813" s="14" t="s">
        <v>1854</v>
      </c>
      <c r="E1813" s="14" t="s">
        <v>37</v>
      </c>
    </row>
    <row r="1814" spans="1:5" x14ac:dyDescent="0.25">
      <c r="A1814" s="36">
        <v>1812</v>
      </c>
      <c r="B1814" s="37">
        <v>1826410247</v>
      </c>
      <c r="C1814" s="38">
        <v>0.85048854716610567</v>
      </c>
      <c r="D1814" s="14" t="s">
        <v>1855</v>
      </c>
      <c r="E1814" s="14" t="s">
        <v>40</v>
      </c>
    </row>
    <row r="1815" spans="1:5" x14ac:dyDescent="0.25">
      <c r="A1815" s="36">
        <v>1813</v>
      </c>
      <c r="B1815" s="37">
        <v>1978063525</v>
      </c>
      <c r="C1815" s="38">
        <v>0.92110760785690859</v>
      </c>
      <c r="D1815" s="14" t="s">
        <v>1856</v>
      </c>
      <c r="E1815" s="14" t="s">
        <v>43</v>
      </c>
    </row>
    <row r="1816" spans="1:5" x14ac:dyDescent="0.25">
      <c r="A1816" s="36">
        <v>1814</v>
      </c>
      <c r="B1816" s="37">
        <v>242888919</v>
      </c>
      <c r="C1816" s="38">
        <v>0.11310396674699334</v>
      </c>
      <c r="D1816" s="14" t="s">
        <v>1857</v>
      </c>
      <c r="E1816" s="14" t="s">
        <v>46</v>
      </c>
    </row>
    <row r="1817" spans="1:5" x14ac:dyDescent="0.25">
      <c r="A1817" s="36">
        <v>1815</v>
      </c>
      <c r="B1817" s="37">
        <v>1830483890</v>
      </c>
      <c r="C1817" s="38">
        <v>0.85238548501040112</v>
      </c>
      <c r="D1817" s="14" t="s">
        <v>1858</v>
      </c>
      <c r="E1817" s="14" t="s">
        <v>48</v>
      </c>
    </row>
    <row r="1818" spans="1:5" x14ac:dyDescent="0.25">
      <c r="A1818" s="36">
        <v>1816</v>
      </c>
      <c r="B1818" s="37">
        <v>905320874</v>
      </c>
      <c r="C1818" s="38">
        <v>0.4215728838097178</v>
      </c>
      <c r="D1818" s="14" t="s">
        <v>1859</v>
      </c>
      <c r="E1818" s="14" t="s">
        <v>37</v>
      </c>
    </row>
    <row r="1819" spans="1:5" x14ac:dyDescent="0.25">
      <c r="A1819" s="36">
        <v>1817</v>
      </c>
      <c r="B1819" s="37">
        <v>164409880</v>
      </c>
      <c r="C1819" s="38">
        <v>7.6559316402561639E-2</v>
      </c>
      <c r="D1819" s="14" t="s">
        <v>1860</v>
      </c>
      <c r="E1819" s="14" t="s">
        <v>40</v>
      </c>
    </row>
    <row r="1820" spans="1:5" x14ac:dyDescent="0.25">
      <c r="A1820" s="36">
        <v>1818</v>
      </c>
      <c r="B1820" s="37">
        <v>790855778</v>
      </c>
      <c r="C1820" s="38">
        <v>0.36827091982973315</v>
      </c>
      <c r="D1820" s="14" t="s">
        <v>1861</v>
      </c>
      <c r="E1820" s="14" t="s">
        <v>43</v>
      </c>
    </row>
    <row r="1821" spans="1:5" x14ac:dyDescent="0.25">
      <c r="A1821" s="36">
        <v>1819</v>
      </c>
      <c r="B1821" s="37">
        <v>1342103261</v>
      </c>
      <c r="C1821" s="38">
        <v>0.62496553250819697</v>
      </c>
      <c r="D1821" s="14" t="s">
        <v>1862</v>
      </c>
      <c r="E1821" s="14" t="s">
        <v>46</v>
      </c>
    </row>
    <row r="1822" spans="1:5" x14ac:dyDescent="0.25">
      <c r="A1822" s="36">
        <v>1820</v>
      </c>
      <c r="B1822" s="37">
        <v>483471911</v>
      </c>
      <c r="C1822" s="38">
        <v>0.22513415255822899</v>
      </c>
      <c r="D1822" s="14" t="s">
        <v>1863</v>
      </c>
      <c r="E1822" s="14" t="s">
        <v>48</v>
      </c>
    </row>
    <row r="1823" spans="1:5" x14ac:dyDescent="0.25">
      <c r="A1823" s="36">
        <v>1821</v>
      </c>
      <c r="B1823" s="37">
        <v>1927201071</v>
      </c>
      <c r="C1823" s="38">
        <v>0.89742293204060897</v>
      </c>
      <c r="D1823" s="14" t="s">
        <v>1864</v>
      </c>
      <c r="E1823" s="14" t="s">
        <v>37</v>
      </c>
    </row>
    <row r="1824" spans="1:5" x14ac:dyDescent="0.25">
      <c r="A1824" s="36">
        <v>1822</v>
      </c>
      <c r="B1824" s="37">
        <v>811943897</v>
      </c>
      <c r="C1824" s="38">
        <v>0.37809084047474473</v>
      </c>
      <c r="D1824" s="14" t="s">
        <v>1865</v>
      </c>
      <c r="E1824" s="14" t="s">
        <v>40</v>
      </c>
    </row>
    <row r="1825" spans="1:5" x14ac:dyDescent="0.25">
      <c r="A1825" s="36">
        <v>1823</v>
      </c>
      <c r="B1825" s="37">
        <v>275687874</v>
      </c>
      <c r="C1825" s="38">
        <v>0.12837717036175411</v>
      </c>
      <c r="D1825" s="14" t="s">
        <v>1866</v>
      </c>
      <c r="E1825" s="14" t="s">
        <v>43</v>
      </c>
    </row>
    <row r="1826" spans="1:5" x14ac:dyDescent="0.25">
      <c r="A1826" s="36">
        <v>1824</v>
      </c>
      <c r="B1826" s="37">
        <v>1034297584</v>
      </c>
      <c r="C1826" s="38">
        <v>0.48163234464900212</v>
      </c>
      <c r="D1826" s="14" t="s">
        <v>1867</v>
      </c>
      <c r="E1826" s="14" t="s">
        <v>46</v>
      </c>
    </row>
    <row r="1827" spans="1:5" x14ac:dyDescent="0.25">
      <c r="A1827" s="36">
        <v>1825</v>
      </c>
      <c r="B1827" s="37">
        <v>1182432040</v>
      </c>
      <c r="C1827" s="38">
        <v>0.55061282615671536</v>
      </c>
      <c r="D1827" s="14" t="s">
        <v>1868</v>
      </c>
      <c r="E1827" s="14" t="s">
        <v>48</v>
      </c>
    </row>
    <row r="1828" spans="1:5" x14ac:dyDescent="0.25">
      <c r="A1828" s="36">
        <v>1826</v>
      </c>
      <c r="B1828" s="37">
        <v>615456900</v>
      </c>
      <c r="C1828" s="38">
        <v>0.28659445246988652</v>
      </c>
      <c r="D1828" s="14" t="s">
        <v>1869</v>
      </c>
      <c r="E1828" s="14" t="s">
        <v>37</v>
      </c>
    </row>
    <row r="1829" spans="1:5" x14ac:dyDescent="0.25">
      <c r="A1829" s="36">
        <v>1827</v>
      </c>
      <c r="B1829" s="37">
        <v>221477255</v>
      </c>
      <c r="C1829" s="38">
        <v>0.10313338372070965</v>
      </c>
      <c r="D1829" s="14" t="s">
        <v>1870</v>
      </c>
      <c r="E1829" s="14" t="s">
        <v>40</v>
      </c>
    </row>
    <row r="1830" spans="1:5" x14ac:dyDescent="0.25">
      <c r="A1830" s="36">
        <v>1828</v>
      </c>
      <c r="B1830" s="37">
        <v>1219069902</v>
      </c>
      <c r="C1830" s="38">
        <v>0.5676736601477832</v>
      </c>
      <c r="D1830" s="14" t="s">
        <v>1871</v>
      </c>
      <c r="E1830" s="14" t="s">
        <v>43</v>
      </c>
    </row>
    <row r="1831" spans="1:5" x14ac:dyDescent="0.25">
      <c r="A1831" s="36">
        <v>1829</v>
      </c>
      <c r="B1831" s="37">
        <v>1012094944</v>
      </c>
      <c r="C1831" s="38">
        <v>0.47129343472015739</v>
      </c>
      <c r="D1831" s="14" t="s">
        <v>1872</v>
      </c>
      <c r="E1831" s="14" t="s">
        <v>46</v>
      </c>
    </row>
    <row r="1832" spans="1:5" x14ac:dyDescent="0.25">
      <c r="A1832" s="36">
        <v>1830</v>
      </c>
      <c r="B1832" s="37">
        <v>379167263</v>
      </c>
      <c r="C1832" s="38">
        <v>0.17656351587575092</v>
      </c>
      <c r="D1832" s="14" t="s">
        <v>1873</v>
      </c>
      <c r="E1832" s="14" t="s">
        <v>48</v>
      </c>
    </row>
    <row r="1833" spans="1:5" x14ac:dyDescent="0.25">
      <c r="A1833" s="36">
        <v>1831</v>
      </c>
      <c r="B1833" s="37">
        <v>1843397880</v>
      </c>
      <c r="C1833" s="38">
        <v>0.8583990302208806</v>
      </c>
      <c r="D1833" s="14" t="s">
        <v>1874</v>
      </c>
      <c r="E1833" s="14" t="s">
        <v>37</v>
      </c>
    </row>
    <row r="1834" spans="1:5" x14ac:dyDescent="0.25">
      <c r="A1834" s="36">
        <v>1832</v>
      </c>
      <c r="B1834" s="37">
        <v>253219154</v>
      </c>
      <c r="C1834" s="38">
        <v>0.11791435727752482</v>
      </c>
      <c r="D1834" s="14" t="s">
        <v>1875</v>
      </c>
      <c r="E1834" s="14" t="s">
        <v>40</v>
      </c>
    </row>
    <row r="1835" spans="1:5" x14ac:dyDescent="0.25">
      <c r="A1835" s="36">
        <v>1833</v>
      </c>
      <c r="B1835" s="37">
        <v>1863335736</v>
      </c>
      <c r="C1835" s="38">
        <v>0.86768331791632036</v>
      </c>
      <c r="D1835" s="14" t="s">
        <v>1876</v>
      </c>
      <c r="E1835" s="14" t="s">
        <v>43</v>
      </c>
    </row>
    <row r="1836" spans="1:5" x14ac:dyDescent="0.25">
      <c r="A1836" s="36">
        <v>1834</v>
      </c>
      <c r="B1836" s="37">
        <v>100696816</v>
      </c>
      <c r="C1836" s="38">
        <v>4.68906089881857E-2</v>
      </c>
      <c r="D1836" s="14" t="s">
        <v>1877</v>
      </c>
      <c r="E1836" s="14" t="s">
        <v>46</v>
      </c>
    </row>
    <row r="1837" spans="1:5" x14ac:dyDescent="0.25">
      <c r="A1837" s="36">
        <v>1835</v>
      </c>
      <c r="B1837" s="37">
        <v>135424626</v>
      </c>
      <c r="C1837" s="38">
        <v>6.3062005705694674E-2</v>
      </c>
      <c r="D1837" s="14" t="s">
        <v>1878</v>
      </c>
      <c r="E1837" s="14" t="s">
        <v>48</v>
      </c>
    </row>
    <row r="1838" spans="1:5" x14ac:dyDescent="0.25">
      <c r="A1838" s="36">
        <v>1836</v>
      </c>
      <c r="B1838" s="37">
        <v>1626038577</v>
      </c>
      <c r="C1838" s="38">
        <v>0.75718321733045546</v>
      </c>
      <c r="D1838" s="14" t="s">
        <v>1879</v>
      </c>
      <c r="E1838" s="14" t="s">
        <v>37</v>
      </c>
    </row>
    <row r="1839" spans="1:5" x14ac:dyDescent="0.25">
      <c r="A1839" s="36">
        <v>1837</v>
      </c>
      <c r="B1839" s="37">
        <v>1861788698</v>
      </c>
      <c r="C1839" s="38">
        <v>0.86696292220939086</v>
      </c>
      <c r="D1839" s="14" t="s">
        <v>1880</v>
      </c>
      <c r="E1839" s="14" t="s">
        <v>40</v>
      </c>
    </row>
    <row r="1840" spans="1:5" x14ac:dyDescent="0.25">
      <c r="A1840" s="36">
        <v>1838</v>
      </c>
      <c r="B1840" s="37">
        <v>1997646266</v>
      </c>
      <c r="C1840" s="38">
        <v>0.93022653224422902</v>
      </c>
      <c r="D1840" s="14" t="s">
        <v>1881</v>
      </c>
      <c r="E1840" s="14" t="s">
        <v>43</v>
      </c>
    </row>
    <row r="1841" spans="1:5" x14ac:dyDescent="0.25">
      <c r="A1841" s="36">
        <v>1839</v>
      </c>
      <c r="B1841" s="37">
        <v>1698057778</v>
      </c>
      <c r="C1841" s="38">
        <v>0.7907197711946069</v>
      </c>
      <c r="D1841" s="14" t="s">
        <v>1882</v>
      </c>
      <c r="E1841" s="14" t="s">
        <v>46</v>
      </c>
    </row>
    <row r="1842" spans="1:5" x14ac:dyDescent="0.25">
      <c r="A1842" s="36">
        <v>1840</v>
      </c>
      <c r="B1842" s="37">
        <v>642706742</v>
      </c>
      <c r="C1842" s="38">
        <v>0.29928364898044785</v>
      </c>
      <c r="D1842" s="14" t="s">
        <v>1883</v>
      </c>
      <c r="E1842" s="14" t="s">
        <v>48</v>
      </c>
    </row>
    <row r="1843" spans="1:5" x14ac:dyDescent="0.25">
      <c r="A1843" s="36">
        <v>1841</v>
      </c>
      <c r="B1843" s="37">
        <v>1262624018</v>
      </c>
      <c r="C1843" s="38">
        <v>0.58795512588133814</v>
      </c>
      <c r="D1843" s="14" t="s">
        <v>1884</v>
      </c>
      <c r="E1843" s="14" t="s">
        <v>37</v>
      </c>
    </row>
    <row r="1844" spans="1:5" x14ac:dyDescent="0.25">
      <c r="A1844" s="36">
        <v>1842</v>
      </c>
      <c r="B1844" s="37">
        <v>1026590771</v>
      </c>
      <c r="C1844" s="38">
        <v>0.47804358018471094</v>
      </c>
      <c r="D1844" s="14" t="s">
        <v>1885</v>
      </c>
      <c r="E1844" s="14" t="s">
        <v>40</v>
      </c>
    </row>
    <row r="1845" spans="1:5" x14ac:dyDescent="0.25">
      <c r="A1845" s="36">
        <v>1843</v>
      </c>
      <c r="B1845" s="37">
        <v>2066830393</v>
      </c>
      <c r="C1845" s="38">
        <v>0.96244290189931303</v>
      </c>
      <c r="D1845" s="14" t="s">
        <v>1886</v>
      </c>
      <c r="E1845" s="14" t="s">
        <v>43</v>
      </c>
    </row>
    <row r="1846" spans="1:5" x14ac:dyDescent="0.25">
      <c r="A1846" s="36">
        <v>1844</v>
      </c>
      <c r="B1846" s="37">
        <v>1596482078</v>
      </c>
      <c r="C1846" s="38">
        <v>0.74341989995139646</v>
      </c>
      <c r="D1846" s="14" t="s">
        <v>1887</v>
      </c>
      <c r="E1846" s="14" t="s">
        <v>46</v>
      </c>
    </row>
    <row r="1847" spans="1:5" x14ac:dyDescent="0.25">
      <c r="A1847" s="36">
        <v>1845</v>
      </c>
      <c r="B1847" s="37">
        <v>1033159846</v>
      </c>
      <c r="C1847" s="38">
        <v>0.4811025441070565</v>
      </c>
      <c r="D1847" s="14" t="s">
        <v>1888</v>
      </c>
      <c r="E1847" s="14" t="s">
        <v>48</v>
      </c>
    </row>
    <row r="1848" spans="1:5" x14ac:dyDescent="0.25">
      <c r="A1848" s="36">
        <v>1846</v>
      </c>
      <c r="B1848" s="37">
        <v>1469664244</v>
      </c>
      <c r="C1848" s="38">
        <v>0.68436574408987805</v>
      </c>
      <c r="D1848" s="14" t="s">
        <v>1889</v>
      </c>
      <c r="E1848" s="14" t="s">
        <v>37</v>
      </c>
    </row>
    <row r="1849" spans="1:5" x14ac:dyDescent="0.25">
      <c r="A1849" s="36">
        <v>1847</v>
      </c>
      <c r="B1849" s="37">
        <v>778070155</v>
      </c>
      <c r="C1849" s="38">
        <v>0.36231715016174931</v>
      </c>
      <c r="D1849" s="14" t="s">
        <v>1890</v>
      </c>
      <c r="E1849" s="14" t="s">
        <v>40</v>
      </c>
    </row>
    <row r="1850" spans="1:5" x14ac:dyDescent="0.25">
      <c r="A1850" s="36">
        <v>1848</v>
      </c>
      <c r="B1850" s="37">
        <v>915920956</v>
      </c>
      <c r="C1850" s="38">
        <v>0.42650893164170389</v>
      </c>
      <c r="D1850" s="14" t="s">
        <v>1891</v>
      </c>
      <c r="E1850" s="14" t="s">
        <v>43</v>
      </c>
    </row>
    <row r="1851" spans="1:5" x14ac:dyDescent="0.25">
      <c r="A1851" s="36">
        <v>1849</v>
      </c>
      <c r="B1851" s="37">
        <v>540257178</v>
      </c>
      <c r="C1851" s="38">
        <v>0.25157685310187605</v>
      </c>
      <c r="D1851" s="14" t="s">
        <v>1892</v>
      </c>
      <c r="E1851" s="14" t="s">
        <v>46</v>
      </c>
    </row>
    <row r="1852" spans="1:5" x14ac:dyDescent="0.25">
      <c r="A1852" s="36">
        <v>1850</v>
      </c>
      <c r="B1852" s="37">
        <v>931031541</v>
      </c>
      <c r="C1852" s="38">
        <v>0.43354534610805351</v>
      </c>
      <c r="D1852" s="14" t="s">
        <v>1893</v>
      </c>
      <c r="E1852" s="14" t="s">
        <v>48</v>
      </c>
    </row>
    <row r="1853" spans="1:5" x14ac:dyDescent="0.25">
      <c r="A1853" s="36">
        <v>1851</v>
      </c>
      <c r="B1853" s="37">
        <v>1158280639</v>
      </c>
      <c r="C1853" s="38">
        <v>0.53936645367153291</v>
      </c>
      <c r="D1853" s="14" t="s">
        <v>1894</v>
      </c>
      <c r="E1853" s="14" t="s">
        <v>37</v>
      </c>
    </row>
    <row r="1854" spans="1:5" x14ac:dyDescent="0.25">
      <c r="A1854" s="36">
        <v>1852</v>
      </c>
      <c r="B1854" s="37">
        <v>898579215</v>
      </c>
      <c r="C1854" s="38">
        <v>0.41843355419972611</v>
      </c>
      <c r="D1854" s="14" t="s">
        <v>1895</v>
      </c>
      <c r="E1854" s="14" t="s">
        <v>40</v>
      </c>
    </row>
    <row r="1855" spans="1:5" x14ac:dyDescent="0.25">
      <c r="A1855" s="36">
        <v>1853</v>
      </c>
      <c r="B1855" s="37">
        <v>1254002127</v>
      </c>
      <c r="C1855" s="38">
        <v>0.58394024501738151</v>
      </c>
      <c r="D1855" s="14" t="s">
        <v>1896</v>
      </c>
      <c r="E1855" s="14" t="s">
        <v>43</v>
      </c>
    </row>
    <row r="1856" spans="1:5" x14ac:dyDescent="0.25">
      <c r="A1856" s="36">
        <v>1854</v>
      </c>
      <c r="B1856" s="37">
        <v>1306686897</v>
      </c>
      <c r="C1856" s="38">
        <v>0.60847350284851787</v>
      </c>
      <c r="D1856" s="14" t="s">
        <v>1897</v>
      </c>
      <c r="E1856" s="14" t="s">
        <v>46</v>
      </c>
    </row>
    <row r="1857" spans="1:5" x14ac:dyDescent="0.25">
      <c r="A1857" s="36">
        <v>1855</v>
      </c>
      <c r="B1857" s="37">
        <v>1781262255</v>
      </c>
      <c r="C1857" s="38">
        <v>0.82946487508223621</v>
      </c>
      <c r="D1857" s="14" t="s">
        <v>1898</v>
      </c>
      <c r="E1857" s="14" t="s">
        <v>48</v>
      </c>
    </row>
    <row r="1858" spans="1:5" x14ac:dyDescent="0.25">
      <c r="A1858" s="36">
        <v>1856</v>
      </c>
      <c r="B1858" s="37">
        <v>1059422843</v>
      </c>
      <c r="C1858" s="38">
        <v>0.49333220510433062</v>
      </c>
      <c r="D1858" s="14" t="s">
        <v>1899</v>
      </c>
      <c r="E1858" s="14" t="s">
        <v>37</v>
      </c>
    </row>
    <row r="1859" spans="1:5" x14ac:dyDescent="0.25">
      <c r="A1859" s="36">
        <v>1857</v>
      </c>
      <c r="B1859" s="37">
        <v>560143690</v>
      </c>
      <c r="C1859" s="38">
        <v>0.26083723188416902</v>
      </c>
      <c r="D1859" s="14" t="s">
        <v>1900</v>
      </c>
      <c r="E1859" s="14" t="s">
        <v>40</v>
      </c>
    </row>
    <row r="1860" spans="1:5" x14ac:dyDescent="0.25">
      <c r="A1860" s="36">
        <v>1858</v>
      </c>
      <c r="B1860" s="37">
        <v>1214483483</v>
      </c>
      <c r="C1860" s="38">
        <v>0.56553794237111599</v>
      </c>
      <c r="D1860" s="14" t="s">
        <v>1901</v>
      </c>
      <c r="E1860" s="14" t="s">
        <v>43</v>
      </c>
    </row>
    <row r="1861" spans="1:5" x14ac:dyDescent="0.25">
      <c r="A1861" s="36">
        <v>1859</v>
      </c>
      <c r="B1861" s="37">
        <v>1107374054</v>
      </c>
      <c r="C1861" s="38">
        <v>0.51566122775695344</v>
      </c>
      <c r="D1861" s="14" t="s">
        <v>1902</v>
      </c>
      <c r="E1861" s="14" t="s">
        <v>46</v>
      </c>
    </row>
    <row r="1862" spans="1:5" x14ac:dyDescent="0.25">
      <c r="A1862" s="36">
        <v>1860</v>
      </c>
      <c r="B1862" s="37">
        <v>1024925416</v>
      </c>
      <c r="C1862" s="38">
        <v>0.47726808883122546</v>
      </c>
      <c r="D1862" s="14" t="s">
        <v>1903</v>
      </c>
      <c r="E1862" s="14" t="s">
        <v>48</v>
      </c>
    </row>
    <row r="1863" spans="1:5" x14ac:dyDescent="0.25">
      <c r="A1863" s="36">
        <v>1861</v>
      </c>
      <c r="B1863" s="37">
        <v>295703648</v>
      </c>
      <c r="C1863" s="38">
        <v>0.13769774145339511</v>
      </c>
      <c r="D1863" s="14" t="s">
        <v>1904</v>
      </c>
      <c r="E1863" s="14" t="s">
        <v>37</v>
      </c>
    </row>
    <row r="1864" spans="1:5" x14ac:dyDescent="0.25">
      <c r="A1864" s="36">
        <v>1862</v>
      </c>
      <c r="B1864" s="37">
        <v>1729215376</v>
      </c>
      <c r="C1864" s="38">
        <v>0.80522865839546021</v>
      </c>
      <c r="D1864" s="14" t="s">
        <v>1905</v>
      </c>
      <c r="E1864" s="14" t="s">
        <v>40</v>
      </c>
    </row>
    <row r="1865" spans="1:5" x14ac:dyDescent="0.25">
      <c r="A1865" s="36">
        <v>1863</v>
      </c>
      <c r="B1865" s="37">
        <v>1513442642</v>
      </c>
      <c r="C1865" s="38">
        <v>0.70475164926832157</v>
      </c>
      <c r="D1865" s="14" t="s">
        <v>1906</v>
      </c>
      <c r="E1865" s="14" t="s">
        <v>43</v>
      </c>
    </row>
    <row r="1866" spans="1:5" x14ac:dyDescent="0.25">
      <c r="A1866" s="36">
        <v>1864</v>
      </c>
      <c r="B1866" s="37">
        <v>453407454</v>
      </c>
      <c r="C1866" s="38">
        <v>0.21113429880288165</v>
      </c>
      <c r="D1866" s="14" t="s">
        <v>1907</v>
      </c>
      <c r="E1866" s="14" t="s">
        <v>46</v>
      </c>
    </row>
    <row r="1867" spans="1:5" x14ac:dyDescent="0.25">
      <c r="A1867" s="36">
        <v>1865</v>
      </c>
      <c r="B1867" s="37">
        <v>1698339187</v>
      </c>
      <c r="C1867" s="38">
        <v>0.79085081247186795</v>
      </c>
      <c r="D1867" s="14" t="s">
        <v>1908</v>
      </c>
      <c r="E1867" s="14" t="s">
        <v>48</v>
      </c>
    </row>
    <row r="1868" spans="1:5" x14ac:dyDescent="0.25">
      <c r="A1868" s="36">
        <v>1866</v>
      </c>
      <c r="B1868" s="37">
        <v>903587421</v>
      </c>
      <c r="C1868" s="38">
        <v>0.42076568185387442</v>
      </c>
      <c r="D1868" s="14" t="s">
        <v>1909</v>
      </c>
      <c r="E1868" s="14" t="s">
        <v>37</v>
      </c>
    </row>
    <row r="1869" spans="1:5" x14ac:dyDescent="0.25">
      <c r="A1869" s="36">
        <v>1867</v>
      </c>
      <c r="B1869" s="37">
        <v>1006576623</v>
      </c>
      <c r="C1869" s="38">
        <v>0.46872376625832346</v>
      </c>
      <c r="D1869" s="14" t="s">
        <v>1910</v>
      </c>
      <c r="E1869" s="14" t="s">
        <v>40</v>
      </c>
    </row>
    <row r="1870" spans="1:5" x14ac:dyDescent="0.25">
      <c r="A1870" s="36">
        <v>1868</v>
      </c>
      <c r="B1870" s="37">
        <v>1930946604</v>
      </c>
      <c r="C1870" s="38">
        <v>0.89916708175985471</v>
      </c>
      <c r="D1870" s="14" t="s">
        <v>1911</v>
      </c>
      <c r="E1870" s="14" t="s">
        <v>43</v>
      </c>
    </row>
    <row r="1871" spans="1:5" x14ac:dyDescent="0.25">
      <c r="A1871" s="36">
        <v>1869</v>
      </c>
      <c r="B1871" s="37">
        <v>1200233481</v>
      </c>
      <c r="C1871" s="38">
        <v>0.55890226809256816</v>
      </c>
      <c r="D1871" s="14" t="s">
        <v>1912</v>
      </c>
      <c r="E1871" s="14" t="s">
        <v>46</v>
      </c>
    </row>
    <row r="1872" spans="1:5" x14ac:dyDescent="0.25">
      <c r="A1872" s="36">
        <v>1870</v>
      </c>
      <c r="B1872" s="37">
        <v>579676119</v>
      </c>
      <c r="C1872" s="38">
        <v>0.26993272792079148</v>
      </c>
      <c r="D1872" s="14" t="s">
        <v>1913</v>
      </c>
      <c r="E1872" s="14" t="s">
        <v>48</v>
      </c>
    </row>
    <row r="1873" spans="1:5" x14ac:dyDescent="0.25">
      <c r="A1873" s="36">
        <v>1871</v>
      </c>
      <c r="B1873" s="37">
        <v>528449128</v>
      </c>
      <c r="C1873" s="38">
        <v>0.24607830133572142</v>
      </c>
      <c r="D1873" s="14" t="s">
        <v>1914</v>
      </c>
      <c r="E1873" s="14" t="s">
        <v>37</v>
      </c>
    </row>
    <row r="1874" spans="1:5" x14ac:dyDescent="0.25">
      <c r="A1874" s="36">
        <v>1872</v>
      </c>
      <c r="B1874" s="37">
        <v>2054426282</v>
      </c>
      <c r="C1874" s="38">
        <v>0.9566667876004552</v>
      </c>
      <c r="D1874" s="14" t="s">
        <v>1915</v>
      </c>
      <c r="E1874" s="14" t="s">
        <v>40</v>
      </c>
    </row>
    <row r="1875" spans="1:5" x14ac:dyDescent="0.25">
      <c r="A1875" s="36">
        <v>1873</v>
      </c>
      <c r="B1875" s="37">
        <v>551402061</v>
      </c>
      <c r="C1875" s="38">
        <v>0.25676659366896681</v>
      </c>
      <c r="D1875" s="14" t="s">
        <v>1916</v>
      </c>
      <c r="E1875" s="14" t="s">
        <v>43</v>
      </c>
    </row>
    <row r="1876" spans="1:5" x14ac:dyDescent="0.25">
      <c r="A1876" s="36">
        <v>1874</v>
      </c>
      <c r="B1876" s="37">
        <v>1903664330</v>
      </c>
      <c r="C1876" s="38">
        <v>0.88646278292241631</v>
      </c>
      <c r="D1876" s="14" t="s">
        <v>1917</v>
      </c>
      <c r="E1876" s="14" t="s">
        <v>46</v>
      </c>
    </row>
    <row r="1877" spans="1:5" x14ac:dyDescent="0.25">
      <c r="A1877" s="36">
        <v>1875</v>
      </c>
      <c r="B1877" s="37">
        <v>2009786740</v>
      </c>
      <c r="C1877" s="38">
        <v>0.93587988099822772</v>
      </c>
      <c r="D1877" s="14" t="s">
        <v>1918</v>
      </c>
      <c r="E1877" s="14" t="s">
        <v>48</v>
      </c>
    </row>
    <row r="1878" spans="1:5" x14ac:dyDescent="0.25">
      <c r="A1878" s="36">
        <v>1876</v>
      </c>
      <c r="B1878" s="37">
        <v>1999424358</v>
      </c>
      <c r="C1878" s="38">
        <v>0.93105452085428619</v>
      </c>
      <c r="D1878" s="14" t="s">
        <v>1919</v>
      </c>
      <c r="E1878" s="14" t="s">
        <v>37</v>
      </c>
    </row>
    <row r="1879" spans="1:5" x14ac:dyDescent="0.25">
      <c r="A1879" s="36">
        <v>1877</v>
      </c>
      <c r="B1879" s="37">
        <v>2144178512</v>
      </c>
      <c r="C1879" s="38">
        <v>0.99846092658045749</v>
      </c>
      <c r="D1879" s="14" t="s">
        <v>1920</v>
      </c>
      <c r="E1879" s="14" t="s">
        <v>40</v>
      </c>
    </row>
    <row r="1880" spans="1:5" x14ac:dyDescent="0.25">
      <c r="A1880" s="36">
        <v>1878</v>
      </c>
      <c r="B1880" s="37">
        <v>1387171962</v>
      </c>
      <c r="C1880" s="38">
        <v>0.64595228184291731</v>
      </c>
      <c r="D1880" s="14" t="s">
        <v>1921</v>
      </c>
      <c r="E1880" s="14" t="s">
        <v>43</v>
      </c>
    </row>
    <row r="1881" spans="1:5" x14ac:dyDescent="0.25">
      <c r="A1881" s="36">
        <v>1879</v>
      </c>
      <c r="B1881" s="37">
        <v>416763285</v>
      </c>
      <c r="C1881" s="38">
        <v>0.19407052788607335</v>
      </c>
      <c r="D1881" s="14" t="s">
        <v>1922</v>
      </c>
      <c r="E1881" s="14" t="s">
        <v>46</v>
      </c>
    </row>
    <row r="1882" spans="1:5" x14ac:dyDescent="0.25">
      <c r="A1882" s="36">
        <v>1880</v>
      </c>
      <c r="B1882" s="37">
        <v>1540960203</v>
      </c>
      <c r="C1882" s="38">
        <v>0.7175655121531177</v>
      </c>
      <c r="D1882" s="14" t="s">
        <v>1923</v>
      </c>
      <c r="E1882" s="14" t="s">
        <v>48</v>
      </c>
    </row>
    <row r="1883" spans="1:5" x14ac:dyDescent="0.25">
      <c r="A1883" s="36">
        <v>1881</v>
      </c>
      <c r="B1883" s="37">
        <v>442924116</v>
      </c>
      <c r="C1883" s="38">
        <v>0.2062526141322463</v>
      </c>
      <c r="D1883" s="14" t="s">
        <v>1924</v>
      </c>
      <c r="E1883" s="14" t="s">
        <v>37</v>
      </c>
    </row>
    <row r="1884" spans="1:5" x14ac:dyDescent="0.25">
      <c r="A1884" s="36">
        <v>1882</v>
      </c>
      <c r="B1884" s="37">
        <v>224786612</v>
      </c>
      <c r="C1884" s="38">
        <v>0.10467442316220814</v>
      </c>
      <c r="D1884" s="14" t="s">
        <v>1925</v>
      </c>
      <c r="E1884" s="14" t="s">
        <v>40</v>
      </c>
    </row>
    <row r="1885" spans="1:5" x14ac:dyDescent="0.25">
      <c r="A1885" s="36">
        <v>1883</v>
      </c>
      <c r="B1885" s="37">
        <v>1430975772</v>
      </c>
      <c r="C1885" s="38">
        <v>0.66635002040599944</v>
      </c>
      <c r="D1885" s="14" t="s">
        <v>1926</v>
      </c>
      <c r="E1885" s="14" t="s">
        <v>43</v>
      </c>
    </row>
    <row r="1886" spans="1:5" x14ac:dyDescent="0.25">
      <c r="A1886" s="36">
        <v>1884</v>
      </c>
      <c r="B1886" s="37">
        <v>1588820591</v>
      </c>
      <c r="C1886" s="38">
        <v>0.73985224205062361</v>
      </c>
      <c r="D1886" s="14" t="s">
        <v>1927</v>
      </c>
      <c r="E1886" s="14" t="s">
        <v>46</v>
      </c>
    </row>
    <row r="1887" spans="1:5" x14ac:dyDescent="0.25">
      <c r="A1887" s="36">
        <v>1885</v>
      </c>
      <c r="B1887" s="37">
        <v>54407057</v>
      </c>
      <c r="C1887" s="38">
        <v>2.5335260213043196E-2</v>
      </c>
      <c r="D1887" s="14" t="s">
        <v>1928</v>
      </c>
      <c r="E1887" s="14" t="s">
        <v>48</v>
      </c>
    </row>
    <row r="1888" spans="1:5" x14ac:dyDescent="0.25">
      <c r="A1888" s="36">
        <v>1886</v>
      </c>
      <c r="B1888" s="37">
        <v>1387579511</v>
      </c>
      <c r="C1888" s="38">
        <v>0.64614206163498666</v>
      </c>
      <c r="D1888" s="14" t="s">
        <v>1929</v>
      </c>
      <c r="E1888" s="14" t="s">
        <v>37</v>
      </c>
    </row>
    <row r="1889" spans="1:5" x14ac:dyDescent="0.25">
      <c r="A1889" s="36">
        <v>1887</v>
      </c>
      <c r="B1889" s="37">
        <v>187430058</v>
      </c>
      <c r="C1889" s="38">
        <v>8.7278922129086653E-2</v>
      </c>
      <c r="D1889" s="14" t="s">
        <v>1930</v>
      </c>
      <c r="E1889" s="14" t="s">
        <v>40</v>
      </c>
    </row>
    <row r="1890" spans="1:5" x14ac:dyDescent="0.25">
      <c r="A1890" s="36">
        <v>1888</v>
      </c>
      <c r="B1890" s="37">
        <v>901927807</v>
      </c>
      <c r="C1890" s="38">
        <v>0.41999286386184059</v>
      </c>
      <c r="D1890" s="14" t="s">
        <v>1931</v>
      </c>
      <c r="E1890" s="14" t="s">
        <v>43</v>
      </c>
    </row>
    <row r="1891" spans="1:5" x14ac:dyDescent="0.25">
      <c r="A1891" s="36">
        <v>1889</v>
      </c>
      <c r="B1891" s="37">
        <v>201553315</v>
      </c>
      <c r="C1891" s="38">
        <v>9.3855576167747187E-2</v>
      </c>
      <c r="D1891" s="14" t="s">
        <v>1932</v>
      </c>
      <c r="E1891" s="14" t="s">
        <v>46</v>
      </c>
    </row>
    <row r="1892" spans="1:5" x14ac:dyDescent="0.25">
      <c r="A1892" s="36">
        <v>1890</v>
      </c>
      <c r="B1892" s="37">
        <v>912802023</v>
      </c>
      <c r="C1892" s="38">
        <v>0.42505656528522101</v>
      </c>
      <c r="D1892" s="14" t="s">
        <v>1933</v>
      </c>
      <c r="E1892" s="14" t="s">
        <v>48</v>
      </c>
    </row>
    <row r="1893" spans="1:5" x14ac:dyDescent="0.25">
      <c r="A1893" s="36">
        <v>1891</v>
      </c>
      <c r="B1893" s="37">
        <v>1613763799</v>
      </c>
      <c r="C1893" s="38">
        <v>0.75146732840289698</v>
      </c>
      <c r="D1893" s="14" t="s">
        <v>1934</v>
      </c>
      <c r="E1893" s="14" t="s">
        <v>37</v>
      </c>
    </row>
    <row r="1894" spans="1:5" x14ac:dyDescent="0.25">
      <c r="A1894" s="36">
        <v>1892</v>
      </c>
      <c r="B1894" s="37">
        <v>1346355806</v>
      </c>
      <c r="C1894" s="38">
        <v>0.62694577808815322</v>
      </c>
      <c r="D1894" s="14" t="s">
        <v>1935</v>
      </c>
      <c r="E1894" s="14" t="s">
        <v>40</v>
      </c>
    </row>
    <row r="1895" spans="1:5" x14ac:dyDescent="0.25">
      <c r="A1895" s="36">
        <v>1893</v>
      </c>
      <c r="B1895" s="37">
        <v>844837524</v>
      </c>
      <c r="C1895" s="38">
        <v>0.39340812917491802</v>
      </c>
      <c r="D1895" s="14" t="s">
        <v>1936</v>
      </c>
      <c r="E1895" s="14" t="s">
        <v>43</v>
      </c>
    </row>
    <row r="1896" spans="1:5" x14ac:dyDescent="0.25">
      <c r="A1896" s="36">
        <v>1894</v>
      </c>
      <c r="B1896" s="37">
        <v>297106137</v>
      </c>
      <c r="C1896" s="38">
        <v>0.13835082628687417</v>
      </c>
      <c r="D1896" s="14" t="s">
        <v>1937</v>
      </c>
      <c r="E1896" s="14" t="s">
        <v>46</v>
      </c>
    </row>
    <row r="1897" spans="1:5" x14ac:dyDescent="0.25">
      <c r="A1897" s="36">
        <v>1895</v>
      </c>
      <c r="B1897" s="37">
        <v>1892493812</v>
      </c>
      <c r="C1897" s="38">
        <v>0.88126110512821987</v>
      </c>
      <c r="D1897" s="14" t="s">
        <v>1938</v>
      </c>
      <c r="E1897" s="14" t="s">
        <v>48</v>
      </c>
    </row>
    <row r="1898" spans="1:5" x14ac:dyDescent="0.25">
      <c r="A1898" s="36">
        <v>1896</v>
      </c>
      <c r="B1898" s="37">
        <v>1316728516</v>
      </c>
      <c r="C1898" s="38">
        <v>0.61314949608088909</v>
      </c>
      <c r="D1898" s="14" t="s">
        <v>1939</v>
      </c>
      <c r="E1898" s="14" t="s">
        <v>37</v>
      </c>
    </row>
    <row r="1899" spans="1:5" x14ac:dyDescent="0.25">
      <c r="A1899" s="36">
        <v>1897</v>
      </c>
      <c r="B1899" s="37">
        <v>294419982</v>
      </c>
      <c r="C1899" s="38">
        <v>0.13709998789108357</v>
      </c>
      <c r="D1899" s="14" t="s">
        <v>1940</v>
      </c>
      <c r="E1899" s="14" t="s">
        <v>40</v>
      </c>
    </row>
    <row r="1900" spans="1:5" x14ac:dyDescent="0.25">
      <c r="A1900" s="36">
        <v>1898</v>
      </c>
      <c r="B1900" s="37">
        <v>1781295491</v>
      </c>
      <c r="C1900" s="38">
        <v>0.82948035180078838</v>
      </c>
      <c r="D1900" s="14" t="s">
        <v>1941</v>
      </c>
      <c r="E1900" s="14" t="s">
        <v>43</v>
      </c>
    </row>
    <row r="1901" spans="1:5" x14ac:dyDescent="0.25">
      <c r="A1901" s="36">
        <v>1899</v>
      </c>
      <c r="B1901" s="37">
        <v>547000921</v>
      </c>
      <c r="C1901" s="38">
        <v>0.25471715314999088</v>
      </c>
      <c r="D1901" s="14" t="s">
        <v>1942</v>
      </c>
      <c r="E1901" s="14" t="s">
        <v>46</v>
      </c>
    </row>
    <row r="1902" spans="1:5" x14ac:dyDescent="0.25">
      <c r="A1902" s="36">
        <v>1900</v>
      </c>
      <c r="B1902" s="37">
        <v>1162825747</v>
      </c>
      <c r="C1902" s="38">
        <v>0.54148293451475116</v>
      </c>
      <c r="D1902" s="14" t="s">
        <v>1943</v>
      </c>
      <c r="E1902" s="14" t="s">
        <v>48</v>
      </c>
    </row>
    <row r="1903" spans="1:5" x14ac:dyDescent="0.25">
      <c r="A1903" s="36">
        <v>1901</v>
      </c>
      <c r="B1903" s="37">
        <v>759584534</v>
      </c>
      <c r="C1903" s="38">
        <v>0.35370911208619787</v>
      </c>
      <c r="D1903" s="14" t="s">
        <v>1944</v>
      </c>
      <c r="E1903" s="14" t="s">
        <v>37</v>
      </c>
    </row>
    <row r="1904" spans="1:5" x14ac:dyDescent="0.25">
      <c r="A1904" s="36">
        <v>1902</v>
      </c>
      <c r="B1904" s="37">
        <v>283320147</v>
      </c>
      <c r="C1904" s="38">
        <v>0.13193122443367319</v>
      </c>
      <c r="D1904" s="14" t="s">
        <v>1945</v>
      </c>
      <c r="E1904" s="14" t="s">
        <v>40</v>
      </c>
    </row>
    <row r="1905" spans="1:5" x14ac:dyDescent="0.25">
      <c r="A1905" s="36">
        <v>1903</v>
      </c>
      <c r="B1905" s="37">
        <v>630257257</v>
      </c>
      <c r="C1905" s="38">
        <v>0.29348640576632989</v>
      </c>
      <c r="D1905" s="14" t="s">
        <v>1946</v>
      </c>
      <c r="E1905" s="14" t="s">
        <v>43</v>
      </c>
    </row>
    <row r="1906" spans="1:5" x14ac:dyDescent="0.25">
      <c r="A1906" s="36">
        <v>1904</v>
      </c>
      <c r="B1906" s="37">
        <v>2000797943</v>
      </c>
      <c r="C1906" s="38">
        <v>0.93169414621391056</v>
      </c>
      <c r="D1906" s="14" t="s">
        <v>1947</v>
      </c>
      <c r="E1906" s="14" t="s">
        <v>46</v>
      </c>
    </row>
    <row r="1907" spans="1:5" x14ac:dyDescent="0.25">
      <c r="A1907" s="36">
        <v>1905</v>
      </c>
      <c r="B1907" s="37">
        <v>1440666582</v>
      </c>
      <c r="C1907" s="38">
        <v>0.67086265546775548</v>
      </c>
      <c r="D1907" s="14" t="s">
        <v>1948</v>
      </c>
      <c r="E1907" s="14" t="s">
        <v>48</v>
      </c>
    </row>
    <row r="1908" spans="1:5" x14ac:dyDescent="0.25">
      <c r="A1908" s="36">
        <v>1906</v>
      </c>
      <c r="B1908" s="37">
        <v>287179577</v>
      </c>
      <c r="C1908" s="38">
        <v>0.13372841157658416</v>
      </c>
      <c r="D1908" s="14" t="s">
        <v>1949</v>
      </c>
      <c r="E1908" s="14" t="s">
        <v>37</v>
      </c>
    </row>
    <row r="1909" spans="1:5" x14ac:dyDescent="0.25">
      <c r="A1909" s="36">
        <v>1907</v>
      </c>
      <c r="B1909" s="37">
        <v>1624389830</v>
      </c>
      <c r="C1909" s="38">
        <v>0.75641545967963308</v>
      </c>
      <c r="D1909" s="14" t="s">
        <v>1950</v>
      </c>
      <c r="E1909" s="14" t="s">
        <v>40</v>
      </c>
    </row>
    <row r="1910" spans="1:5" x14ac:dyDescent="0.25">
      <c r="A1910" s="36">
        <v>1908</v>
      </c>
      <c r="B1910" s="37">
        <v>1965289389</v>
      </c>
      <c r="C1910" s="38">
        <v>0.91515918724013456</v>
      </c>
      <c r="D1910" s="14" t="s">
        <v>1951</v>
      </c>
      <c r="E1910" s="14" t="s">
        <v>43</v>
      </c>
    </row>
    <row r="1911" spans="1:5" x14ac:dyDescent="0.25">
      <c r="A1911" s="36">
        <v>1909</v>
      </c>
      <c r="B1911" s="37">
        <v>1757236113</v>
      </c>
      <c r="C1911" s="38">
        <v>0.81827683086426783</v>
      </c>
      <c r="D1911" s="14" t="s">
        <v>1952</v>
      </c>
      <c r="E1911" s="14" t="s">
        <v>46</v>
      </c>
    </row>
    <row r="1912" spans="1:5" x14ac:dyDescent="0.25">
      <c r="A1912" s="36">
        <v>1910</v>
      </c>
      <c r="B1912" s="37">
        <v>1533368374</v>
      </c>
      <c r="C1912" s="38">
        <v>0.71403029128631124</v>
      </c>
      <c r="D1912" s="14" t="s">
        <v>1953</v>
      </c>
      <c r="E1912" s="14" t="s">
        <v>48</v>
      </c>
    </row>
    <row r="1913" spans="1:5" x14ac:dyDescent="0.25">
      <c r="A1913" s="36">
        <v>1911</v>
      </c>
      <c r="B1913" s="37">
        <v>1595020486</v>
      </c>
      <c r="C1913" s="38">
        <v>0.74273929313884079</v>
      </c>
      <c r="D1913" s="14" t="s">
        <v>1954</v>
      </c>
      <c r="E1913" s="14" t="s">
        <v>37</v>
      </c>
    </row>
    <row r="1914" spans="1:5" x14ac:dyDescent="0.25">
      <c r="A1914" s="36">
        <v>1912</v>
      </c>
      <c r="B1914" s="37">
        <v>1275708097</v>
      </c>
      <c r="C1914" s="38">
        <v>0.59404787495455136</v>
      </c>
      <c r="D1914" s="14" t="s">
        <v>1955</v>
      </c>
      <c r="E1914" s="14" t="s">
        <v>40</v>
      </c>
    </row>
    <row r="1915" spans="1:5" x14ac:dyDescent="0.25">
      <c r="A1915" s="36">
        <v>1913</v>
      </c>
      <c r="B1915" s="37">
        <v>24040372</v>
      </c>
      <c r="C1915" s="38">
        <v>1.1194670578089856E-2</v>
      </c>
      <c r="D1915" s="14" t="s">
        <v>1956</v>
      </c>
      <c r="E1915" s="14" t="s">
        <v>43</v>
      </c>
    </row>
    <row r="1916" spans="1:5" x14ac:dyDescent="0.25">
      <c r="A1916" s="36">
        <v>1914</v>
      </c>
      <c r="B1916" s="37">
        <v>603829325</v>
      </c>
      <c r="C1916" s="38">
        <v>0.28117994092459786</v>
      </c>
      <c r="D1916" s="14" t="s">
        <v>1957</v>
      </c>
      <c r="E1916" s="14" t="s">
        <v>46</v>
      </c>
    </row>
    <row r="1917" spans="1:5" x14ac:dyDescent="0.25">
      <c r="A1917" s="36">
        <v>1915</v>
      </c>
      <c r="B1917" s="37">
        <v>1102310791</v>
      </c>
      <c r="C1917" s="38">
        <v>0.5133034621892979</v>
      </c>
      <c r="D1917" s="14" t="s">
        <v>1958</v>
      </c>
      <c r="E1917" s="14" t="s">
        <v>48</v>
      </c>
    </row>
    <row r="1918" spans="1:5" x14ac:dyDescent="0.25">
      <c r="A1918" s="36">
        <v>1916</v>
      </c>
      <c r="B1918" s="37">
        <v>1970394816</v>
      </c>
      <c r="C1918" s="38">
        <v>0.91753658695031726</v>
      </c>
      <c r="D1918" s="14" t="s">
        <v>1959</v>
      </c>
      <c r="E1918" s="14" t="s">
        <v>37</v>
      </c>
    </row>
    <row r="1919" spans="1:5" x14ac:dyDescent="0.25">
      <c r="A1919" s="36">
        <v>1917</v>
      </c>
      <c r="B1919" s="37">
        <v>127838462</v>
      </c>
      <c r="C1919" s="38">
        <v>5.9529422810082055E-2</v>
      </c>
      <c r="D1919" s="14" t="s">
        <v>1960</v>
      </c>
      <c r="E1919" s="14" t="s">
        <v>40</v>
      </c>
    </row>
    <row r="1920" spans="1:5" x14ac:dyDescent="0.25">
      <c r="A1920" s="36">
        <v>1918</v>
      </c>
      <c r="B1920" s="37">
        <v>1470250837</v>
      </c>
      <c r="C1920" s="38">
        <v>0.68463889774151099</v>
      </c>
      <c r="D1920" s="14" t="s">
        <v>1961</v>
      </c>
      <c r="E1920" s="14" t="s">
        <v>43</v>
      </c>
    </row>
    <row r="1921" spans="1:5" x14ac:dyDescent="0.25">
      <c r="A1921" s="36">
        <v>1919</v>
      </c>
      <c r="B1921" s="37">
        <v>71724095</v>
      </c>
      <c r="C1921" s="38">
        <v>3.3399134424235269E-2</v>
      </c>
      <c r="D1921" s="14" t="s">
        <v>1962</v>
      </c>
      <c r="E1921" s="14" t="s">
        <v>46</v>
      </c>
    </row>
    <row r="1922" spans="1:5" x14ac:dyDescent="0.25">
      <c r="A1922" s="36">
        <v>1920</v>
      </c>
      <c r="B1922" s="37">
        <v>357262780</v>
      </c>
      <c r="C1922" s="38">
        <v>0.16636344611941065</v>
      </c>
      <c r="D1922" s="14" t="s">
        <v>1963</v>
      </c>
      <c r="E1922" s="14" t="s">
        <v>48</v>
      </c>
    </row>
    <row r="1923" spans="1:5" x14ac:dyDescent="0.25">
      <c r="A1923" s="36">
        <v>1921</v>
      </c>
      <c r="B1923" s="37">
        <v>1261191071</v>
      </c>
      <c r="C1923" s="38">
        <v>0.58728785793636362</v>
      </c>
      <c r="D1923" s="14" t="s">
        <v>1964</v>
      </c>
      <c r="E1923" s="14" t="s">
        <v>37</v>
      </c>
    </row>
    <row r="1924" spans="1:5" x14ac:dyDescent="0.25">
      <c r="A1924" s="36">
        <v>1922</v>
      </c>
      <c r="B1924" s="37">
        <v>1704817413</v>
      </c>
      <c r="C1924" s="38">
        <v>0.79386747153190318</v>
      </c>
      <c r="D1924" s="14" t="s">
        <v>1965</v>
      </c>
      <c r="E1924" s="14" t="s">
        <v>40</v>
      </c>
    </row>
    <row r="1925" spans="1:5" x14ac:dyDescent="0.25">
      <c r="A1925" s="36">
        <v>1923</v>
      </c>
      <c r="B1925" s="37">
        <v>1557328484</v>
      </c>
      <c r="C1925" s="38">
        <v>0.72518758695814178</v>
      </c>
      <c r="D1925" s="14" t="s">
        <v>1966</v>
      </c>
      <c r="E1925" s="14" t="s">
        <v>43</v>
      </c>
    </row>
    <row r="1926" spans="1:5" x14ac:dyDescent="0.25">
      <c r="A1926" s="36">
        <v>1924</v>
      </c>
      <c r="B1926" s="37">
        <v>730826152</v>
      </c>
      <c r="C1926" s="38">
        <v>0.3403174468969542</v>
      </c>
      <c r="D1926" s="14" t="s">
        <v>1967</v>
      </c>
      <c r="E1926" s="14" t="s">
        <v>46</v>
      </c>
    </row>
    <row r="1927" spans="1:5" x14ac:dyDescent="0.25">
      <c r="A1927" s="36">
        <v>1925</v>
      </c>
      <c r="B1927" s="37">
        <v>795496874</v>
      </c>
      <c r="C1927" s="38">
        <v>0.37043209856861836</v>
      </c>
      <c r="D1927" s="14" t="s">
        <v>1968</v>
      </c>
      <c r="E1927" s="14" t="s">
        <v>48</v>
      </c>
    </row>
    <row r="1928" spans="1:5" x14ac:dyDescent="0.25">
      <c r="A1928" s="36">
        <v>1926</v>
      </c>
      <c r="B1928" s="37">
        <v>2063744402</v>
      </c>
      <c r="C1928" s="38">
        <v>0.9610058753569638</v>
      </c>
      <c r="D1928" s="14" t="s">
        <v>1969</v>
      </c>
      <c r="E1928" s="14" t="s">
        <v>37</v>
      </c>
    </row>
    <row r="1929" spans="1:5" x14ac:dyDescent="0.25">
      <c r="A1929" s="36">
        <v>1927</v>
      </c>
      <c r="B1929" s="37">
        <v>1668196427</v>
      </c>
      <c r="C1929" s="38">
        <v>0.7768144960407235</v>
      </c>
      <c r="D1929" s="14" t="s">
        <v>1970</v>
      </c>
      <c r="E1929" s="14" t="s">
        <v>40</v>
      </c>
    </row>
    <row r="1930" spans="1:5" x14ac:dyDescent="0.25">
      <c r="A1930" s="36">
        <v>1928</v>
      </c>
      <c r="B1930" s="37">
        <v>1333926929</v>
      </c>
      <c r="C1930" s="38">
        <v>0.6211581312218486</v>
      </c>
      <c r="D1930" s="14" t="s">
        <v>1971</v>
      </c>
      <c r="E1930" s="14" t="s">
        <v>43</v>
      </c>
    </row>
    <row r="1931" spans="1:5" x14ac:dyDescent="0.25">
      <c r="A1931" s="36">
        <v>1929</v>
      </c>
      <c r="B1931" s="37">
        <v>1525804297</v>
      </c>
      <c r="C1931" s="38">
        <v>0.71050799345155624</v>
      </c>
      <c r="D1931" s="14" t="s">
        <v>1972</v>
      </c>
      <c r="E1931" s="14" t="s">
        <v>46</v>
      </c>
    </row>
    <row r="1932" spans="1:5" x14ac:dyDescent="0.25">
      <c r="A1932" s="36">
        <v>1930</v>
      </c>
      <c r="B1932" s="37">
        <v>1696374422</v>
      </c>
      <c r="C1932" s="38">
        <v>0.78993589747228465</v>
      </c>
      <c r="D1932" s="14" t="s">
        <v>1973</v>
      </c>
      <c r="E1932" s="14" t="s">
        <v>48</v>
      </c>
    </row>
    <row r="1933" spans="1:5" x14ac:dyDescent="0.25">
      <c r="A1933" s="36">
        <v>1931</v>
      </c>
      <c r="B1933" s="37">
        <v>1120720177</v>
      </c>
      <c r="C1933" s="38">
        <v>0.52187600057659489</v>
      </c>
      <c r="D1933" s="14" t="s">
        <v>1974</v>
      </c>
      <c r="E1933" s="14" t="s">
        <v>37</v>
      </c>
    </row>
    <row r="1934" spans="1:5" x14ac:dyDescent="0.25">
      <c r="A1934" s="36">
        <v>1932</v>
      </c>
      <c r="B1934" s="37">
        <v>261983776</v>
      </c>
      <c r="C1934" s="38">
        <v>0.12199570244271109</v>
      </c>
      <c r="D1934" s="14" t="s">
        <v>1975</v>
      </c>
      <c r="E1934" s="14" t="s">
        <v>40</v>
      </c>
    </row>
    <row r="1935" spans="1:5" x14ac:dyDescent="0.25">
      <c r="A1935" s="36">
        <v>1933</v>
      </c>
      <c r="B1935" s="37">
        <v>791872568</v>
      </c>
      <c r="C1935" s="38">
        <v>0.36874439957027527</v>
      </c>
      <c r="D1935" s="14" t="s">
        <v>1976</v>
      </c>
      <c r="E1935" s="14" t="s">
        <v>43</v>
      </c>
    </row>
    <row r="1936" spans="1:5" x14ac:dyDescent="0.25">
      <c r="A1936" s="36">
        <v>1934</v>
      </c>
      <c r="B1936" s="37">
        <v>1597364175</v>
      </c>
      <c r="C1936" s="38">
        <v>0.74383065837613804</v>
      </c>
      <c r="D1936" s="14" t="s">
        <v>1977</v>
      </c>
      <c r="E1936" s="14" t="s">
        <v>46</v>
      </c>
    </row>
    <row r="1937" spans="1:5" x14ac:dyDescent="0.25">
      <c r="A1937" s="36">
        <v>1935</v>
      </c>
      <c r="B1937" s="37">
        <v>426854223</v>
      </c>
      <c r="C1937" s="38">
        <v>0.19876948706748407</v>
      </c>
      <c r="D1937" s="14" t="s">
        <v>1978</v>
      </c>
      <c r="E1937" s="14" t="s">
        <v>48</v>
      </c>
    </row>
    <row r="1938" spans="1:5" x14ac:dyDescent="0.25">
      <c r="A1938" s="36">
        <v>1936</v>
      </c>
      <c r="B1938" s="37">
        <v>542447819</v>
      </c>
      <c r="C1938" s="38">
        <v>0.25259694981044017</v>
      </c>
      <c r="D1938" s="14" t="s">
        <v>1979</v>
      </c>
      <c r="E1938" s="14" t="s">
        <v>37</v>
      </c>
    </row>
    <row r="1939" spans="1:5" x14ac:dyDescent="0.25">
      <c r="A1939" s="36">
        <v>1937</v>
      </c>
      <c r="B1939" s="37">
        <v>880509460</v>
      </c>
      <c r="C1939" s="38">
        <v>0.4100191688211724</v>
      </c>
      <c r="D1939" s="14" t="s">
        <v>1980</v>
      </c>
      <c r="E1939" s="14" t="s">
        <v>40</v>
      </c>
    </row>
    <row r="1940" spans="1:5" x14ac:dyDescent="0.25">
      <c r="A1940" s="36">
        <v>1938</v>
      </c>
      <c r="B1940" s="37">
        <v>1351020634</v>
      </c>
      <c r="C1940" s="38">
        <v>0.62911800790071393</v>
      </c>
      <c r="D1940" s="14" t="s">
        <v>1981</v>
      </c>
      <c r="E1940" s="14" t="s">
        <v>43</v>
      </c>
    </row>
    <row r="1941" spans="1:5" x14ac:dyDescent="0.25">
      <c r="A1941" s="36">
        <v>1939</v>
      </c>
      <c r="B1941" s="37">
        <v>266796672</v>
      </c>
      <c r="C1941" s="38">
        <v>0.12423688179079298</v>
      </c>
      <c r="D1941" s="14" t="s">
        <v>1982</v>
      </c>
      <c r="E1941" s="14" t="s">
        <v>46</v>
      </c>
    </row>
    <row r="1942" spans="1:5" x14ac:dyDescent="0.25">
      <c r="A1942" s="36">
        <v>1940</v>
      </c>
      <c r="B1942" s="37">
        <v>1863583658</v>
      </c>
      <c r="C1942" s="38">
        <v>0.86779876559404601</v>
      </c>
      <c r="D1942" s="14" t="s">
        <v>1983</v>
      </c>
      <c r="E1942" s="14" t="s">
        <v>48</v>
      </c>
    </row>
    <row r="1943" spans="1:5" x14ac:dyDescent="0.25">
      <c r="A1943" s="36">
        <v>1941</v>
      </c>
      <c r="B1943" s="37">
        <v>456203642</v>
      </c>
      <c r="C1943" s="38">
        <v>0.21243637530712242</v>
      </c>
      <c r="D1943" s="14" t="s">
        <v>1984</v>
      </c>
      <c r="E1943" s="14" t="s">
        <v>37</v>
      </c>
    </row>
    <row r="1944" spans="1:5" x14ac:dyDescent="0.25">
      <c r="A1944" s="36">
        <v>1942</v>
      </c>
      <c r="B1944" s="37">
        <v>278623191</v>
      </c>
      <c r="C1944" s="38">
        <v>0.12974403385526689</v>
      </c>
      <c r="D1944" s="14" t="s">
        <v>1985</v>
      </c>
      <c r="E1944" s="14" t="s">
        <v>40</v>
      </c>
    </row>
    <row r="1945" spans="1:5" x14ac:dyDescent="0.25">
      <c r="A1945" s="36">
        <v>1943</v>
      </c>
      <c r="B1945" s="37">
        <v>1417530084</v>
      </c>
      <c r="C1945" s="38">
        <v>0.66008888402026555</v>
      </c>
      <c r="D1945" s="14" t="s">
        <v>1986</v>
      </c>
      <c r="E1945" s="14" t="s">
        <v>43</v>
      </c>
    </row>
    <row r="1946" spans="1:5" x14ac:dyDescent="0.25">
      <c r="A1946" s="36">
        <v>1944</v>
      </c>
      <c r="B1946" s="37">
        <v>1979571425</v>
      </c>
      <c r="C1946" s="38">
        <v>0.9218097785123669</v>
      </c>
      <c r="D1946" s="14" t="s">
        <v>1987</v>
      </c>
      <c r="E1946" s="14" t="s">
        <v>46</v>
      </c>
    </row>
    <row r="1947" spans="1:5" x14ac:dyDescent="0.25">
      <c r="A1947" s="36">
        <v>1945</v>
      </c>
      <c r="B1947" s="37">
        <v>1919236723</v>
      </c>
      <c r="C1947" s="38">
        <v>0.89371424349663509</v>
      </c>
      <c r="D1947" s="14" t="s">
        <v>1988</v>
      </c>
      <c r="E1947" s="14" t="s">
        <v>48</v>
      </c>
    </row>
    <row r="1948" spans="1:5" x14ac:dyDescent="0.25">
      <c r="A1948" s="36">
        <v>1946</v>
      </c>
      <c r="B1948" s="37">
        <v>372142128</v>
      </c>
      <c r="C1948" s="38">
        <v>0.17329218246661693</v>
      </c>
      <c r="D1948" s="14" t="s">
        <v>1989</v>
      </c>
      <c r="E1948" s="14" t="s">
        <v>37</v>
      </c>
    </row>
    <row r="1949" spans="1:5" x14ac:dyDescent="0.25">
      <c r="A1949" s="36">
        <v>1947</v>
      </c>
      <c r="B1949" s="37">
        <v>1379019920</v>
      </c>
      <c r="C1949" s="38">
        <v>0.64215619146924285</v>
      </c>
      <c r="D1949" s="14" t="s">
        <v>1990</v>
      </c>
      <c r="E1949" s="14" t="s">
        <v>40</v>
      </c>
    </row>
    <row r="1950" spans="1:5" x14ac:dyDescent="0.25">
      <c r="A1950" s="36">
        <v>1948</v>
      </c>
      <c r="B1950" s="37">
        <v>1088218628</v>
      </c>
      <c r="C1950" s="38">
        <v>0.50674128742271163</v>
      </c>
      <c r="D1950" s="14" t="s">
        <v>1991</v>
      </c>
      <c r="E1950" s="14" t="s">
        <v>43</v>
      </c>
    </row>
    <row r="1951" spans="1:5" x14ac:dyDescent="0.25">
      <c r="A1951" s="36">
        <v>1949</v>
      </c>
      <c r="B1951" s="37">
        <v>29169775</v>
      </c>
      <c r="C1951" s="38">
        <v>1.3583234983302297E-2</v>
      </c>
      <c r="D1951" s="14" t="s">
        <v>1992</v>
      </c>
      <c r="E1951" s="14" t="s">
        <v>46</v>
      </c>
    </row>
    <row r="1952" spans="1:5" x14ac:dyDescent="0.25">
      <c r="A1952" s="36">
        <v>1950</v>
      </c>
      <c r="B1952" s="37">
        <v>228377428</v>
      </c>
      <c r="C1952" s="38">
        <v>0.10634652716403199</v>
      </c>
      <c r="D1952" s="14" t="s">
        <v>1993</v>
      </c>
      <c r="E1952" s="14" t="s">
        <v>48</v>
      </c>
    </row>
    <row r="1953" spans="1:5" x14ac:dyDescent="0.25">
      <c r="A1953" s="36">
        <v>1951</v>
      </c>
      <c r="B1953" s="37">
        <v>1986988571</v>
      </c>
      <c r="C1953" s="38">
        <v>0.92526365626848472</v>
      </c>
      <c r="D1953" s="14" t="s">
        <v>1994</v>
      </c>
      <c r="E1953" s="14" t="s">
        <v>37</v>
      </c>
    </row>
    <row r="1954" spans="1:5" x14ac:dyDescent="0.25">
      <c r="A1954" s="36">
        <v>1952</v>
      </c>
      <c r="B1954" s="37">
        <v>2060695770</v>
      </c>
      <c r="C1954" s="38">
        <v>0.9595862454546551</v>
      </c>
      <c r="D1954" s="14" t="s">
        <v>1995</v>
      </c>
      <c r="E1954" s="14" t="s">
        <v>40</v>
      </c>
    </row>
    <row r="1955" spans="1:5" x14ac:dyDescent="0.25">
      <c r="A1955" s="36">
        <v>1953</v>
      </c>
      <c r="B1955" s="37">
        <v>1647874488</v>
      </c>
      <c r="C1955" s="38">
        <v>0.76735135576098756</v>
      </c>
      <c r="D1955" s="14" t="s">
        <v>1996</v>
      </c>
      <c r="E1955" s="14" t="s">
        <v>43</v>
      </c>
    </row>
    <row r="1956" spans="1:5" x14ac:dyDescent="0.25">
      <c r="A1956" s="36">
        <v>1954</v>
      </c>
      <c r="B1956" s="37">
        <v>2120820498</v>
      </c>
      <c r="C1956" s="38">
        <v>0.98758400370720034</v>
      </c>
      <c r="D1956" s="14" t="s">
        <v>1997</v>
      </c>
      <c r="E1956" s="14" t="s">
        <v>46</v>
      </c>
    </row>
    <row r="1957" spans="1:5" x14ac:dyDescent="0.25">
      <c r="A1957" s="36">
        <v>1955</v>
      </c>
      <c r="B1957" s="37">
        <v>1580347547</v>
      </c>
      <c r="C1957" s="38">
        <v>0.73590667347233119</v>
      </c>
      <c r="D1957" s="14" t="s">
        <v>1998</v>
      </c>
      <c r="E1957" s="14" t="s">
        <v>48</v>
      </c>
    </row>
    <row r="1958" spans="1:5" x14ac:dyDescent="0.25">
      <c r="A1958" s="36">
        <v>1956</v>
      </c>
      <c r="B1958" s="37">
        <v>1133436453</v>
      </c>
      <c r="C1958" s="38">
        <v>0.52779747803127275</v>
      </c>
      <c r="D1958" s="14" t="s">
        <v>1999</v>
      </c>
      <c r="E1958" s="14" t="s">
        <v>37</v>
      </c>
    </row>
    <row r="1959" spans="1:5" x14ac:dyDescent="0.25">
      <c r="A1959" s="36">
        <v>1957</v>
      </c>
      <c r="B1959" s="37">
        <v>1222467844</v>
      </c>
      <c r="C1959" s="38">
        <v>0.56925595019443709</v>
      </c>
      <c r="D1959" s="14" t="s">
        <v>2000</v>
      </c>
      <c r="E1959" s="14" t="s">
        <v>40</v>
      </c>
    </row>
    <row r="1960" spans="1:5" x14ac:dyDescent="0.25">
      <c r="A1960" s="36">
        <v>1958</v>
      </c>
      <c r="B1960" s="37">
        <v>499576296</v>
      </c>
      <c r="C1960" s="38">
        <v>0.23263334121212054</v>
      </c>
      <c r="D1960" s="14" t="s">
        <v>2001</v>
      </c>
      <c r="E1960" s="14" t="s">
        <v>43</v>
      </c>
    </row>
    <row r="1961" spans="1:5" x14ac:dyDescent="0.25">
      <c r="A1961" s="36">
        <v>1959</v>
      </c>
      <c r="B1961" s="37">
        <v>1040277695</v>
      </c>
      <c r="C1961" s="38">
        <v>0.48441705083680203</v>
      </c>
      <c r="D1961" s="14" t="s">
        <v>2002</v>
      </c>
      <c r="E1961" s="14" t="s">
        <v>46</v>
      </c>
    </row>
    <row r="1962" spans="1:5" x14ac:dyDescent="0.25">
      <c r="A1962" s="36">
        <v>1960</v>
      </c>
      <c r="B1962" s="37">
        <v>1639990470</v>
      </c>
      <c r="C1962" s="38">
        <v>0.76368007378824054</v>
      </c>
      <c r="D1962" s="14" t="s">
        <v>2003</v>
      </c>
      <c r="E1962" s="14" t="s">
        <v>48</v>
      </c>
    </row>
    <row r="1963" spans="1:5" x14ac:dyDescent="0.25">
      <c r="A1963" s="36">
        <v>1961</v>
      </c>
      <c r="B1963" s="37">
        <v>100842218</v>
      </c>
      <c r="C1963" s="38">
        <v>4.6958317070714344E-2</v>
      </c>
      <c r="D1963" s="14" t="s">
        <v>2004</v>
      </c>
      <c r="E1963" s="14" t="s">
        <v>37</v>
      </c>
    </row>
    <row r="1964" spans="1:5" x14ac:dyDescent="0.25">
      <c r="A1964" s="36">
        <v>1962</v>
      </c>
      <c r="B1964" s="37">
        <v>1642520212</v>
      </c>
      <c r="C1964" s="38">
        <v>0.76485807670506556</v>
      </c>
      <c r="D1964" s="14" t="s">
        <v>2005</v>
      </c>
      <c r="E1964" s="14" t="s">
        <v>40</v>
      </c>
    </row>
    <row r="1965" spans="1:5" x14ac:dyDescent="0.25">
      <c r="A1965" s="36">
        <v>1963</v>
      </c>
      <c r="B1965" s="37">
        <v>1851696648</v>
      </c>
      <c r="C1965" s="38">
        <v>0.86226344521262843</v>
      </c>
      <c r="D1965" s="14" t="s">
        <v>2006</v>
      </c>
      <c r="E1965" s="14" t="s">
        <v>43</v>
      </c>
    </row>
    <row r="1966" spans="1:5" x14ac:dyDescent="0.25">
      <c r="A1966" s="36">
        <v>1964</v>
      </c>
      <c r="B1966" s="37">
        <v>1145206850</v>
      </c>
      <c r="C1966" s="38">
        <v>0.53327849625296819</v>
      </c>
      <c r="D1966" s="14" t="s">
        <v>2007</v>
      </c>
      <c r="E1966" s="14" t="s">
        <v>46</v>
      </c>
    </row>
    <row r="1967" spans="1:5" x14ac:dyDescent="0.25">
      <c r="A1967" s="36">
        <v>1965</v>
      </c>
      <c r="B1967" s="37">
        <v>1849222688</v>
      </c>
      <c r="C1967" s="38">
        <v>0.86111141781374412</v>
      </c>
      <c r="D1967" s="14" t="s">
        <v>2008</v>
      </c>
      <c r="E1967" s="14" t="s">
        <v>48</v>
      </c>
    </row>
    <row r="1968" spans="1:5" x14ac:dyDescent="0.25">
      <c r="A1968" s="36">
        <v>1966</v>
      </c>
      <c r="B1968" s="37">
        <v>2050572796</v>
      </c>
      <c r="C1968" s="38">
        <v>0.9548723683482373</v>
      </c>
      <c r="D1968" s="14" t="s">
        <v>2009</v>
      </c>
      <c r="E1968" s="14" t="s">
        <v>37</v>
      </c>
    </row>
    <row r="1969" spans="1:5" x14ac:dyDescent="0.25">
      <c r="A1969" s="36">
        <v>1967</v>
      </c>
      <c r="B1969" s="37">
        <v>861271500</v>
      </c>
      <c r="C1969" s="38">
        <v>0.40106079559822605</v>
      </c>
      <c r="D1969" s="14" t="s">
        <v>2010</v>
      </c>
      <c r="E1969" s="14" t="s">
        <v>40</v>
      </c>
    </row>
    <row r="1970" spans="1:5" x14ac:dyDescent="0.25">
      <c r="A1970" s="36">
        <v>1968</v>
      </c>
      <c r="B1970" s="37">
        <v>414312051</v>
      </c>
      <c r="C1970" s="38">
        <v>0.19292908310560933</v>
      </c>
      <c r="D1970" s="14" t="s">
        <v>2011</v>
      </c>
      <c r="E1970" s="14" t="s">
        <v>43</v>
      </c>
    </row>
    <row r="1971" spans="1:5" x14ac:dyDescent="0.25">
      <c r="A1971" s="36">
        <v>1969</v>
      </c>
      <c r="B1971" s="37">
        <v>1619615653</v>
      </c>
      <c r="C1971" s="38">
        <v>0.75419231027094291</v>
      </c>
      <c r="D1971" s="14" t="s">
        <v>2012</v>
      </c>
      <c r="E1971" s="14" t="s">
        <v>46</v>
      </c>
    </row>
    <row r="1972" spans="1:5" x14ac:dyDescent="0.25">
      <c r="A1972" s="36">
        <v>1970</v>
      </c>
      <c r="B1972" s="37">
        <v>917812364</v>
      </c>
      <c r="C1972" s="38">
        <v>0.42738968712621822</v>
      </c>
      <c r="D1972" s="14" t="s">
        <v>2013</v>
      </c>
      <c r="E1972" s="14" t="s">
        <v>48</v>
      </c>
    </row>
    <row r="1973" spans="1:5" x14ac:dyDescent="0.25">
      <c r="A1973" s="36">
        <v>1971</v>
      </c>
      <c r="B1973" s="37">
        <v>625131876</v>
      </c>
      <c r="C1973" s="38">
        <v>0.29109971425081588</v>
      </c>
      <c r="D1973" s="14" t="s">
        <v>2014</v>
      </c>
      <c r="E1973" s="14" t="s">
        <v>37</v>
      </c>
    </row>
    <row r="1974" spans="1:5" x14ac:dyDescent="0.25">
      <c r="A1974" s="36">
        <v>1972</v>
      </c>
      <c r="B1974" s="37">
        <v>481034802</v>
      </c>
      <c r="C1974" s="38">
        <v>0.22399928524345125</v>
      </c>
      <c r="D1974" s="14" t="s">
        <v>2015</v>
      </c>
      <c r="E1974" s="14" t="s">
        <v>40</v>
      </c>
    </row>
    <row r="1975" spans="1:5" x14ac:dyDescent="0.25">
      <c r="A1975" s="36">
        <v>1973</v>
      </c>
      <c r="B1975" s="37">
        <v>1894952029</v>
      </c>
      <c r="C1975" s="38">
        <v>0.88240580162145466</v>
      </c>
      <c r="D1975" s="14" t="s">
        <v>2016</v>
      </c>
      <c r="E1975" s="14" t="s">
        <v>43</v>
      </c>
    </row>
    <row r="1976" spans="1:5" x14ac:dyDescent="0.25">
      <c r="A1976" s="36">
        <v>1974</v>
      </c>
      <c r="B1976" s="37">
        <v>2124032906</v>
      </c>
      <c r="C1976" s="38">
        <v>0.98907989775253458</v>
      </c>
      <c r="D1976" s="14" t="s">
        <v>2017</v>
      </c>
      <c r="E1976" s="14" t="s">
        <v>46</v>
      </c>
    </row>
    <row r="1977" spans="1:5" x14ac:dyDescent="0.25">
      <c r="A1977" s="36">
        <v>1975</v>
      </c>
      <c r="B1977" s="37">
        <v>1479492717</v>
      </c>
      <c r="C1977" s="38">
        <v>0.68894248348145859</v>
      </c>
      <c r="D1977" s="14" t="s">
        <v>2018</v>
      </c>
      <c r="E1977" s="14" t="s">
        <v>48</v>
      </c>
    </row>
    <row r="1978" spans="1:5" x14ac:dyDescent="0.25">
      <c r="A1978" s="36">
        <v>1976</v>
      </c>
      <c r="B1978" s="37">
        <v>986667634</v>
      </c>
      <c r="C1978" s="38">
        <v>0.45945292080727074</v>
      </c>
      <c r="D1978" s="14" t="s">
        <v>2019</v>
      </c>
      <c r="E1978" s="14" t="s">
        <v>37</v>
      </c>
    </row>
    <row r="1979" spans="1:5" x14ac:dyDescent="0.25">
      <c r="A1979" s="36">
        <v>1977</v>
      </c>
      <c r="B1979" s="37">
        <v>741188236</v>
      </c>
      <c r="C1979" s="38">
        <v>0.34514266827383205</v>
      </c>
      <c r="D1979" s="14" t="s">
        <v>2020</v>
      </c>
      <c r="E1979" s="14" t="s">
        <v>40</v>
      </c>
    </row>
    <row r="1980" spans="1:5" x14ac:dyDescent="0.25">
      <c r="A1980" s="36">
        <v>1978</v>
      </c>
      <c r="B1980" s="37">
        <v>154714270</v>
      </c>
      <c r="C1980" s="38">
        <v>7.2044446166625448E-2</v>
      </c>
      <c r="D1980" s="14" t="s">
        <v>2021</v>
      </c>
      <c r="E1980" s="14" t="s">
        <v>43</v>
      </c>
    </row>
    <row r="1981" spans="1:5" x14ac:dyDescent="0.25">
      <c r="A1981" s="36">
        <v>1979</v>
      </c>
      <c r="B1981" s="37">
        <v>545227733</v>
      </c>
      <c r="C1981" s="38">
        <v>0.25389144814288778</v>
      </c>
      <c r="D1981" s="14" t="s">
        <v>2022</v>
      </c>
      <c r="E1981" s="14" t="s">
        <v>46</v>
      </c>
    </row>
    <row r="1982" spans="1:5" x14ac:dyDescent="0.25">
      <c r="A1982" s="36">
        <v>1980</v>
      </c>
      <c r="B1982" s="37">
        <v>289601025</v>
      </c>
      <c r="C1982" s="38">
        <v>0.13485598616993799</v>
      </c>
      <c r="D1982" s="14" t="s">
        <v>2023</v>
      </c>
      <c r="E1982" s="14" t="s">
        <v>48</v>
      </c>
    </row>
    <row r="1983" spans="1:5" x14ac:dyDescent="0.25">
      <c r="A1983" s="36">
        <v>1981</v>
      </c>
      <c r="B1983" s="37">
        <v>1358316611</v>
      </c>
      <c r="C1983" s="38">
        <v>0.63251546194428365</v>
      </c>
      <c r="D1983" s="14" t="s">
        <v>2024</v>
      </c>
      <c r="E1983" s="14" t="s">
        <v>37</v>
      </c>
    </row>
    <row r="1984" spans="1:5" x14ac:dyDescent="0.25">
      <c r="A1984" s="36">
        <v>1982</v>
      </c>
      <c r="B1984" s="37">
        <v>582888812</v>
      </c>
      <c r="C1984" s="38">
        <v>0.27142875467959265</v>
      </c>
      <c r="D1984" s="14" t="s">
        <v>2025</v>
      </c>
      <c r="E1984" s="14" t="s">
        <v>40</v>
      </c>
    </row>
    <row r="1985" spans="1:5" x14ac:dyDescent="0.25">
      <c r="A1985" s="36">
        <v>1983</v>
      </c>
      <c r="B1985" s="37">
        <v>901983923</v>
      </c>
      <c r="C1985" s="38">
        <v>0.42001899491065137</v>
      </c>
      <c r="D1985" s="14" t="s">
        <v>2026</v>
      </c>
      <c r="E1985" s="14" t="s">
        <v>43</v>
      </c>
    </row>
    <row r="1986" spans="1:5" x14ac:dyDescent="0.25">
      <c r="A1986" s="36">
        <v>1984</v>
      </c>
      <c r="B1986" s="37">
        <v>1266241394</v>
      </c>
      <c r="C1986" s="38">
        <v>0.58963959784695863</v>
      </c>
      <c r="D1986" s="14" t="s">
        <v>2027</v>
      </c>
      <c r="E1986" s="14" t="s">
        <v>46</v>
      </c>
    </row>
    <row r="1987" spans="1:5" x14ac:dyDescent="0.25">
      <c r="A1987" s="36">
        <v>1985</v>
      </c>
      <c r="B1987" s="37">
        <v>695230983</v>
      </c>
      <c r="C1987" s="38">
        <v>0.32374215467075917</v>
      </c>
      <c r="D1987" s="14" t="s">
        <v>2028</v>
      </c>
      <c r="E1987" s="14" t="s">
        <v>48</v>
      </c>
    </row>
    <row r="1988" spans="1:5" x14ac:dyDescent="0.25">
      <c r="A1988" s="36">
        <v>1986</v>
      </c>
      <c r="B1988" s="37">
        <v>820637879</v>
      </c>
      <c r="C1988" s="38">
        <v>0.38213929132658025</v>
      </c>
      <c r="D1988" s="14" t="s">
        <v>2029</v>
      </c>
      <c r="E1988" s="14" t="s">
        <v>37</v>
      </c>
    </row>
    <row r="1989" spans="1:5" x14ac:dyDescent="0.25">
      <c r="A1989" s="36">
        <v>1987</v>
      </c>
      <c r="B1989" s="37">
        <v>1881262938</v>
      </c>
      <c r="C1989" s="38">
        <v>0.87603132188135358</v>
      </c>
      <c r="D1989" s="14" t="s">
        <v>2030</v>
      </c>
      <c r="E1989" s="14" t="s">
        <v>40</v>
      </c>
    </row>
    <row r="1990" spans="1:5" x14ac:dyDescent="0.25">
      <c r="A1990" s="36">
        <v>1988</v>
      </c>
      <c r="B1990" s="37">
        <v>1091330801</v>
      </c>
      <c r="C1990" s="38">
        <v>0.50819050590889081</v>
      </c>
      <c r="D1990" s="14" t="s">
        <v>2031</v>
      </c>
      <c r="E1990" s="14" t="s">
        <v>43</v>
      </c>
    </row>
    <row r="1991" spans="1:5" x14ac:dyDescent="0.25">
      <c r="A1991" s="36">
        <v>1989</v>
      </c>
      <c r="B1991" s="37">
        <v>588376036</v>
      </c>
      <c r="C1991" s="38">
        <v>0.27398394247236846</v>
      </c>
      <c r="D1991" s="14" t="s">
        <v>2032</v>
      </c>
      <c r="E1991" s="14" t="s">
        <v>46</v>
      </c>
    </row>
    <row r="1992" spans="1:5" x14ac:dyDescent="0.25">
      <c r="A1992" s="36">
        <v>1990</v>
      </c>
      <c r="B1992" s="37">
        <v>1275561832</v>
      </c>
      <c r="C1992" s="38">
        <v>0.59397976500633165</v>
      </c>
      <c r="D1992" s="14" t="s">
        <v>2033</v>
      </c>
      <c r="E1992" s="14" t="s">
        <v>48</v>
      </c>
    </row>
    <row r="1993" spans="1:5" x14ac:dyDescent="0.25">
      <c r="A1993" s="36">
        <v>1991</v>
      </c>
      <c r="B1993" s="37">
        <v>1375427005</v>
      </c>
      <c r="C1993" s="38">
        <v>0.64048311004437652</v>
      </c>
      <c r="D1993" s="14" t="s">
        <v>2034</v>
      </c>
      <c r="E1993" s="14" t="s">
        <v>37</v>
      </c>
    </row>
    <row r="1994" spans="1:5" x14ac:dyDescent="0.25">
      <c r="A1994" s="36">
        <v>1992</v>
      </c>
      <c r="B1994" s="37">
        <v>1333335148</v>
      </c>
      <c r="C1994" s="38">
        <v>0.62088256171945599</v>
      </c>
      <c r="D1994" s="14" t="s">
        <v>2035</v>
      </c>
      <c r="E1994" s="14" t="s">
        <v>40</v>
      </c>
    </row>
    <row r="1995" spans="1:5" x14ac:dyDescent="0.25">
      <c r="A1995" s="36">
        <v>1993</v>
      </c>
      <c r="B1995" s="37">
        <v>39045598</v>
      </c>
      <c r="C1995" s="38">
        <v>1.8182023436847154E-2</v>
      </c>
      <c r="D1995" s="14" t="s">
        <v>2036</v>
      </c>
      <c r="E1995" s="14" t="s">
        <v>43</v>
      </c>
    </row>
    <row r="1996" spans="1:5" x14ac:dyDescent="0.25">
      <c r="A1996" s="36">
        <v>1994</v>
      </c>
      <c r="B1996" s="37">
        <v>1942822365</v>
      </c>
      <c r="C1996" s="38">
        <v>0.90469716391744892</v>
      </c>
      <c r="D1996" s="14" t="s">
        <v>2037</v>
      </c>
      <c r="E1996" s="14" t="s">
        <v>46</v>
      </c>
    </row>
    <row r="1997" spans="1:5" x14ac:dyDescent="0.25">
      <c r="A1997" s="36">
        <v>1995</v>
      </c>
      <c r="B1997" s="37">
        <v>1114341371</v>
      </c>
      <c r="C1997" s="38">
        <v>0.51890563756176533</v>
      </c>
      <c r="D1997" s="14" t="s">
        <v>2038</v>
      </c>
      <c r="E1997" s="14" t="s">
        <v>48</v>
      </c>
    </row>
    <row r="1998" spans="1:5" x14ac:dyDescent="0.25">
      <c r="A1998" s="36">
        <v>1996</v>
      </c>
      <c r="B1998" s="37">
        <v>1886561041</v>
      </c>
      <c r="C1998" s="38">
        <v>0.87849844334577143</v>
      </c>
      <c r="D1998" s="14" t="s">
        <v>2039</v>
      </c>
      <c r="E1998" s="14" t="s">
        <v>37</v>
      </c>
    </row>
    <row r="1999" spans="1:5" x14ac:dyDescent="0.25">
      <c r="A1999" s="36">
        <v>1997</v>
      </c>
      <c r="B1999" s="37">
        <v>200888647</v>
      </c>
      <c r="C1999" s="38">
        <v>9.3546066011090792E-2</v>
      </c>
      <c r="D1999" s="14" t="s">
        <v>2040</v>
      </c>
      <c r="E1999" s="14" t="s">
        <v>40</v>
      </c>
    </row>
    <row r="2000" spans="1:5" x14ac:dyDescent="0.25">
      <c r="A2000" s="36">
        <v>1998</v>
      </c>
      <c r="B2000" s="37">
        <v>510377528</v>
      </c>
      <c r="C2000" s="38">
        <v>0.23766305681209221</v>
      </c>
      <c r="D2000" s="14" t="s">
        <v>2041</v>
      </c>
      <c r="E2000" s="14" t="s">
        <v>43</v>
      </c>
    </row>
    <row r="2001" spans="1:5" x14ac:dyDescent="0.25">
      <c r="A2001" s="36">
        <v>1999</v>
      </c>
      <c r="B2001" s="37">
        <v>1227879811</v>
      </c>
      <c r="C2001" s="38">
        <v>0.5717760937156976</v>
      </c>
      <c r="D2001" s="14" t="s">
        <v>2042</v>
      </c>
      <c r="E2001" s="14" t="s">
        <v>46</v>
      </c>
    </row>
    <row r="2002" spans="1:5" x14ac:dyDescent="0.25">
      <c r="A2002" s="36">
        <v>2000</v>
      </c>
      <c r="B2002" s="37">
        <v>160047806</v>
      </c>
      <c r="C2002" s="38">
        <v>7.4528067407444151E-2</v>
      </c>
      <c r="D2002" s="14" t="s">
        <v>2043</v>
      </c>
      <c r="E2002" s="14" t="s">
        <v>48</v>
      </c>
    </row>
    <row r="2003" spans="1:5" x14ac:dyDescent="0.25">
      <c r="A2003" s="36">
        <v>2001</v>
      </c>
      <c r="B2003" s="37">
        <v>651841435</v>
      </c>
      <c r="C2003" s="38">
        <v>0.30353732188396965</v>
      </c>
      <c r="D2003" s="14" t="s">
        <v>2044</v>
      </c>
      <c r="E2003" s="14" t="s">
        <v>37</v>
      </c>
    </row>
    <row r="2004" spans="1:5" x14ac:dyDescent="0.25">
      <c r="A2004" s="36">
        <v>2002</v>
      </c>
      <c r="B2004" s="37">
        <v>2003269083</v>
      </c>
      <c r="C2004" s="38">
        <v>0.93284486044796411</v>
      </c>
      <c r="D2004" s="14" t="s">
        <v>2045</v>
      </c>
      <c r="E2004" s="14" t="s">
        <v>40</v>
      </c>
    </row>
    <row r="2005" spans="1:5" x14ac:dyDescent="0.25">
      <c r="A2005" s="36">
        <v>2003</v>
      </c>
      <c r="B2005" s="37">
        <v>136307430</v>
      </c>
      <c r="C2005" s="38">
        <v>6.3473093352966525E-2</v>
      </c>
      <c r="D2005" s="14" t="s">
        <v>2046</v>
      </c>
      <c r="E2005" s="14" t="s">
        <v>43</v>
      </c>
    </row>
    <row r="2006" spans="1:5" x14ac:dyDescent="0.25">
      <c r="A2006" s="36">
        <v>2004</v>
      </c>
      <c r="B2006" s="37">
        <v>49068482</v>
      </c>
      <c r="C2006" s="38">
        <v>2.2849292504996663E-2</v>
      </c>
      <c r="D2006" s="14" t="s">
        <v>2047</v>
      </c>
      <c r="E2006" s="14" t="s">
        <v>46</v>
      </c>
    </row>
    <row r="2007" spans="1:5" x14ac:dyDescent="0.25">
      <c r="A2007" s="36">
        <v>2005</v>
      </c>
      <c r="B2007" s="37">
        <v>1483358922</v>
      </c>
      <c r="C2007" s="38">
        <v>0.69074282547959254</v>
      </c>
      <c r="D2007" s="14" t="s">
        <v>2048</v>
      </c>
      <c r="E2007" s="14" t="s">
        <v>48</v>
      </c>
    </row>
    <row r="2008" spans="1:5" x14ac:dyDescent="0.25">
      <c r="A2008" s="36">
        <v>2006</v>
      </c>
      <c r="B2008" s="37">
        <v>373055200</v>
      </c>
      <c r="C2008" s="38">
        <v>0.17371736474973959</v>
      </c>
      <c r="D2008" s="14" t="s">
        <v>2049</v>
      </c>
      <c r="E2008" s="14" t="s">
        <v>37</v>
      </c>
    </row>
    <row r="2009" spans="1:5" x14ac:dyDescent="0.25">
      <c r="A2009" s="36">
        <v>2007</v>
      </c>
      <c r="B2009" s="37">
        <v>791768644</v>
      </c>
      <c r="C2009" s="38">
        <v>0.36869600618663056</v>
      </c>
      <c r="D2009" s="14" t="s">
        <v>2050</v>
      </c>
      <c r="E2009" s="14" t="s">
        <v>40</v>
      </c>
    </row>
    <row r="2010" spans="1:5" x14ac:dyDescent="0.25">
      <c r="A2010" s="36">
        <v>2008</v>
      </c>
      <c r="B2010" s="37">
        <v>411959835</v>
      </c>
      <c r="C2010" s="38">
        <v>0.1918337471745134</v>
      </c>
      <c r="D2010" s="14" t="s">
        <v>2051</v>
      </c>
      <c r="E2010" s="14" t="s">
        <v>43</v>
      </c>
    </row>
    <row r="2011" spans="1:5" x14ac:dyDescent="0.25">
      <c r="A2011" s="36">
        <v>2009</v>
      </c>
      <c r="B2011" s="37">
        <v>1159966734</v>
      </c>
      <c r="C2011" s="38">
        <v>0.54015160284012165</v>
      </c>
      <c r="D2011" s="14" t="s">
        <v>2052</v>
      </c>
      <c r="E2011" s="14" t="s">
        <v>46</v>
      </c>
    </row>
    <row r="2012" spans="1:5" x14ac:dyDescent="0.25">
      <c r="A2012" s="36">
        <v>2010</v>
      </c>
      <c r="B2012" s="37">
        <v>684732461</v>
      </c>
      <c r="C2012" s="38">
        <v>0.31885339939913404</v>
      </c>
      <c r="D2012" s="14" t="s">
        <v>2053</v>
      </c>
      <c r="E2012" s="14" t="s">
        <v>48</v>
      </c>
    </row>
    <row r="2013" spans="1:5" x14ac:dyDescent="0.25">
      <c r="A2013" s="36">
        <v>2011</v>
      </c>
      <c r="B2013" s="37">
        <v>1990225115</v>
      </c>
      <c r="C2013" s="38">
        <v>0.92677078951465464</v>
      </c>
      <c r="D2013" s="14" t="s">
        <v>2054</v>
      </c>
      <c r="E2013" s="14" t="s">
        <v>37</v>
      </c>
    </row>
    <row r="2014" spans="1:5" x14ac:dyDescent="0.25">
      <c r="A2014" s="36">
        <v>2012</v>
      </c>
      <c r="B2014" s="37">
        <v>1332627047</v>
      </c>
      <c r="C2014" s="38">
        <v>0.62055282649609855</v>
      </c>
      <c r="D2014" s="14" t="s">
        <v>2055</v>
      </c>
      <c r="E2014" s="14" t="s">
        <v>40</v>
      </c>
    </row>
    <row r="2015" spans="1:5" x14ac:dyDescent="0.25">
      <c r="A2015" s="36">
        <v>2013</v>
      </c>
      <c r="B2015" s="37">
        <v>355750776</v>
      </c>
      <c r="C2015" s="38">
        <v>0.16565936439002835</v>
      </c>
      <c r="D2015" s="14" t="s">
        <v>2056</v>
      </c>
      <c r="E2015" s="14" t="s">
        <v>43</v>
      </c>
    </row>
    <row r="2016" spans="1:5" x14ac:dyDescent="0.25">
      <c r="A2016" s="36">
        <v>2014</v>
      </c>
      <c r="B2016" s="37">
        <v>1343567255</v>
      </c>
      <c r="C2016" s="38">
        <v>0.6256472578391653</v>
      </c>
      <c r="D2016" s="14" t="s">
        <v>2057</v>
      </c>
      <c r="E2016" s="14" t="s">
        <v>46</v>
      </c>
    </row>
    <row r="2017" spans="1:5" x14ac:dyDescent="0.25">
      <c r="A2017" s="36">
        <v>2015</v>
      </c>
      <c r="B2017" s="37">
        <v>2091629063</v>
      </c>
      <c r="C2017" s="38">
        <v>0.97399068250041021</v>
      </c>
      <c r="D2017" s="14" t="s">
        <v>2058</v>
      </c>
      <c r="E2017" s="14" t="s">
        <v>48</v>
      </c>
    </row>
    <row r="2018" spans="1:5" x14ac:dyDescent="0.25">
      <c r="A2018" s="36">
        <v>2016</v>
      </c>
      <c r="B2018" s="37">
        <v>672001194</v>
      </c>
      <c r="C2018" s="38">
        <v>0.31292494121609488</v>
      </c>
      <c r="D2018" s="14" t="s">
        <v>2059</v>
      </c>
      <c r="E2018" s="14" t="s">
        <v>37</v>
      </c>
    </row>
    <row r="2019" spans="1:5" x14ac:dyDescent="0.25">
      <c r="A2019" s="36">
        <v>2017</v>
      </c>
      <c r="B2019" s="37">
        <v>1846650536</v>
      </c>
      <c r="C2019" s="38">
        <v>0.85991366620171517</v>
      </c>
      <c r="D2019" s="14" t="s">
        <v>2060</v>
      </c>
      <c r="E2019" s="14" t="s">
        <v>40</v>
      </c>
    </row>
    <row r="2020" spans="1:5" x14ac:dyDescent="0.25">
      <c r="A2020" s="36">
        <v>2018</v>
      </c>
      <c r="B2020" s="37">
        <v>574173467</v>
      </c>
      <c r="C2020" s="38">
        <v>0.26737035590567176</v>
      </c>
      <c r="D2020" s="14" t="s">
        <v>2061</v>
      </c>
      <c r="E2020" s="14" t="s">
        <v>43</v>
      </c>
    </row>
    <row r="2021" spans="1:5" x14ac:dyDescent="0.25">
      <c r="A2021" s="36">
        <v>2019</v>
      </c>
      <c r="B2021" s="37">
        <v>244383283</v>
      </c>
      <c r="C2021" s="38">
        <v>0.11379983421126373</v>
      </c>
      <c r="D2021" s="14" t="s">
        <v>2062</v>
      </c>
      <c r="E2021" s="14" t="s">
        <v>46</v>
      </c>
    </row>
    <row r="2022" spans="1:5" x14ac:dyDescent="0.25">
      <c r="A2022" s="36">
        <v>2020</v>
      </c>
      <c r="B2022" s="37">
        <v>303174117</v>
      </c>
      <c r="C2022" s="38">
        <v>0.14117644966634757</v>
      </c>
      <c r="D2022" s="14" t="s">
        <v>2063</v>
      </c>
      <c r="E2022" s="14" t="s">
        <v>48</v>
      </c>
    </row>
    <row r="2023" spans="1:5" x14ac:dyDescent="0.25">
      <c r="A2023" s="36">
        <v>2021</v>
      </c>
      <c r="B2023" s="37">
        <v>433827824</v>
      </c>
      <c r="C2023" s="38">
        <v>0.20201682308782676</v>
      </c>
      <c r="D2023" s="14" t="s">
        <v>2064</v>
      </c>
      <c r="E2023" s="14" t="s">
        <v>37</v>
      </c>
    </row>
    <row r="2024" spans="1:5" x14ac:dyDescent="0.25">
      <c r="A2024" s="36">
        <v>2022</v>
      </c>
      <c r="B2024" s="37">
        <v>1126540309</v>
      </c>
      <c r="C2024" s="38">
        <v>0.52458621073727785</v>
      </c>
      <c r="D2024" s="14" t="s">
        <v>2065</v>
      </c>
      <c r="E2024" s="14" t="s">
        <v>40</v>
      </c>
    </row>
    <row r="2025" spans="1:5" x14ac:dyDescent="0.25">
      <c r="A2025" s="36">
        <v>2023</v>
      </c>
      <c r="B2025" s="37">
        <v>718469459</v>
      </c>
      <c r="C2025" s="38">
        <v>0.3345634133250282</v>
      </c>
      <c r="D2025" s="14" t="s">
        <v>2066</v>
      </c>
      <c r="E2025" s="14" t="s">
        <v>43</v>
      </c>
    </row>
    <row r="2026" spans="1:5" x14ac:dyDescent="0.25">
      <c r="A2026" s="36">
        <v>2024</v>
      </c>
      <c r="B2026" s="37">
        <v>1369452015</v>
      </c>
      <c r="C2026" s="38">
        <v>0.63770078850803003</v>
      </c>
      <c r="D2026" s="14" t="s">
        <v>2067</v>
      </c>
      <c r="E2026" s="14" t="s">
        <v>46</v>
      </c>
    </row>
    <row r="2027" spans="1:5" x14ac:dyDescent="0.25">
      <c r="A2027" s="36">
        <v>2025</v>
      </c>
      <c r="B2027" s="37">
        <v>809874655</v>
      </c>
      <c r="C2027" s="38">
        <v>0.37712727458082479</v>
      </c>
      <c r="D2027" s="14" t="s">
        <v>2068</v>
      </c>
      <c r="E2027" s="14" t="s">
        <v>48</v>
      </c>
    </row>
    <row r="2028" spans="1:5" x14ac:dyDescent="0.25">
      <c r="A2028" s="36">
        <v>2026</v>
      </c>
      <c r="B2028" s="37">
        <v>534417612</v>
      </c>
      <c r="C2028" s="38">
        <v>0.24885759327973128</v>
      </c>
      <c r="D2028" s="14" t="s">
        <v>2069</v>
      </c>
      <c r="E2028" s="14" t="s">
        <v>37</v>
      </c>
    </row>
    <row r="2029" spans="1:5" x14ac:dyDescent="0.25">
      <c r="A2029" s="36">
        <v>2027</v>
      </c>
      <c r="B2029" s="37">
        <v>338421713</v>
      </c>
      <c r="C2029" s="38">
        <v>0.1575898906018538</v>
      </c>
      <c r="D2029" s="14" t="s">
        <v>2070</v>
      </c>
      <c r="E2029" s="14" t="s">
        <v>40</v>
      </c>
    </row>
    <row r="2030" spans="1:5" x14ac:dyDescent="0.25">
      <c r="A2030" s="36">
        <v>2028</v>
      </c>
      <c r="B2030" s="37">
        <v>1685323684</v>
      </c>
      <c r="C2030" s="38">
        <v>0.78478999658710791</v>
      </c>
      <c r="D2030" s="14" t="s">
        <v>2071</v>
      </c>
      <c r="E2030" s="14" t="s">
        <v>43</v>
      </c>
    </row>
    <row r="2031" spans="1:5" x14ac:dyDescent="0.25">
      <c r="A2031" s="36">
        <v>2029</v>
      </c>
      <c r="B2031" s="37">
        <v>88487282</v>
      </c>
      <c r="C2031" s="38">
        <v>4.1205101665670568E-2</v>
      </c>
      <c r="D2031" s="14" t="s">
        <v>2072</v>
      </c>
      <c r="E2031" s="14" t="s">
        <v>46</v>
      </c>
    </row>
    <row r="2032" spans="1:5" x14ac:dyDescent="0.25">
      <c r="A2032" s="36">
        <v>2030</v>
      </c>
      <c r="B2032" s="37">
        <v>846078484</v>
      </c>
      <c r="C2032" s="38">
        <v>0.39398599620628449</v>
      </c>
      <c r="D2032" s="14" t="s">
        <v>2073</v>
      </c>
      <c r="E2032" s="14" t="s">
        <v>48</v>
      </c>
    </row>
    <row r="2033" spans="1:5" x14ac:dyDescent="0.25">
      <c r="A2033" s="36">
        <v>2031</v>
      </c>
      <c r="B2033" s="37">
        <v>26781723</v>
      </c>
      <c r="C2033" s="38">
        <v>1.2471211614306648E-2</v>
      </c>
      <c r="D2033" s="14" t="s">
        <v>2074</v>
      </c>
      <c r="E2033" s="14" t="s">
        <v>37</v>
      </c>
    </row>
    <row r="2034" spans="1:5" x14ac:dyDescent="0.25">
      <c r="A2034" s="36">
        <v>2032</v>
      </c>
      <c r="B2034" s="37">
        <v>248352725</v>
      </c>
      <c r="C2034" s="38">
        <v>0.11564824968373787</v>
      </c>
      <c r="D2034" s="14" t="s">
        <v>2075</v>
      </c>
      <c r="E2034" s="14" t="s">
        <v>40</v>
      </c>
    </row>
    <row r="2035" spans="1:5" x14ac:dyDescent="0.25">
      <c r="A2035" s="36">
        <v>2033</v>
      </c>
      <c r="B2035" s="37">
        <v>1878920995</v>
      </c>
      <c r="C2035" s="38">
        <v>0.87494076968866441</v>
      </c>
      <c r="D2035" s="14" t="s">
        <v>2076</v>
      </c>
      <c r="E2035" s="14" t="s">
        <v>43</v>
      </c>
    </row>
    <row r="2036" spans="1:5" x14ac:dyDescent="0.25">
      <c r="A2036" s="36">
        <v>2034</v>
      </c>
      <c r="B2036" s="37">
        <v>551478031</v>
      </c>
      <c r="C2036" s="38">
        <v>0.25680196995698007</v>
      </c>
      <c r="D2036" s="14" t="s">
        <v>2077</v>
      </c>
      <c r="E2036" s="14" t="s">
        <v>46</v>
      </c>
    </row>
    <row r="2037" spans="1:5" x14ac:dyDescent="0.25">
      <c r="A2037" s="36">
        <v>2035</v>
      </c>
      <c r="B2037" s="37">
        <v>1656093407</v>
      </c>
      <c r="C2037" s="38">
        <v>0.77117858816458773</v>
      </c>
      <c r="D2037" s="14" t="s">
        <v>2078</v>
      </c>
      <c r="E2037" s="14" t="s">
        <v>48</v>
      </c>
    </row>
    <row r="2038" spans="1:5" x14ac:dyDescent="0.25">
      <c r="A2038" s="36">
        <v>2036</v>
      </c>
      <c r="B2038" s="37">
        <v>1098653936</v>
      </c>
      <c r="C2038" s="38">
        <v>0.51160060638170712</v>
      </c>
      <c r="D2038" s="14" t="s">
        <v>2079</v>
      </c>
      <c r="E2038" s="14" t="s">
        <v>37</v>
      </c>
    </row>
    <row r="2039" spans="1:5" x14ac:dyDescent="0.25">
      <c r="A2039" s="36">
        <v>2037</v>
      </c>
      <c r="B2039" s="37">
        <v>1012481539</v>
      </c>
      <c r="C2039" s="38">
        <v>0.47147345704560795</v>
      </c>
      <c r="D2039" s="14" t="s">
        <v>2080</v>
      </c>
      <c r="E2039" s="14" t="s">
        <v>40</v>
      </c>
    </row>
    <row r="2040" spans="1:5" x14ac:dyDescent="0.25">
      <c r="A2040" s="36">
        <v>2038</v>
      </c>
      <c r="B2040" s="37">
        <v>1778599185</v>
      </c>
      <c r="C2040" s="38">
        <v>0.82822478647726816</v>
      </c>
      <c r="D2040" s="14" t="s">
        <v>2081</v>
      </c>
      <c r="E2040" s="14" t="s">
        <v>43</v>
      </c>
    </row>
    <row r="2041" spans="1:5" x14ac:dyDescent="0.25">
      <c r="A2041" s="36">
        <v>2039</v>
      </c>
      <c r="B2041" s="37">
        <v>719078501</v>
      </c>
      <c r="C2041" s="38">
        <v>0.33484702060690474</v>
      </c>
      <c r="D2041" s="14" t="s">
        <v>2082</v>
      </c>
      <c r="E2041" s="14" t="s">
        <v>46</v>
      </c>
    </row>
    <row r="2042" spans="1:5" x14ac:dyDescent="0.25">
      <c r="A2042" s="36">
        <v>2040</v>
      </c>
      <c r="B2042" s="37">
        <v>1522805681</v>
      </c>
      <c r="C2042" s="38">
        <v>0.7091116540642044</v>
      </c>
      <c r="D2042" s="14" t="s">
        <v>2083</v>
      </c>
      <c r="E2042" s="14" t="s">
        <v>48</v>
      </c>
    </row>
    <row r="2043" spans="1:5" x14ac:dyDescent="0.25">
      <c r="A2043" s="36">
        <v>2041</v>
      </c>
      <c r="B2043" s="37">
        <v>1177072650</v>
      </c>
      <c r="C2043" s="38">
        <v>0.54811716570896896</v>
      </c>
      <c r="D2043" s="14" t="s">
        <v>2084</v>
      </c>
      <c r="E2043" s="14" t="s">
        <v>37</v>
      </c>
    </row>
    <row r="2044" spans="1:5" x14ac:dyDescent="0.25">
      <c r="A2044" s="36">
        <v>2042</v>
      </c>
      <c r="B2044" s="37">
        <v>423886788</v>
      </c>
      <c r="C2044" s="38">
        <v>0.19738766746473857</v>
      </c>
      <c r="D2044" s="14" t="s">
        <v>2085</v>
      </c>
      <c r="E2044" s="14" t="s">
        <v>40</v>
      </c>
    </row>
    <row r="2045" spans="1:5" x14ac:dyDescent="0.25">
      <c r="A2045" s="36">
        <v>2043</v>
      </c>
      <c r="B2045" s="37">
        <v>385092544</v>
      </c>
      <c r="C2045" s="38">
        <v>0.17932268985515587</v>
      </c>
      <c r="D2045" s="14" t="s">
        <v>2086</v>
      </c>
      <c r="E2045" s="14" t="s">
        <v>43</v>
      </c>
    </row>
    <row r="2046" spans="1:5" x14ac:dyDescent="0.25">
      <c r="A2046" s="36">
        <v>2044</v>
      </c>
      <c r="B2046" s="37">
        <v>1229363734</v>
      </c>
      <c r="C2046" s="38">
        <v>0.5724670992104649</v>
      </c>
      <c r="D2046" s="14" t="s">
        <v>2087</v>
      </c>
      <c r="E2046" s="14" t="s">
        <v>46</v>
      </c>
    </row>
    <row r="2047" spans="1:5" x14ac:dyDescent="0.25">
      <c r="A2047" s="36">
        <v>2045</v>
      </c>
      <c r="B2047" s="37">
        <v>580785331</v>
      </c>
      <c r="C2047" s="38">
        <v>0.2704492450088492</v>
      </c>
      <c r="D2047" s="14" t="s">
        <v>2088</v>
      </c>
      <c r="E2047" s="14" t="s">
        <v>48</v>
      </c>
    </row>
    <row r="2048" spans="1:5" x14ac:dyDescent="0.25">
      <c r="A2048" s="36">
        <v>2046</v>
      </c>
      <c r="B2048" s="37">
        <v>3617008</v>
      </c>
      <c r="C2048" s="38">
        <v>1.6843006022667049E-3</v>
      </c>
      <c r="D2048" s="14" t="s">
        <v>2089</v>
      </c>
      <c r="E2048" s="14" t="s">
        <v>37</v>
      </c>
    </row>
    <row r="2049" spans="1:5" x14ac:dyDescent="0.25">
      <c r="A2049" s="36">
        <v>2047</v>
      </c>
      <c r="B2049" s="37">
        <v>69999235</v>
      </c>
      <c r="C2049" s="38">
        <v>3.2595933895835622E-2</v>
      </c>
      <c r="D2049" s="14" t="s">
        <v>2090</v>
      </c>
      <c r="E2049" s="14" t="s">
        <v>40</v>
      </c>
    </row>
    <row r="2050" spans="1:5" x14ac:dyDescent="0.25">
      <c r="A2050" s="36">
        <v>2048</v>
      </c>
      <c r="B2050" s="37">
        <v>470307319</v>
      </c>
      <c r="C2050" s="38">
        <v>0.21900391169777322</v>
      </c>
      <c r="D2050" s="14" t="s">
        <v>2091</v>
      </c>
      <c r="E2050" s="14" t="s">
        <v>43</v>
      </c>
    </row>
    <row r="2051" spans="1:5" x14ac:dyDescent="0.25">
      <c r="A2051" s="36">
        <v>2049</v>
      </c>
      <c r="B2051" s="37">
        <v>2057836259</v>
      </c>
      <c r="C2051" s="38">
        <v>0.9582546818807044</v>
      </c>
      <c r="D2051" s="14" t="s">
        <v>2092</v>
      </c>
      <c r="E2051" s="14" t="s">
        <v>46</v>
      </c>
    </row>
    <row r="2052" spans="1:5" x14ac:dyDescent="0.25">
      <c r="A2052" s="36">
        <v>2050</v>
      </c>
      <c r="B2052" s="37">
        <v>744088965</v>
      </c>
      <c r="C2052" s="38">
        <v>0.34649342547473194</v>
      </c>
      <c r="D2052" s="14" t="s">
        <v>2093</v>
      </c>
      <c r="E2052" s="14" t="s">
        <v>48</v>
      </c>
    </row>
    <row r="2053" spans="1:5" x14ac:dyDescent="0.25">
      <c r="A2053" s="36">
        <v>2051</v>
      </c>
      <c r="B2053" s="37">
        <v>947414539</v>
      </c>
      <c r="C2053" s="38">
        <v>0.44117427405024612</v>
      </c>
      <c r="D2053" s="14" t="s">
        <v>2094</v>
      </c>
      <c r="E2053" s="14" t="s">
        <v>37</v>
      </c>
    </row>
    <row r="2054" spans="1:5" x14ac:dyDescent="0.25">
      <c r="A2054" s="36">
        <v>2052</v>
      </c>
      <c r="B2054" s="37">
        <v>173193336</v>
      </c>
      <c r="C2054" s="38">
        <v>8.0649431832437141E-2</v>
      </c>
      <c r="D2054" s="14" t="s">
        <v>2095</v>
      </c>
      <c r="E2054" s="14" t="s">
        <v>40</v>
      </c>
    </row>
    <row r="2055" spans="1:5" x14ac:dyDescent="0.25">
      <c r="A2055" s="36">
        <v>2053</v>
      </c>
      <c r="B2055" s="37">
        <v>1004285402</v>
      </c>
      <c r="C2055" s="38">
        <v>0.46765683333746011</v>
      </c>
      <c r="D2055" s="14" t="s">
        <v>2096</v>
      </c>
      <c r="E2055" s="14" t="s">
        <v>43</v>
      </c>
    </row>
    <row r="2056" spans="1:5" x14ac:dyDescent="0.25">
      <c r="A2056" s="36">
        <v>2054</v>
      </c>
      <c r="B2056" s="37">
        <v>2067268651</v>
      </c>
      <c r="C2056" s="38">
        <v>0.96264698168386098</v>
      </c>
      <c r="D2056" s="14" t="s">
        <v>2097</v>
      </c>
      <c r="E2056" s="14" t="s">
        <v>46</v>
      </c>
    </row>
    <row r="2057" spans="1:5" x14ac:dyDescent="0.25">
      <c r="A2057" s="36">
        <v>2055</v>
      </c>
      <c r="B2057" s="37">
        <v>943439548</v>
      </c>
      <c r="C2057" s="38">
        <v>0.43932327462328752</v>
      </c>
      <c r="D2057" s="14" t="s">
        <v>2098</v>
      </c>
      <c r="E2057" s="14" t="s">
        <v>48</v>
      </c>
    </row>
    <row r="2058" spans="1:5" x14ac:dyDescent="0.25">
      <c r="A2058" s="36">
        <v>2056</v>
      </c>
      <c r="B2058" s="37">
        <v>98415468</v>
      </c>
      <c r="C2058" s="38">
        <v>4.5828273541214069E-2</v>
      </c>
      <c r="D2058" s="14" t="s">
        <v>2099</v>
      </c>
      <c r="E2058" s="14" t="s">
        <v>37</v>
      </c>
    </row>
    <row r="2059" spans="1:5" x14ac:dyDescent="0.25">
      <c r="A2059" s="36">
        <v>2057</v>
      </c>
      <c r="B2059" s="37">
        <v>1673216469</v>
      </c>
      <c r="C2059" s="38">
        <v>0.77915213526187099</v>
      </c>
      <c r="D2059" s="14" t="s">
        <v>2100</v>
      </c>
      <c r="E2059" s="14" t="s">
        <v>40</v>
      </c>
    </row>
    <row r="2060" spans="1:5" x14ac:dyDescent="0.25">
      <c r="A2060" s="36">
        <v>2058</v>
      </c>
      <c r="B2060" s="37">
        <v>1460466502</v>
      </c>
      <c r="C2060" s="38">
        <v>0.68008271170783918</v>
      </c>
      <c r="D2060" s="14" t="s">
        <v>2101</v>
      </c>
      <c r="E2060" s="14" t="s">
        <v>43</v>
      </c>
    </row>
    <row r="2061" spans="1:5" x14ac:dyDescent="0.25">
      <c r="A2061" s="36">
        <v>2059</v>
      </c>
      <c r="B2061" s="37">
        <v>317487068</v>
      </c>
      <c r="C2061" s="38">
        <v>0.14784143685728379</v>
      </c>
      <c r="D2061" s="14" t="s">
        <v>2102</v>
      </c>
      <c r="E2061" s="14" t="s">
        <v>46</v>
      </c>
    </row>
    <row r="2062" spans="1:5" x14ac:dyDescent="0.25">
      <c r="A2062" s="36">
        <v>2060</v>
      </c>
      <c r="B2062" s="37">
        <v>515011281</v>
      </c>
      <c r="C2062" s="38">
        <v>0.23982081620014312</v>
      </c>
      <c r="D2062" s="14" t="s">
        <v>2103</v>
      </c>
      <c r="E2062" s="14" t="s">
        <v>48</v>
      </c>
    </row>
    <row r="2063" spans="1:5" x14ac:dyDescent="0.25">
      <c r="A2063" s="36">
        <v>2061</v>
      </c>
      <c r="B2063" s="37">
        <v>464332112</v>
      </c>
      <c r="C2063" s="38">
        <v>0.21622148911292735</v>
      </c>
      <c r="D2063" s="14" t="s">
        <v>2104</v>
      </c>
      <c r="E2063" s="14" t="s">
        <v>37</v>
      </c>
    </row>
    <row r="2064" spans="1:5" x14ac:dyDescent="0.25">
      <c r="A2064" s="36">
        <v>2062</v>
      </c>
      <c r="B2064" s="37">
        <v>1173173841</v>
      </c>
      <c r="C2064" s="38">
        <v>0.54630164129021652</v>
      </c>
      <c r="D2064" s="14" t="s">
        <v>2105</v>
      </c>
      <c r="E2064" s="14" t="s">
        <v>40</v>
      </c>
    </row>
    <row r="2065" spans="1:5" x14ac:dyDescent="0.25">
      <c r="A2065" s="36">
        <v>2063</v>
      </c>
      <c r="B2065" s="37">
        <v>454417297</v>
      </c>
      <c r="C2065" s="38">
        <v>0.21160454359445932</v>
      </c>
      <c r="D2065" s="14" t="s">
        <v>2106</v>
      </c>
      <c r="E2065" s="14" t="s">
        <v>43</v>
      </c>
    </row>
    <row r="2066" spans="1:5" x14ac:dyDescent="0.25">
      <c r="A2066" s="36">
        <v>2064</v>
      </c>
      <c r="B2066" s="37">
        <v>1127563161</v>
      </c>
      <c r="C2066" s="38">
        <v>0.52506251331654497</v>
      </c>
      <c r="D2066" s="14" t="s">
        <v>2107</v>
      </c>
      <c r="E2066" s="14" t="s">
        <v>46</v>
      </c>
    </row>
    <row r="2067" spans="1:5" x14ac:dyDescent="0.25">
      <c r="A2067" s="36">
        <v>2065</v>
      </c>
      <c r="B2067" s="37">
        <v>326662688</v>
      </c>
      <c r="C2067" s="38">
        <v>0.15211416788032006</v>
      </c>
      <c r="D2067" s="14" t="s">
        <v>2108</v>
      </c>
      <c r="E2067" s="14" t="s">
        <v>48</v>
      </c>
    </row>
    <row r="2068" spans="1:5" x14ac:dyDescent="0.25">
      <c r="A2068" s="36">
        <v>2066</v>
      </c>
      <c r="B2068" s="37">
        <v>660194317</v>
      </c>
      <c r="C2068" s="38">
        <v>0.30742693567063051</v>
      </c>
      <c r="D2068" s="14" t="s">
        <v>2109</v>
      </c>
      <c r="E2068" s="14" t="s">
        <v>37</v>
      </c>
    </row>
    <row r="2069" spans="1:5" x14ac:dyDescent="0.25">
      <c r="A2069" s="36">
        <v>2067</v>
      </c>
      <c r="B2069" s="37">
        <v>627565808</v>
      </c>
      <c r="C2069" s="38">
        <v>0.29223310215968318</v>
      </c>
      <c r="D2069" s="14" t="s">
        <v>2110</v>
      </c>
      <c r="E2069" s="14" t="s">
        <v>40</v>
      </c>
    </row>
    <row r="2070" spans="1:5" x14ac:dyDescent="0.25">
      <c r="A2070" s="36">
        <v>2068</v>
      </c>
      <c r="B2070" s="37">
        <v>1667538860</v>
      </c>
      <c r="C2070" s="38">
        <v>0.77650829254486986</v>
      </c>
      <c r="D2070" s="14" t="s">
        <v>2111</v>
      </c>
      <c r="E2070" s="14" t="s">
        <v>43</v>
      </c>
    </row>
    <row r="2071" spans="1:5" x14ac:dyDescent="0.25">
      <c r="A2071" s="36">
        <v>2069</v>
      </c>
      <c r="B2071" s="37">
        <v>2013876224</v>
      </c>
      <c r="C2071" s="38">
        <v>0.93778419538297886</v>
      </c>
      <c r="D2071" s="14" t="s">
        <v>2112</v>
      </c>
      <c r="E2071" s="14" t="s">
        <v>46</v>
      </c>
    </row>
    <row r="2072" spans="1:5" x14ac:dyDescent="0.25">
      <c r="A2072" s="36">
        <v>2070</v>
      </c>
      <c r="B2072" s="37">
        <v>1524618468</v>
      </c>
      <c r="C2072" s="38">
        <v>0.70995579879263215</v>
      </c>
      <c r="D2072" s="14" t="s">
        <v>2113</v>
      </c>
      <c r="E2072" s="14" t="s">
        <v>48</v>
      </c>
    </row>
    <row r="2073" spans="1:5" x14ac:dyDescent="0.25">
      <c r="A2073" s="36">
        <v>2071</v>
      </c>
      <c r="B2073" s="37">
        <v>1391829790</v>
      </c>
      <c r="C2073" s="38">
        <v>0.64812125202646542</v>
      </c>
      <c r="D2073" s="14" t="s">
        <v>2114</v>
      </c>
      <c r="E2073" s="14" t="s">
        <v>37</v>
      </c>
    </row>
    <row r="2074" spans="1:5" x14ac:dyDescent="0.25">
      <c r="A2074" s="36">
        <v>2072</v>
      </c>
      <c r="B2074" s="37">
        <v>1071949315</v>
      </c>
      <c r="C2074" s="38">
        <v>0.49916529818399125</v>
      </c>
      <c r="D2074" s="14" t="s">
        <v>2115</v>
      </c>
      <c r="E2074" s="14" t="s">
        <v>40</v>
      </c>
    </row>
    <row r="2075" spans="1:5" x14ac:dyDescent="0.25">
      <c r="A2075" s="36">
        <v>2073</v>
      </c>
      <c r="B2075" s="37">
        <v>1267220767</v>
      </c>
      <c r="C2075" s="38">
        <v>0.59009565393910546</v>
      </c>
      <c r="D2075" s="14" t="s">
        <v>2116</v>
      </c>
      <c r="E2075" s="14" t="s">
        <v>43</v>
      </c>
    </row>
    <row r="2076" spans="1:5" x14ac:dyDescent="0.25">
      <c r="A2076" s="36">
        <v>2074</v>
      </c>
      <c r="B2076" s="37">
        <v>945985735</v>
      </c>
      <c r="C2076" s="38">
        <v>0.44050893533998586</v>
      </c>
      <c r="D2076" s="14" t="s">
        <v>2117</v>
      </c>
      <c r="E2076" s="14" t="s">
        <v>46</v>
      </c>
    </row>
    <row r="2077" spans="1:5" x14ac:dyDescent="0.25">
      <c r="A2077" s="36">
        <v>2075</v>
      </c>
      <c r="B2077" s="37">
        <v>1305096112</v>
      </c>
      <c r="C2077" s="38">
        <v>0.60773273585724308</v>
      </c>
      <c r="D2077" s="14" t="s">
        <v>2118</v>
      </c>
      <c r="E2077" s="14" t="s">
        <v>48</v>
      </c>
    </row>
    <row r="2078" spans="1:5" x14ac:dyDescent="0.25">
      <c r="A2078" s="36">
        <v>2076</v>
      </c>
      <c r="B2078" s="37">
        <v>1727196881</v>
      </c>
      <c r="C2078" s="38">
        <v>0.80428872341489821</v>
      </c>
      <c r="D2078" s="14" t="s">
        <v>2119</v>
      </c>
      <c r="E2078" s="14" t="s">
        <v>37</v>
      </c>
    </row>
    <row r="2079" spans="1:5" x14ac:dyDescent="0.25">
      <c r="A2079" s="36">
        <v>2077</v>
      </c>
      <c r="B2079" s="37">
        <v>342476675</v>
      </c>
      <c r="C2079" s="38">
        <v>0.15947812942763703</v>
      </c>
      <c r="D2079" s="14" t="s">
        <v>2120</v>
      </c>
      <c r="E2079" s="14" t="s">
        <v>40</v>
      </c>
    </row>
    <row r="2080" spans="1:5" x14ac:dyDescent="0.25">
      <c r="A2080" s="36">
        <v>2078</v>
      </c>
      <c r="B2080" s="37">
        <v>1729844213</v>
      </c>
      <c r="C2080" s="38">
        <v>0.80552148344252328</v>
      </c>
      <c r="D2080" s="14" t="s">
        <v>2121</v>
      </c>
      <c r="E2080" s="14" t="s">
        <v>43</v>
      </c>
    </row>
    <row r="2081" spans="1:5" x14ac:dyDescent="0.25">
      <c r="A2081" s="36">
        <v>2079</v>
      </c>
      <c r="B2081" s="37">
        <v>256330331</v>
      </c>
      <c r="C2081" s="38">
        <v>0.11936311196506168</v>
      </c>
      <c r="D2081" s="14" t="s">
        <v>2122</v>
      </c>
      <c r="E2081" s="14" t="s">
        <v>46</v>
      </c>
    </row>
    <row r="2082" spans="1:5" x14ac:dyDescent="0.25">
      <c r="A2082" s="36">
        <v>2080</v>
      </c>
      <c r="B2082" s="37">
        <v>764675097</v>
      </c>
      <c r="C2082" s="38">
        <v>0.35607959020700286</v>
      </c>
      <c r="D2082" s="14" t="s">
        <v>2123</v>
      </c>
      <c r="E2082" s="14" t="s">
        <v>48</v>
      </c>
    </row>
    <row r="2083" spans="1:5" x14ac:dyDescent="0.25">
      <c r="A2083" s="36">
        <v>2081</v>
      </c>
      <c r="B2083" s="37">
        <v>1829710307</v>
      </c>
      <c r="C2083" s="38">
        <v>0.85202525735461399</v>
      </c>
      <c r="D2083" s="14" t="s">
        <v>2124</v>
      </c>
      <c r="E2083" s="14" t="s">
        <v>37</v>
      </c>
    </row>
    <row r="2084" spans="1:5" x14ac:dyDescent="0.25">
      <c r="A2084" s="36">
        <v>2082</v>
      </c>
      <c r="B2084" s="37">
        <v>1747265999</v>
      </c>
      <c r="C2084" s="38">
        <v>0.81363413474226098</v>
      </c>
      <c r="D2084" s="14" t="s">
        <v>2125</v>
      </c>
      <c r="E2084" s="14" t="s">
        <v>40</v>
      </c>
    </row>
    <row r="2085" spans="1:5" x14ac:dyDescent="0.25">
      <c r="A2085" s="36">
        <v>2083</v>
      </c>
      <c r="B2085" s="37">
        <v>1782986540</v>
      </c>
      <c r="C2085" s="38">
        <v>0.83026780785539556</v>
      </c>
      <c r="D2085" s="14" t="s">
        <v>2126</v>
      </c>
      <c r="E2085" s="14" t="s">
        <v>43</v>
      </c>
    </row>
    <row r="2086" spans="1:5" x14ac:dyDescent="0.25">
      <c r="A2086" s="36">
        <v>2084</v>
      </c>
      <c r="B2086" s="37">
        <v>2136760076</v>
      </c>
      <c r="C2086" s="38">
        <v>0.99500644812127881</v>
      </c>
      <c r="D2086" s="14" t="s">
        <v>2127</v>
      </c>
      <c r="E2086" s="14" t="s">
        <v>46</v>
      </c>
    </row>
    <row r="2087" spans="1:5" x14ac:dyDescent="0.25">
      <c r="A2087" s="36">
        <v>2085</v>
      </c>
      <c r="B2087" s="37">
        <v>1245959312</v>
      </c>
      <c r="C2087" s="38">
        <v>0.58019501742915947</v>
      </c>
      <c r="D2087" s="14" t="s">
        <v>2128</v>
      </c>
      <c r="E2087" s="14" t="s">
        <v>48</v>
      </c>
    </row>
    <row r="2088" spans="1:5" x14ac:dyDescent="0.25">
      <c r="A2088" s="36">
        <v>2086</v>
      </c>
      <c r="B2088" s="37">
        <v>1253104420</v>
      </c>
      <c r="C2088" s="38">
        <v>0.58352221761994172</v>
      </c>
      <c r="D2088" s="14" t="s">
        <v>2129</v>
      </c>
      <c r="E2088" s="14" t="s">
        <v>37</v>
      </c>
    </row>
    <row r="2089" spans="1:5" x14ac:dyDescent="0.25">
      <c r="A2089" s="36">
        <v>2087</v>
      </c>
      <c r="B2089" s="37">
        <v>1699561034</v>
      </c>
      <c r="C2089" s="38">
        <v>0.79141977931904595</v>
      </c>
      <c r="D2089" s="14" t="s">
        <v>2130</v>
      </c>
      <c r="E2089" s="14" t="s">
        <v>40</v>
      </c>
    </row>
    <row r="2090" spans="1:5" x14ac:dyDescent="0.25">
      <c r="A2090" s="36">
        <v>2088</v>
      </c>
      <c r="B2090" s="37">
        <v>1031451387</v>
      </c>
      <c r="C2090" s="38">
        <v>0.48030698088943352</v>
      </c>
      <c r="D2090" s="14" t="s">
        <v>2131</v>
      </c>
      <c r="E2090" s="14" t="s">
        <v>43</v>
      </c>
    </row>
    <row r="2091" spans="1:5" x14ac:dyDescent="0.25">
      <c r="A2091" s="36">
        <v>2089</v>
      </c>
      <c r="B2091" s="37">
        <v>965295897</v>
      </c>
      <c r="C2091" s="38">
        <v>0.44950093023921406</v>
      </c>
      <c r="D2091" s="14" t="s">
        <v>2132</v>
      </c>
      <c r="E2091" s="14" t="s">
        <v>46</v>
      </c>
    </row>
    <row r="2092" spans="1:5" x14ac:dyDescent="0.25">
      <c r="A2092" s="36">
        <v>2090</v>
      </c>
      <c r="B2092" s="37">
        <v>17270866</v>
      </c>
      <c r="C2092" s="38">
        <v>8.0423736982244871E-3</v>
      </c>
      <c r="D2092" s="14" t="s">
        <v>2133</v>
      </c>
      <c r="E2092" s="14" t="s">
        <v>48</v>
      </c>
    </row>
    <row r="2093" spans="1:5" x14ac:dyDescent="0.25">
      <c r="A2093" s="36">
        <v>2091</v>
      </c>
      <c r="B2093" s="37">
        <v>438550484</v>
      </c>
      <c r="C2093" s="38">
        <v>0.2042159830239676</v>
      </c>
      <c r="D2093" s="14" t="s">
        <v>2134</v>
      </c>
      <c r="E2093" s="14" t="s">
        <v>37</v>
      </c>
    </row>
    <row r="2094" spans="1:5" x14ac:dyDescent="0.25">
      <c r="A2094" s="36">
        <v>2092</v>
      </c>
      <c r="B2094" s="37">
        <v>174545142</v>
      </c>
      <c r="C2094" s="38">
        <v>8.1278915554880593E-2</v>
      </c>
      <c r="D2094" s="14" t="s">
        <v>2135</v>
      </c>
      <c r="E2094" s="14" t="s">
        <v>40</v>
      </c>
    </row>
    <row r="2095" spans="1:5" x14ac:dyDescent="0.25">
      <c r="A2095" s="36">
        <v>2093</v>
      </c>
      <c r="B2095" s="37">
        <v>556305496</v>
      </c>
      <c r="C2095" s="38">
        <v>0.2590499335243599</v>
      </c>
      <c r="D2095" s="14" t="s">
        <v>2136</v>
      </c>
      <c r="E2095" s="14" t="s">
        <v>43</v>
      </c>
    </row>
    <row r="2096" spans="1:5" x14ac:dyDescent="0.25">
      <c r="A2096" s="36">
        <v>2094</v>
      </c>
      <c r="B2096" s="37">
        <v>1208465458</v>
      </c>
      <c r="C2096" s="38">
        <v>0.56273558110126087</v>
      </c>
      <c r="D2096" s="14" t="s">
        <v>2137</v>
      </c>
      <c r="E2096" s="14" t="s">
        <v>46</v>
      </c>
    </row>
    <row r="2097" spans="1:5" x14ac:dyDescent="0.25">
      <c r="A2097" s="36">
        <v>2095</v>
      </c>
      <c r="B2097" s="37">
        <v>1965524184</v>
      </c>
      <c r="C2097" s="38">
        <v>0.91526852218213883</v>
      </c>
      <c r="D2097" s="14" t="s">
        <v>2138</v>
      </c>
      <c r="E2097" s="14" t="s">
        <v>48</v>
      </c>
    </row>
    <row r="2098" spans="1:5" x14ac:dyDescent="0.25">
      <c r="A2098" s="36">
        <v>2096</v>
      </c>
      <c r="B2098" s="37">
        <v>1737359734</v>
      </c>
      <c r="C2098" s="38">
        <v>0.80902117062780132</v>
      </c>
      <c r="D2098" s="14" t="s">
        <v>2139</v>
      </c>
      <c r="E2098" s="14" t="s">
        <v>37</v>
      </c>
    </row>
    <row r="2099" spans="1:5" x14ac:dyDescent="0.25">
      <c r="A2099" s="36">
        <v>2097</v>
      </c>
      <c r="B2099" s="37">
        <v>936679081</v>
      </c>
      <c r="C2099" s="38">
        <v>0.43617518685580009</v>
      </c>
      <c r="D2099" s="14" t="s">
        <v>2140</v>
      </c>
      <c r="E2099" s="14" t="s">
        <v>40</v>
      </c>
    </row>
    <row r="2100" spans="1:5" x14ac:dyDescent="0.25">
      <c r="A2100" s="36">
        <v>2098</v>
      </c>
      <c r="B2100" s="37">
        <v>2093876220</v>
      </c>
      <c r="C2100" s="38">
        <v>0.97503709652230008</v>
      </c>
      <c r="D2100" s="14" t="s">
        <v>2141</v>
      </c>
      <c r="E2100" s="14" t="s">
        <v>43</v>
      </c>
    </row>
    <row r="2101" spans="1:5" x14ac:dyDescent="0.25">
      <c r="A2101" s="36">
        <v>2099</v>
      </c>
      <c r="B2101" s="37">
        <v>204493545</v>
      </c>
      <c r="C2101" s="38">
        <v>9.5224727455165581E-2</v>
      </c>
      <c r="D2101" s="14" t="s">
        <v>2142</v>
      </c>
      <c r="E2101" s="14" t="s">
        <v>46</v>
      </c>
    </row>
    <row r="2102" spans="1:5" x14ac:dyDescent="0.25">
      <c r="A2102" s="36">
        <v>2100</v>
      </c>
      <c r="B2102" s="37">
        <v>883911260</v>
      </c>
      <c r="C2102" s="38">
        <v>0.4116032553890735</v>
      </c>
      <c r="D2102" s="14" t="s">
        <v>2143</v>
      </c>
      <c r="E2102" s="14" t="s">
        <v>48</v>
      </c>
    </row>
    <row r="2103" spans="1:5" x14ac:dyDescent="0.25">
      <c r="A2103" s="36">
        <v>2101</v>
      </c>
      <c r="B2103" s="37">
        <v>817788495</v>
      </c>
      <c r="C2103" s="38">
        <v>0.38081244350448828</v>
      </c>
      <c r="D2103" s="14" t="s">
        <v>2144</v>
      </c>
      <c r="E2103" s="14" t="s">
        <v>37</v>
      </c>
    </row>
    <row r="2104" spans="1:5" x14ac:dyDescent="0.25">
      <c r="A2104" s="36">
        <v>2102</v>
      </c>
      <c r="B2104" s="37">
        <v>654252914</v>
      </c>
      <c r="C2104" s="38">
        <v>0.30466025429994809</v>
      </c>
      <c r="D2104" s="14" t="s">
        <v>2145</v>
      </c>
      <c r="E2104" s="14" t="s">
        <v>40</v>
      </c>
    </row>
    <row r="2105" spans="1:5" x14ac:dyDescent="0.25">
      <c r="A2105" s="36">
        <v>2103</v>
      </c>
      <c r="B2105" s="37">
        <v>175931668</v>
      </c>
      <c r="C2105" s="38">
        <v>8.1924567037226892E-2</v>
      </c>
      <c r="D2105" s="14" t="s">
        <v>2146</v>
      </c>
      <c r="E2105" s="14" t="s">
        <v>43</v>
      </c>
    </row>
    <row r="2106" spans="1:5" x14ac:dyDescent="0.25">
      <c r="A2106" s="36">
        <v>2104</v>
      </c>
      <c r="B2106" s="37">
        <v>2066058768</v>
      </c>
      <c r="C2106" s="38">
        <v>0.96208358600832689</v>
      </c>
      <c r="D2106" s="14" t="s">
        <v>2147</v>
      </c>
      <c r="E2106" s="14" t="s">
        <v>46</v>
      </c>
    </row>
    <row r="2107" spans="1:5" x14ac:dyDescent="0.25">
      <c r="A2107" s="36">
        <v>2105</v>
      </c>
      <c r="B2107" s="37">
        <v>1402599859</v>
      </c>
      <c r="C2107" s="38">
        <v>0.65313645622373395</v>
      </c>
      <c r="D2107" s="14" t="s">
        <v>2148</v>
      </c>
      <c r="E2107" s="14" t="s">
        <v>48</v>
      </c>
    </row>
    <row r="2108" spans="1:5" x14ac:dyDescent="0.25">
      <c r="A2108" s="36">
        <v>2106</v>
      </c>
      <c r="B2108" s="37">
        <v>927566384</v>
      </c>
      <c r="C2108" s="38">
        <v>0.43193175663795869</v>
      </c>
      <c r="D2108" s="14" t="s">
        <v>2149</v>
      </c>
      <c r="E2108" s="14" t="s">
        <v>37</v>
      </c>
    </row>
    <row r="2109" spans="1:5" x14ac:dyDescent="0.25">
      <c r="A2109" s="36">
        <v>2107</v>
      </c>
      <c r="B2109" s="37">
        <v>1458901056</v>
      </c>
      <c r="C2109" s="38">
        <v>0.67935374410792893</v>
      </c>
      <c r="D2109" s="14" t="s">
        <v>2150</v>
      </c>
      <c r="E2109" s="14" t="s">
        <v>40</v>
      </c>
    </row>
    <row r="2110" spans="1:5" x14ac:dyDescent="0.25">
      <c r="A2110" s="36">
        <v>2108</v>
      </c>
      <c r="B2110" s="37">
        <v>1638631376</v>
      </c>
      <c r="C2110" s="38">
        <v>0.76304719632633367</v>
      </c>
      <c r="D2110" s="14" t="s">
        <v>2151</v>
      </c>
      <c r="E2110" s="14" t="s">
        <v>43</v>
      </c>
    </row>
    <row r="2111" spans="1:5" x14ac:dyDescent="0.25">
      <c r="A2111" s="36">
        <v>2109</v>
      </c>
      <c r="B2111" s="37">
        <v>1302665806</v>
      </c>
      <c r="C2111" s="38">
        <v>0.60660103643620433</v>
      </c>
      <c r="D2111" s="14" t="s">
        <v>2152</v>
      </c>
      <c r="E2111" s="14" t="s">
        <v>46</v>
      </c>
    </row>
    <row r="2112" spans="1:5" x14ac:dyDescent="0.25">
      <c r="A2112" s="36">
        <v>2110</v>
      </c>
      <c r="B2112" s="37">
        <v>133809532</v>
      </c>
      <c r="C2112" s="38">
        <v>6.2309918954181448E-2</v>
      </c>
      <c r="D2112" s="14" t="s">
        <v>2153</v>
      </c>
      <c r="E2112" s="14" t="s">
        <v>48</v>
      </c>
    </row>
    <row r="2113" spans="1:5" x14ac:dyDescent="0.25">
      <c r="A2113" s="36">
        <v>2111</v>
      </c>
      <c r="B2113" s="37">
        <v>1911224271</v>
      </c>
      <c r="C2113" s="38">
        <v>0.88998315478208623</v>
      </c>
      <c r="D2113" s="14" t="s">
        <v>2154</v>
      </c>
      <c r="E2113" s="14" t="s">
        <v>37</v>
      </c>
    </row>
    <row r="2114" spans="1:5" x14ac:dyDescent="0.25">
      <c r="A2114" s="36">
        <v>2112</v>
      </c>
      <c r="B2114" s="37">
        <v>1466408345</v>
      </c>
      <c r="C2114" s="38">
        <v>0.68284959796948808</v>
      </c>
      <c r="D2114" s="14" t="s">
        <v>2155</v>
      </c>
      <c r="E2114" s="14" t="s">
        <v>40</v>
      </c>
    </row>
    <row r="2115" spans="1:5" x14ac:dyDescent="0.25">
      <c r="A2115" s="36">
        <v>2113</v>
      </c>
      <c r="B2115" s="37">
        <v>1501512208</v>
      </c>
      <c r="C2115" s="38">
        <v>0.6991961080111545</v>
      </c>
      <c r="D2115" s="14" t="s">
        <v>2156</v>
      </c>
      <c r="E2115" s="14" t="s">
        <v>43</v>
      </c>
    </row>
    <row r="2116" spans="1:5" x14ac:dyDescent="0.25">
      <c r="A2116" s="36">
        <v>2114</v>
      </c>
      <c r="B2116" s="37">
        <v>1876521060</v>
      </c>
      <c r="C2116" s="38">
        <v>0.87382321286658904</v>
      </c>
      <c r="D2116" s="14" t="s">
        <v>2157</v>
      </c>
      <c r="E2116" s="14" t="s">
        <v>46</v>
      </c>
    </row>
    <row r="2117" spans="1:5" x14ac:dyDescent="0.25">
      <c r="A2117" s="36">
        <v>2115</v>
      </c>
      <c r="B2117" s="37">
        <v>119255576</v>
      </c>
      <c r="C2117" s="38">
        <v>5.5532705064645367E-2</v>
      </c>
      <c r="D2117" s="14" t="s">
        <v>2158</v>
      </c>
      <c r="E2117" s="14" t="s">
        <v>48</v>
      </c>
    </row>
    <row r="2118" spans="1:5" x14ac:dyDescent="0.25">
      <c r="A2118" s="36">
        <v>2116</v>
      </c>
      <c r="B2118" s="37">
        <v>103151531</v>
      </c>
      <c r="C2118" s="38">
        <v>4.8033674735591593E-2</v>
      </c>
      <c r="D2118" s="14" t="s">
        <v>2159</v>
      </c>
      <c r="E2118" s="14" t="s">
        <v>37</v>
      </c>
    </row>
    <row r="2119" spans="1:5" x14ac:dyDescent="0.25">
      <c r="A2119" s="36">
        <v>2117</v>
      </c>
      <c r="B2119" s="37">
        <v>1556013407</v>
      </c>
      <c r="C2119" s="38">
        <v>0.72457520650912788</v>
      </c>
      <c r="D2119" s="14" t="s">
        <v>2160</v>
      </c>
      <c r="E2119" s="14" t="s">
        <v>40</v>
      </c>
    </row>
    <row r="2120" spans="1:5" x14ac:dyDescent="0.25">
      <c r="A2120" s="36">
        <v>2118</v>
      </c>
      <c r="B2120" s="37">
        <v>38119020</v>
      </c>
      <c r="C2120" s="38">
        <v>1.7750551932375205E-2</v>
      </c>
      <c r="D2120" s="14" t="s">
        <v>2161</v>
      </c>
      <c r="E2120" s="14" t="s">
        <v>43</v>
      </c>
    </row>
    <row r="2121" spans="1:5" x14ac:dyDescent="0.25">
      <c r="A2121" s="36">
        <v>2119</v>
      </c>
      <c r="B2121" s="37">
        <v>1523835461</v>
      </c>
      <c r="C2121" s="38">
        <v>0.70959118274487143</v>
      </c>
      <c r="D2121" s="14" t="s">
        <v>2162</v>
      </c>
      <c r="E2121" s="14" t="s">
        <v>46</v>
      </c>
    </row>
    <row r="2122" spans="1:5" x14ac:dyDescent="0.25">
      <c r="A2122" s="36">
        <v>2120</v>
      </c>
      <c r="B2122" s="37">
        <v>1579676844</v>
      </c>
      <c r="C2122" s="38">
        <v>0.73559435304980458</v>
      </c>
      <c r="D2122" s="14" t="s">
        <v>2163</v>
      </c>
      <c r="E2122" s="14" t="s">
        <v>48</v>
      </c>
    </row>
    <row r="2123" spans="1:5" x14ac:dyDescent="0.25">
      <c r="A2123" s="36">
        <v>2121</v>
      </c>
      <c r="B2123" s="37">
        <v>1423021818</v>
      </c>
      <c r="C2123" s="38">
        <v>0.66264617194544806</v>
      </c>
      <c r="D2123" s="14" t="s">
        <v>2164</v>
      </c>
      <c r="E2123" s="14" t="s">
        <v>37</v>
      </c>
    </row>
    <row r="2124" spans="1:5" x14ac:dyDescent="0.25">
      <c r="A2124" s="36">
        <v>2122</v>
      </c>
      <c r="B2124" s="37">
        <v>1270222496</v>
      </c>
      <c r="C2124" s="38">
        <v>0.59149344293004524</v>
      </c>
      <c r="D2124" s="14" t="s">
        <v>2165</v>
      </c>
      <c r="E2124" s="14" t="s">
        <v>40</v>
      </c>
    </row>
    <row r="2125" spans="1:5" x14ac:dyDescent="0.25">
      <c r="A2125" s="36">
        <v>2123</v>
      </c>
      <c r="B2125" s="37">
        <v>204502891</v>
      </c>
      <c r="C2125" s="38">
        <v>9.5229079525558785E-2</v>
      </c>
      <c r="D2125" s="14" t="s">
        <v>2166</v>
      </c>
      <c r="E2125" s="14" t="s">
        <v>43</v>
      </c>
    </row>
    <row r="2126" spans="1:5" x14ac:dyDescent="0.25">
      <c r="A2126" s="36">
        <v>2124</v>
      </c>
      <c r="B2126" s="37">
        <v>1408176381</v>
      </c>
      <c r="C2126" s="38">
        <v>0.65573322663816302</v>
      </c>
      <c r="D2126" s="14" t="s">
        <v>2167</v>
      </c>
      <c r="E2126" s="14" t="s">
        <v>46</v>
      </c>
    </row>
    <row r="2127" spans="1:5" x14ac:dyDescent="0.25">
      <c r="A2127" s="36">
        <v>2125</v>
      </c>
      <c r="B2127" s="37">
        <v>1763526100</v>
      </c>
      <c r="C2127" s="38">
        <v>0.82120583430920069</v>
      </c>
      <c r="D2127" s="14" t="s">
        <v>2168</v>
      </c>
      <c r="E2127" s="14" t="s">
        <v>48</v>
      </c>
    </row>
    <row r="2128" spans="1:5" x14ac:dyDescent="0.25">
      <c r="A2128" s="36">
        <v>2126</v>
      </c>
      <c r="B2128" s="37">
        <v>243716777</v>
      </c>
      <c r="C2128" s="38">
        <v>0.11348946816916088</v>
      </c>
      <c r="D2128" s="14" t="s">
        <v>2169</v>
      </c>
      <c r="E2128" s="14" t="s">
        <v>37</v>
      </c>
    </row>
    <row r="2129" spans="1:5" x14ac:dyDescent="0.25">
      <c r="A2129" s="36">
        <v>2127</v>
      </c>
      <c r="B2129" s="37">
        <v>1136319966</v>
      </c>
      <c r="C2129" s="38">
        <v>0.52914021840744663</v>
      </c>
      <c r="D2129" s="14" t="s">
        <v>2170</v>
      </c>
      <c r="E2129" s="14" t="s">
        <v>40</v>
      </c>
    </row>
    <row r="2130" spans="1:5" x14ac:dyDescent="0.25">
      <c r="A2130" s="36">
        <v>2128</v>
      </c>
      <c r="B2130" s="37">
        <v>1275993124</v>
      </c>
      <c r="C2130" s="38">
        <v>0.59418060099435066</v>
      </c>
      <c r="D2130" s="14" t="s">
        <v>2171</v>
      </c>
      <c r="E2130" s="14" t="s">
        <v>43</v>
      </c>
    </row>
    <row r="2131" spans="1:5" x14ac:dyDescent="0.25">
      <c r="A2131" s="36">
        <v>2129</v>
      </c>
      <c r="B2131" s="37">
        <v>2012205207</v>
      </c>
      <c r="C2131" s="38">
        <v>0.93700606745528336</v>
      </c>
      <c r="D2131" s="14" t="s">
        <v>2172</v>
      </c>
      <c r="E2131" s="14" t="s">
        <v>46</v>
      </c>
    </row>
    <row r="2132" spans="1:5" x14ac:dyDescent="0.25">
      <c r="A2132" s="36">
        <v>2130</v>
      </c>
      <c r="B2132" s="37">
        <v>1066369408</v>
      </c>
      <c r="C2132" s="38">
        <v>0.49656695150610386</v>
      </c>
      <c r="D2132" s="14" t="s">
        <v>2173</v>
      </c>
      <c r="E2132" s="14" t="s">
        <v>48</v>
      </c>
    </row>
    <row r="2133" spans="1:5" x14ac:dyDescent="0.25">
      <c r="A2133" s="36">
        <v>2131</v>
      </c>
      <c r="B2133" s="37">
        <v>1239294867</v>
      </c>
      <c r="C2133" s="38">
        <v>0.57709164338982277</v>
      </c>
      <c r="D2133" s="14" t="s">
        <v>2174</v>
      </c>
      <c r="E2133" s="14" t="s">
        <v>37</v>
      </c>
    </row>
    <row r="2134" spans="1:5" x14ac:dyDescent="0.25">
      <c r="A2134" s="36">
        <v>2132</v>
      </c>
      <c r="B2134" s="37">
        <v>2018311197</v>
      </c>
      <c r="C2134" s="38">
        <v>0.9398493906202956</v>
      </c>
      <c r="D2134" s="14" t="s">
        <v>2175</v>
      </c>
      <c r="E2134" s="14" t="s">
        <v>40</v>
      </c>
    </row>
    <row r="2135" spans="1:5" x14ac:dyDescent="0.25">
      <c r="A2135" s="36">
        <v>2133</v>
      </c>
      <c r="B2135" s="37">
        <v>599272907</v>
      </c>
      <c r="C2135" s="38">
        <v>0.27905819345221772</v>
      </c>
      <c r="D2135" s="14" t="s">
        <v>2176</v>
      </c>
      <c r="E2135" s="14" t="s">
        <v>43</v>
      </c>
    </row>
    <row r="2136" spans="1:5" x14ac:dyDescent="0.25">
      <c r="A2136" s="36">
        <v>2134</v>
      </c>
      <c r="B2136" s="37">
        <v>1742880545</v>
      </c>
      <c r="C2136" s="38">
        <v>0.8115919985862412</v>
      </c>
      <c r="D2136" s="14" t="s">
        <v>2177</v>
      </c>
      <c r="E2136" s="14" t="s">
        <v>46</v>
      </c>
    </row>
    <row r="2137" spans="1:5" x14ac:dyDescent="0.25">
      <c r="A2137" s="36">
        <v>2135</v>
      </c>
      <c r="B2137" s="37">
        <v>1382083343</v>
      </c>
      <c r="C2137" s="38">
        <v>0.64358270896765535</v>
      </c>
      <c r="D2137" s="14" t="s">
        <v>2178</v>
      </c>
      <c r="E2137" s="14" t="s">
        <v>48</v>
      </c>
    </row>
    <row r="2138" spans="1:5" x14ac:dyDescent="0.25">
      <c r="A2138" s="36">
        <v>2136</v>
      </c>
      <c r="B2138" s="37">
        <v>2106209725</v>
      </c>
      <c r="C2138" s="38">
        <v>0.98078033234029094</v>
      </c>
      <c r="D2138" s="14" t="s">
        <v>2179</v>
      </c>
      <c r="E2138" s="14" t="s">
        <v>37</v>
      </c>
    </row>
    <row r="2139" spans="1:5" x14ac:dyDescent="0.25">
      <c r="A2139" s="36">
        <v>2137</v>
      </c>
      <c r="B2139" s="37">
        <v>1835721997</v>
      </c>
      <c r="C2139" s="38">
        <v>0.85482466866021267</v>
      </c>
      <c r="D2139" s="14" t="s">
        <v>2180</v>
      </c>
      <c r="E2139" s="14" t="s">
        <v>40</v>
      </c>
    </row>
    <row r="2140" spans="1:5" x14ac:dyDescent="0.25">
      <c r="A2140" s="36">
        <v>2138</v>
      </c>
      <c r="B2140" s="37">
        <v>1081768229</v>
      </c>
      <c r="C2140" s="38">
        <v>0.50373758631932442</v>
      </c>
      <c r="D2140" s="14" t="s">
        <v>2181</v>
      </c>
      <c r="E2140" s="14" t="s">
        <v>43</v>
      </c>
    </row>
    <row r="2141" spans="1:5" x14ac:dyDescent="0.25">
      <c r="A2141" s="36">
        <v>2139</v>
      </c>
      <c r="B2141" s="37">
        <v>597009300</v>
      </c>
      <c r="C2141" s="38">
        <v>0.27800411930214808</v>
      </c>
      <c r="D2141" s="14" t="s">
        <v>2182</v>
      </c>
      <c r="E2141" s="14" t="s">
        <v>46</v>
      </c>
    </row>
    <row r="2142" spans="1:5" x14ac:dyDescent="0.25">
      <c r="A2142" s="36">
        <v>2140</v>
      </c>
      <c r="B2142" s="37">
        <v>598755708</v>
      </c>
      <c r="C2142" s="38">
        <v>0.27881735389997125</v>
      </c>
      <c r="D2142" s="14" t="s">
        <v>2183</v>
      </c>
      <c r="E2142" s="14" t="s">
        <v>48</v>
      </c>
    </row>
    <row r="2143" spans="1:5" x14ac:dyDescent="0.25">
      <c r="A2143" s="36">
        <v>2141</v>
      </c>
      <c r="B2143" s="37">
        <v>1993157517</v>
      </c>
      <c r="C2143" s="38">
        <v>0.92813629560551436</v>
      </c>
      <c r="D2143" s="14" t="s">
        <v>2184</v>
      </c>
      <c r="E2143" s="14" t="s">
        <v>37</v>
      </c>
    </row>
    <row r="2144" spans="1:5" x14ac:dyDescent="0.25">
      <c r="A2144" s="36">
        <v>2142</v>
      </c>
      <c r="B2144" s="37">
        <v>1158736466</v>
      </c>
      <c r="C2144" s="38">
        <v>0.53957871465924134</v>
      </c>
      <c r="D2144" s="14" t="s">
        <v>2185</v>
      </c>
      <c r="E2144" s="14" t="s">
        <v>40</v>
      </c>
    </row>
    <row r="2145" spans="1:5" x14ac:dyDescent="0.25">
      <c r="A2145" s="36">
        <v>2143</v>
      </c>
      <c r="B2145" s="37">
        <v>1572288999</v>
      </c>
      <c r="C2145" s="38">
        <v>0.7321541196350726</v>
      </c>
      <c r="D2145" s="14" t="s">
        <v>2186</v>
      </c>
      <c r="E2145" s="14" t="s">
        <v>43</v>
      </c>
    </row>
    <row r="2146" spans="1:5" x14ac:dyDescent="0.25">
      <c r="A2146" s="36">
        <v>2144</v>
      </c>
      <c r="B2146" s="37">
        <v>661685915</v>
      </c>
      <c r="C2146" s="38">
        <v>0.30812151511577962</v>
      </c>
      <c r="D2146" s="14" t="s">
        <v>2187</v>
      </c>
      <c r="E2146" s="14" t="s">
        <v>46</v>
      </c>
    </row>
    <row r="2147" spans="1:5" x14ac:dyDescent="0.25">
      <c r="A2147" s="36">
        <v>2145</v>
      </c>
      <c r="B2147" s="37">
        <v>938630826</v>
      </c>
      <c r="C2147" s="38">
        <v>0.43708403894541975</v>
      </c>
      <c r="D2147" s="14" t="s">
        <v>2188</v>
      </c>
      <c r="E2147" s="14" t="s">
        <v>48</v>
      </c>
    </row>
    <row r="2148" spans="1:5" x14ac:dyDescent="0.25">
      <c r="A2148" s="36">
        <v>2146</v>
      </c>
      <c r="B2148" s="37">
        <v>1679464434</v>
      </c>
      <c r="C2148" s="38">
        <v>0.7820615706881795</v>
      </c>
      <c r="D2148" s="14" t="s">
        <v>2189</v>
      </c>
      <c r="E2148" s="14" t="s">
        <v>37</v>
      </c>
    </row>
    <row r="2149" spans="1:5" x14ac:dyDescent="0.25">
      <c r="A2149" s="36">
        <v>2147</v>
      </c>
      <c r="B2149" s="37">
        <v>1091105706</v>
      </c>
      <c r="C2149" s="38">
        <v>0.50808568788137554</v>
      </c>
      <c r="D2149" s="14" t="s">
        <v>2190</v>
      </c>
      <c r="E2149" s="14" t="s">
        <v>40</v>
      </c>
    </row>
    <row r="2150" spans="1:5" x14ac:dyDescent="0.25">
      <c r="A2150" s="36">
        <v>2148</v>
      </c>
      <c r="B2150" s="37">
        <v>1721759386</v>
      </c>
      <c r="C2150" s="38">
        <v>0.80175669249228976</v>
      </c>
      <c r="D2150" s="14" t="s">
        <v>2191</v>
      </c>
      <c r="E2150" s="14" t="s">
        <v>43</v>
      </c>
    </row>
    <row r="2151" spans="1:5" x14ac:dyDescent="0.25">
      <c r="A2151" s="36">
        <v>2149</v>
      </c>
      <c r="B2151" s="37">
        <v>1139683905</v>
      </c>
      <c r="C2151" s="38">
        <v>0.53070667457334075</v>
      </c>
      <c r="D2151" s="14" t="s">
        <v>2192</v>
      </c>
      <c r="E2151" s="14" t="s">
        <v>46</v>
      </c>
    </row>
    <row r="2152" spans="1:5" x14ac:dyDescent="0.25">
      <c r="A2152" s="36">
        <v>2150</v>
      </c>
      <c r="B2152" s="37">
        <v>2146689370</v>
      </c>
      <c r="C2152" s="38">
        <v>0.99963013594952888</v>
      </c>
      <c r="D2152" s="14" t="s">
        <v>2193</v>
      </c>
      <c r="E2152" s="14" t="s">
        <v>48</v>
      </c>
    </row>
    <row r="2153" spans="1:5" x14ac:dyDescent="0.25">
      <c r="A2153" s="36">
        <v>2151</v>
      </c>
      <c r="B2153" s="37">
        <v>1769907350</v>
      </c>
      <c r="C2153" s="38">
        <v>0.82417733540021687</v>
      </c>
      <c r="D2153" s="14" t="s">
        <v>2194</v>
      </c>
      <c r="E2153" s="14" t="s">
        <v>37</v>
      </c>
    </row>
    <row r="2154" spans="1:5" x14ac:dyDescent="0.25">
      <c r="A2154" s="36">
        <v>2152</v>
      </c>
      <c r="B2154" s="37">
        <v>539754965</v>
      </c>
      <c r="C2154" s="38">
        <v>0.25134299194968446</v>
      </c>
      <c r="D2154" s="14" t="s">
        <v>2195</v>
      </c>
      <c r="E2154" s="14" t="s">
        <v>40</v>
      </c>
    </row>
    <row r="2155" spans="1:5" x14ac:dyDescent="0.25">
      <c r="A2155" s="36">
        <v>2153</v>
      </c>
      <c r="B2155" s="37">
        <v>356076399</v>
      </c>
      <c r="C2155" s="38">
        <v>0.16581099441545596</v>
      </c>
      <c r="D2155" s="14" t="s">
        <v>2196</v>
      </c>
      <c r="E2155" s="14" t="s">
        <v>43</v>
      </c>
    </row>
    <row r="2156" spans="1:5" x14ac:dyDescent="0.25">
      <c r="A2156" s="36">
        <v>2154</v>
      </c>
      <c r="B2156" s="37">
        <v>37828639</v>
      </c>
      <c r="C2156" s="38">
        <v>1.7615332742042529E-2</v>
      </c>
      <c r="D2156" s="14" t="s">
        <v>2197</v>
      </c>
      <c r="E2156" s="14" t="s">
        <v>46</v>
      </c>
    </row>
    <row r="2157" spans="1:5" x14ac:dyDescent="0.25">
      <c r="A2157" s="36">
        <v>2155</v>
      </c>
      <c r="B2157" s="37">
        <v>1361222011</v>
      </c>
      <c r="C2157" s="38">
        <v>0.63386839424905761</v>
      </c>
      <c r="D2157" s="14" t="s">
        <v>2198</v>
      </c>
      <c r="E2157" s="14" t="s">
        <v>48</v>
      </c>
    </row>
    <row r="2158" spans="1:5" x14ac:dyDescent="0.25">
      <c r="A2158" s="36">
        <v>2156</v>
      </c>
      <c r="B2158" s="37">
        <v>560650768</v>
      </c>
      <c r="C2158" s="38">
        <v>0.26107335847852442</v>
      </c>
      <c r="D2158" s="14" t="s">
        <v>2199</v>
      </c>
      <c r="E2158" s="14" t="s">
        <v>37</v>
      </c>
    </row>
    <row r="2159" spans="1:5" x14ac:dyDescent="0.25">
      <c r="A2159" s="36">
        <v>2157</v>
      </c>
      <c r="B2159" s="37">
        <v>1297418162</v>
      </c>
      <c r="C2159" s="38">
        <v>0.60415741177469373</v>
      </c>
      <c r="D2159" s="14" t="s">
        <v>2200</v>
      </c>
      <c r="E2159" s="14" t="s">
        <v>40</v>
      </c>
    </row>
    <row r="2160" spans="1:5" x14ac:dyDescent="0.25">
      <c r="A2160" s="36">
        <v>2158</v>
      </c>
      <c r="B2160" s="37">
        <v>1262656428</v>
      </c>
      <c r="C2160" s="38">
        <v>0.58797021796366677</v>
      </c>
      <c r="D2160" s="14" t="s">
        <v>2201</v>
      </c>
      <c r="E2160" s="14" t="s">
        <v>43</v>
      </c>
    </row>
    <row r="2161" spans="1:5" x14ac:dyDescent="0.25">
      <c r="A2161" s="36">
        <v>2159</v>
      </c>
      <c r="B2161" s="37">
        <v>1286754846</v>
      </c>
      <c r="C2161" s="38">
        <v>0.59919191831685226</v>
      </c>
      <c r="D2161" s="14" t="s">
        <v>2202</v>
      </c>
      <c r="E2161" s="14" t="s">
        <v>46</v>
      </c>
    </row>
    <row r="2162" spans="1:5" x14ac:dyDescent="0.25">
      <c r="A2162" s="36">
        <v>2160</v>
      </c>
      <c r="B2162" s="37">
        <v>858933983</v>
      </c>
      <c r="C2162" s="38">
        <v>0.39997230442239545</v>
      </c>
      <c r="D2162" s="14" t="s">
        <v>2203</v>
      </c>
      <c r="E2162" s="14" t="s">
        <v>48</v>
      </c>
    </row>
    <row r="2163" spans="1:5" x14ac:dyDescent="0.25">
      <c r="A2163" s="36">
        <v>2161</v>
      </c>
      <c r="B2163" s="37">
        <v>799195990</v>
      </c>
      <c r="C2163" s="38">
        <v>0.3721546336878811</v>
      </c>
      <c r="D2163" s="14" t="s">
        <v>2204</v>
      </c>
      <c r="E2163" s="14" t="s">
        <v>37</v>
      </c>
    </row>
    <row r="2164" spans="1:5" x14ac:dyDescent="0.25">
      <c r="A2164" s="36">
        <v>2162</v>
      </c>
      <c r="B2164" s="37">
        <v>351704706</v>
      </c>
      <c r="C2164" s="38">
        <v>0.16377526622441377</v>
      </c>
      <c r="D2164" s="14" t="s">
        <v>2205</v>
      </c>
      <c r="E2164" s="14" t="s">
        <v>40</v>
      </c>
    </row>
    <row r="2165" spans="1:5" x14ac:dyDescent="0.25">
      <c r="A2165" s="36">
        <v>2163</v>
      </c>
      <c r="B2165" s="37">
        <v>1067617497</v>
      </c>
      <c r="C2165" s="38">
        <v>0.49714813823678911</v>
      </c>
      <c r="D2165" s="14" t="s">
        <v>2206</v>
      </c>
      <c r="E2165" s="14" t="s">
        <v>43</v>
      </c>
    </row>
    <row r="2166" spans="1:5" x14ac:dyDescent="0.25">
      <c r="A2166" s="36">
        <v>2164</v>
      </c>
      <c r="B2166" s="37">
        <v>2097950943</v>
      </c>
      <c r="C2166" s="38">
        <v>0.97693453728078605</v>
      </c>
      <c r="D2166" s="14" t="s">
        <v>2207</v>
      </c>
      <c r="E2166" s="14" t="s">
        <v>46</v>
      </c>
    </row>
    <row r="2167" spans="1:5" x14ac:dyDescent="0.25">
      <c r="A2167" s="36">
        <v>2165</v>
      </c>
      <c r="B2167" s="37">
        <v>929437894</v>
      </c>
      <c r="C2167" s="38">
        <v>0.43280324639417384</v>
      </c>
      <c r="D2167" s="14" t="s">
        <v>2208</v>
      </c>
      <c r="E2167" s="14" t="s">
        <v>48</v>
      </c>
    </row>
    <row r="2168" spans="1:5" x14ac:dyDescent="0.25">
      <c r="A2168" s="36">
        <v>2166</v>
      </c>
      <c r="B2168" s="37">
        <v>635312009</v>
      </c>
      <c r="C2168" s="38">
        <v>0.29584020809076739</v>
      </c>
      <c r="D2168" s="14" t="s">
        <v>2209</v>
      </c>
      <c r="E2168" s="14" t="s">
        <v>37</v>
      </c>
    </row>
    <row r="2169" spans="1:5" x14ac:dyDescent="0.25">
      <c r="A2169" s="36">
        <v>2167</v>
      </c>
      <c r="B2169" s="37">
        <v>1920941797</v>
      </c>
      <c r="C2169" s="38">
        <v>0.89450823045079975</v>
      </c>
      <c r="D2169" s="14" t="s">
        <v>2210</v>
      </c>
      <c r="E2169" s="14" t="s">
        <v>40</v>
      </c>
    </row>
    <row r="2170" spans="1:5" x14ac:dyDescent="0.25">
      <c r="A2170" s="36">
        <v>2168</v>
      </c>
      <c r="B2170" s="37">
        <v>1684544291</v>
      </c>
      <c r="C2170" s="38">
        <v>0.78442706343924029</v>
      </c>
      <c r="D2170" s="14" t="s">
        <v>2211</v>
      </c>
      <c r="E2170" s="14" t="s">
        <v>43</v>
      </c>
    </row>
    <row r="2171" spans="1:5" x14ac:dyDescent="0.25">
      <c r="A2171" s="36">
        <v>2169</v>
      </c>
      <c r="B2171" s="37">
        <v>1996960392</v>
      </c>
      <c r="C2171" s="38">
        <v>0.92990714727430934</v>
      </c>
      <c r="D2171" s="14" t="s">
        <v>2212</v>
      </c>
      <c r="E2171" s="14" t="s">
        <v>46</v>
      </c>
    </row>
    <row r="2172" spans="1:5" x14ac:dyDescent="0.25">
      <c r="A2172" s="36">
        <v>2170</v>
      </c>
      <c r="B2172" s="37">
        <v>357454485</v>
      </c>
      <c r="C2172" s="38">
        <v>0.16645271571653555</v>
      </c>
      <c r="D2172" s="14" t="s">
        <v>2213</v>
      </c>
      <c r="E2172" s="14" t="s">
        <v>48</v>
      </c>
    </row>
    <row r="2173" spans="1:5" x14ac:dyDescent="0.25">
      <c r="A2173" s="36">
        <v>2171</v>
      </c>
      <c r="B2173" s="37">
        <v>383892793</v>
      </c>
      <c r="C2173" s="38">
        <v>0.17876401225978694</v>
      </c>
      <c r="D2173" s="14" t="s">
        <v>2214</v>
      </c>
      <c r="E2173" s="14" t="s">
        <v>37</v>
      </c>
    </row>
    <row r="2174" spans="1:5" x14ac:dyDescent="0.25">
      <c r="A2174" s="36">
        <v>2172</v>
      </c>
      <c r="B2174" s="37">
        <v>1373622169</v>
      </c>
      <c r="C2174" s="38">
        <v>0.63964266778884582</v>
      </c>
      <c r="D2174" s="14" t="s">
        <v>2215</v>
      </c>
      <c r="E2174" s="14" t="s">
        <v>40</v>
      </c>
    </row>
    <row r="2175" spans="1:5" x14ac:dyDescent="0.25">
      <c r="A2175" s="36">
        <v>2173</v>
      </c>
      <c r="B2175" s="37">
        <v>1468314401</v>
      </c>
      <c r="C2175" s="38">
        <v>0.68373717446054205</v>
      </c>
      <c r="D2175" s="14" t="s">
        <v>2216</v>
      </c>
      <c r="E2175" s="14" t="s">
        <v>43</v>
      </c>
    </row>
    <row r="2176" spans="1:5" x14ac:dyDescent="0.25">
      <c r="A2176" s="36">
        <v>2174</v>
      </c>
      <c r="B2176" s="37">
        <v>198545342</v>
      </c>
      <c r="C2176" s="38">
        <v>9.2454879587728009E-2</v>
      </c>
      <c r="D2176" s="14" t="s">
        <v>2217</v>
      </c>
      <c r="E2176" s="14" t="s">
        <v>46</v>
      </c>
    </row>
    <row r="2177" spans="1:5" x14ac:dyDescent="0.25">
      <c r="A2177" s="36">
        <v>2175</v>
      </c>
      <c r="B2177" s="37">
        <v>1998409002</v>
      </c>
      <c r="C2177" s="38">
        <v>0.9305817088720304</v>
      </c>
      <c r="D2177" s="14" t="s">
        <v>2218</v>
      </c>
      <c r="E2177" s="14" t="s">
        <v>48</v>
      </c>
    </row>
    <row r="2178" spans="1:5" x14ac:dyDescent="0.25">
      <c r="A2178" s="36">
        <v>2176</v>
      </c>
      <c r="B2178" s="37">
        <v>2128362801</v>
      </c>
      <c r="C2178" s="38">
        <v>0.99109616223308084</v>
      </c>
      <c r="D2178" s="14" t="s">
        <v>2219</v>
      </c>
      <c r="E2178" s="14" t="s">
        <v>37</v>
      </c>
    </row>
    <row r="2179" spans="1:5" x14ac:dyDescent="0.25">
      <c r="A2179" s="36">
        <v>2177</v>
      </c>
      <c r="B2179" s="37">
        <v>1742848260</v>
      </c>
      <c r="C2179" s="38">
        <v>0.81157696471157348</v>
      </c>
      <c r="D2179" s="14" t="s">
        <v>2220</v>
      </c>
      <c r="E2179" s="14" t="s">
        <v>40</v>
      </c>
    </row>
    <row r="2180" spans="1:5" x14ac:dyDescent="0.25">
      <c r="A2180" s="36">
        <v>2178</v>
      </c>
      <c r="B2180" s="37">
        <v>1329984893</v>
      </c>
      <c r="C2180" s="38">
        <v>0.61932247766262039</v>
      </c>
      <c r="D2180" s="14" t="s">
        <v>2221</v>
      </c>
      <c r="E2180" s="14" t="s">
        <v>43</v>
      </c>
    </row>
    <row r="2181" spans="1:5" x14ac:dyDescent="0.25">
      <c r="A2181" s="36">
        <v>2179</v>
      </c>
      <c r="B2181" s="37">
        <v>470872982</v>
      </c>
      <c r="C2181" s="38">
        <v>0.21926731905865823</v>
      </c>
      <c r="D2181" s="14" t="s">
        <v>2222</v>
      </c>
      <c r="E2181" s="14" t="s">
        <v>46</v>
      </c>
    </row>
    <row r="2182" spans="1:5" x14ac:dyDescent="0.25">
      <c r="A2182" s="36">
        <v>2180</v>
      </c>
      <c r="B2182" s="37">
        <v>872720301</v>
      </c>
      <c r="C2182" s="38">
        <v>0.40639205901249875</v>
      </c>
      <c r="D2182" s="14" t="s">
        <v>2223</v>
      </c>
      <c r="E2182" s="14" t="s">
        <v>48</v>
      </c>
    </row>
    <row r="2183" spans="1:5" x14ac:dyDescent="0.25">
      <c r="A2183" s="36">
        <v>2181</v>
      </c>
      <c r="B2183" s="37">
        <v>459913098</v>
      </c>
      <c r="C2183" s="38">
        <v>0.2141637253640982</v>
      </c>
      <c r="D2183" s="14" t="s">
        <v>2224</v>
      </c>
      <c r="E2183" s="14" t="s">
        <v>37</v>
      </c>
    </row>
    <row r="2184" spans="1:5" x14ac:dyDescent="0.25">
      <c r="A2184" s="36">
        <v>2182</v>
      </c>
      <c r="B2184" s="37">
        <v>745386466</v>
      </c>
      <c r="C2184" s="38">
        <v>0.34709762146095635</v>
      </c>
      <c r="D2184" s="14" t="s">
        <v>2225</v>
      </c>
      <c r="E2184" s="14" t="s">
        <v>40</v>
      </c>
    </row>
    <row r="2185" spans="1:5" x14ac:dyDescent="0.25">
      <c r="A2185" s="36">
        <v>2183</v>
      </c>
      <c r="B2185" s="37">
        <v>301717682</v>
      </c>
      <c r="C2185" s="38">
        <v>0.14049824426905169</v>
      </c>
      <c r="D2185" s="14" t="s">
        <v>2226</v>
      </c>
      <c r="E2185" s="14" t="s">
        <v>43</v>
      </c>
    </row>
    <row r="2186" spans="1:5" x14ac:dyDescent="0.25">
      <c r="A2186" s="36">
        <v>2184</v>
      </c>
      <c r="B2186" s="37">
        <v>670396912</v>
      </c>
      <c r="C2186" s="38">
        <v>0.31217788919442235</v>
      </c>
      <c r="D2186" s="14" t="s">
        <v>2227</v>
      </c>
      <c r="E2186" s="14" t="s">
        <v>46</v>
      </c>
    </row>
    <row r="2187" spans="1:5" x14ac:dyDescent="0.25">
      <c r="A2187" s="36">
        <v>2185</v>
      </c>
      <c r="B2187" s="37">
        <v>801327707</v>
      </c>
      <c r="C2187" s="38">
        <v>0.37314729177073913</v>
      </c>
      <c r="D2187" s="14" t="s">
        <v>2228</v>
      </c>
      <c r="E2187" s="14" t="s">
        <v>48</v>
      </c>
    </row>
    <row r="2188" spans="1:5" x14ac:dyDescent="0.25">
      <c r="A2188" s="36">
        <v>2186</v>
      </c>
      <c r="B2188" s="37">
        <v>1004959287</v>
      </c>
      <c r="C2188" s="38">
        <v>0.46797063549420359</v>
      </c>
      <c r="D2188" s="14" t="s">
        <v>2229</v>
      </c>
      <c r="E2188" s="14" t="s">
        <v>37</v>
      </c>
    </row>
    <row r="2189" spans="1:5" x14ac:dyDescent="0.25">
      <c r="A2189" s="36">
        <v>2187</v>
      </c>
      <c r="B2189" s="37">
        <v>631750895</v>
      </c>
      <c r="C2189" s="38">
        <v>0.29418193516050556</v>
      </c>
      <c r="D2189" s="14" t="s">
        <v>2230</v>
      </c>
      <c r="E2189" s="14" t="s">
        <v>40</v>
      </c>
    </row>
    <row r="2190" spans="1:5" x14ac:dyDescent="0.25">
      <c r="A2190" s="36">
        <v>2188</v>
      </c>
      <c r="B2190" s="37">
        <v>1412526667</v>
      </c>
      <c r="C2190" s="38">
        <v>0.65775898641802322</v>
      </c>
      <c r="D2190" s="14" t="s">
        <v>2231</v>
      </c>
      <c r="E2190" s="14" t="s">
        <v>43</v>
      </c>
    </row>
    <row r="2191" spans="1:5" x14ac:dyDescent="0.25">
      <c r="A2191" s="36">
        <v>2189</v>
      </c>
      <c r="B2191" s="37">
        <v>1608472566</v>
      </c>
      <c r="C2191" s="38">
        <v>0.74900340603152449</v>
      </c>
      <c r="D2191" s="14" t="s">
        <v>2232</v>
      </c>
      <c r="E2191" s="14" t="s">
        <v>46</v>
      </c>
    </row>
    <row r="2192" spans="1:5" x14ac:dyDescent="0.25">
      <c r="A2192" s="36">
        <v>2190</v>
      </c>
      <c r="B2192" s="37">
        <v>787182828</v>
      </c>
      <c r="C2192" s="38">
        <v>0.36656056920371977</v>
      </c>
      <c r="D2192" s="14" t="s">
        <v>2233</v>
      </c>
      <c r="E2192" s="14" t="s">
        <v>48</v>
      </c>
    </row>
    <row r="2193" spans="1:5" x14ac:dyDescent="0.25">
      <c r="A2193" s="36">
        <v>2191</v>
      </c>
      <c r="B2193" s="37">
        <v>1510947520</v>
      </c>
      <c r="C2193" s="38">
        <v>0.70358976754527058</v>
      </c>
      <c r="D2193" s="14" t="s">
        <v>2234</v>
      </c>
      <c r="E2193" s="14" t="s">
        <v>37</v>
      </c>
    </row>
    <row r="2194" spans="1:5" x14ac:dyDescent="0.25">
      <c r="A2194" s="36">
        <v>2192</v>
      </c>
      <c r="B2194" s="37">
        <v>493833702</v>
      </c>
      <c r="C2194" s="38">
        <v>0.22995923749634961</v>
      </c>
      <c r="D2194" s="14" t="s">
        <v>2235</v>
      </c>
      <c r="E2194" s="14" t="s">
        <v>40</v>
      </c>
    </row>
    <row r="2195" spans="1:5" x14ac:dyDescent="0.25">
      <c r="A2195" s="36">
        <v>2193</v>
      </c>
      <c r="B2195" s="37">
        <v>798712642</v>
      </c>
      <c r="C2195" s="38">
        <v>0.37192955723587867</v>
      </c>
      <c r="D2195" s="14" t="s">
        <v>2236</v>
      </c>
      <c r="E2195" s="14" t="s">
        <v>43</v>
      </c>
    </row>
    <row r="2196" spans="1:5" x14ac:dyDescent="0.25">
      <c r="A2196" s="36">
        <v>2194</v>
      </c>
      <c r="B2196" s="37">
        <v>1113242631</v>
      </c>
      <c r="C2196" s="38">
        <v>0.51839399687871057</v>
      </c>
      <c r="D2196" s="14" t="s">
        <v>2237</v>
      </c>
      <c r="E2196" s="14" t="s">
        <v>46</v>
      </c>
    </row>
    <row r="2197" spans="1:5" x14ac:dyDescent="0.25">
      <c r="A2197" s="36">
        <v>2195</v>
      </c>
      <c r="B2197" s="37">
        <v>514946138</v>
      </c>
      <c r="C2197" s="38">
        <v>0.2397904816268899</v>
      </c>
      <c r="D2197" s="14" t="s">
        <v>2238</v>
      </c>
      <c r="E2197" s="14" t="s">
        <v>48</v>
      </c>
    </row>
    <row r="2198" spans="1:5" x14ac:dyDescent="0.25">
      <c r="A2198" s="36">
        <v>2196</v>
      </c>
      <c r="B2198" s="37">
        <v>1553846034</v>
      </c>
      <c r="C2198" s="38">
        <v>0.72356594480740188</v>
      </c>
      <c r="D2198" s="14" t="s">
        <v>2239</v>
      </c>
      <c r="E2198" s="14" t="s">
        <v>37</v>
      </c>
    </row>
    <row r="2199" spans="1:5" x14ac:dyDescent="0.25">
      <c r="A2199" s="36">
        <v>2197</v>
      </c>
      <c r="B2199" s="37">
        <v>164103155</v>
      </c>
      <c r="C2199" s="38">
        <v>7.641648644414567E-2</v>
      </c>
      <c r="D2199" s="14" t="s">
        <v>2240</v>
      </c>
      <c r="E2199" s="14" t="s">
        <v>40</v>
      </c>
    </row>
    <row r="2200" spans="1:5" x14ac:dyDescent="0.25">
      <c r="A2200" s="36">
        <v>2198</v>
      </c>
      <c r="B2200" s="37">
        <v>1340533139</v>
      </c>
      <c r="C2200" s="38">
        <v>0.62423438747610638</v>
      </c>
      <c r="D2200" s="14" t="s">
        <v>2241</v>
      </c>
      <c r="E2200" s="14" t="s">
        <v>43</v>
      </c>
    </row>
    <row r="2201" spans="1:5" x14ac:dyDescent="0.25">
      <c r="A2201" s="36">
        <v>2199</v>
      </c>
      <c r="B2201" s="37">
        <v>463748260</v>
      </c>
      <c r="C2201" s="38">
        <v>0.21594961183888353</v>
      </c>
      <c r="D2201" s="14" t="s">
        <v>2242</v>
      </c>
      <c r="E2201" s="14" t="s">
        <v>46</v>
      </c>
    </row>
    <row r="2202" spans="1:5" x14ac:dyDescent="0.25">
      <c r="A2202" s="36">
        <v>2200</v>
      </c>
      <c r="B2202" s="37">
        <v>2147015632</v>
      </c>
      <c r="C2202" s="38">
        <v>0.99978206353251919</v>
      </c>
      <c r="D2202" s="14" t="s">
        <v>2243</v>
      </c>
      <c r="E2202" s="14" t="s">
        <v>48</v>
      </c>
    </row>
    <row r="2203" spans="1:5" x14ac:dyDescent="0.25">
      <c r="A2203" s="36">
        <v>2201</v>
      </c>
      <c r="B2203" s="37">
        <v>1527800209</v>
      </c>
      <c r="C2203" s="38">
        <v>0.71143741240326197</v>
      </c>
      <c r="D2203" s="14" t="s">
        <v>2244</v>
      </c>
      <c r="E2203" s="14" t="s">
        <v>37</v>
      </c>
    </row>
    <row r="2204" spans="1:5" x14ac:dyDescent="0.25">
      <c r="A2204" s="36">
        <v>2202</v>
      </c>
      <c r="B2204" s="37">
        <v>1784594313</v>
      </c>
      <c r="C2204" s="38">
        <v>0.83101648550062279</v>
      </c>
      <c r="D2204" s="14" t="s">
        <v>2245</v>
      </c>
      <c r="E2204" s="14" t="s">
        <v>40</v>
      </c>
    </row>
    <row r="2205" spans="1:5" x14ac:dyDescent="0.25">
      <c r="A2205" s="36">
        <v>2203</v>
      </c>
      <c r="B2205" s="37">
        <v>403005092</v>
      </c>
      <c r="C2205" s="38">
        <v>0.18766387001968168</v>
      </c>
      <c r="D2205" s="14" t="s">
        <v>2246</v>
      </c>
      <c r="E2205" s="14" t="s">
        <v>43</v>
      </c>
    </row>
    <row r="2206" spans="1:5" x14ac:dyDescent="0.25">
      <c r="A2206" s="36">
        <v>2204</v>
      </c>
      <c r="B2206" s="37">
        <v>1450368486</v>
      </c>
      <c r="C2206" s="38">
        <v>0.67538045657583534</v>
      </c>
      <c r="D2206" s="14" t="s">
        <v>2247</v>
      </c>
      <c r="E2206" s="14" t="s">
        <v>46</v>
      </c>
    </row>
    <row r="2207" spans="1:5" x14ac:dyDescent="0.25">
      <c r="A2207" s="36">
        <v>2205</v>
      </c>
      <c r="B2207" s="37">
        <v>271909737</v>
      </c>
      <c r="C2207" s="38">
        <v>0.12661783822188985</v>
      </c>
      <c r="D2207" s="14" t="s">
        <v>2248</v>
      </c>
      <c r="E2207" s="14" t="s">
        <v>48</v>
      </c>
    </row>
    <row r="2208" spans="1:5" x14ac:dyDescent="0.25">
      <c r="A2208" s="36">
        <v>2206</v>
      </c>
      <c r="B2208" s="37">
        <v>62926075</v>
      </c>
      <c r="C2208" s="38">
        <v>2.9302237103368267E-2</v>
      </c>
      <c r="D2208" s="14" t="s">
        <v>2249</v>
      </c>
      <c r="E2208" s="14" t="s">
        <v>37</v>
      </c>
    </row>
    <row r="2209" spans="1:5" x14ac:dyDescent="0.25">
      <c r="A2209" s="36">
        <v>2207</v>
      </c>
      <c r="B2209" s="37">
        <v>1671494820</v>
      </c>
      <c r="C2209" s="38">
        <v>0.77835042997186554</v>
      </c>
      <c r="D2209" s="14" t="s">
        <v>2250</v>
      </c>
      <c r="E2209" s="14" t="s">
        <v>40</v>
      </c>
    </row>
    <row r="2210" spans="1:5" x14ac:dyDescent="0.25">
      <c r="A2210" s="36">
        <v>2208</v>
      </c>
      <c r="B2210" s="37">
        <v>475849875</v>
      </c>
      <c r="C2210" s="38">
        <v>0.2215848654609103</v>
      </c>
      <c r="D2210" s="14" t="s">
        <v>2251</v>
      </c>
      <c r="E2210" s="14" t="s">
        <v>43</v>
      </c>
    </row>
    <row r="2211" spans="1:5" x14ac:dyDescent="0.25">
      <c r="A2211" s="36">
        <v>2209</v>
      </c>
      <c r="B2211" s="37">
        <v>43631000</v>
      </c>
      <c r="C2211" s="38">
        <v>2.0317267635984938E-2</v>
      </c>
      <c r="D2211" s="14" t="s">
        <v>2252</v>
      </c>
      <c r="E2211" s="14" t="s">
        <v>46</v>
      </c>
    </row>
    <row r="2212" spans="1:5" x14ac:dyDescent="0.25">
      <c r="A2212" s="36">
        <v>2210</v>
      </c>
      <c r="B2212" s="37">
        <v>154721330</v>
      </c>
      <c r="C2212" s="38">
        <v>7.2047733735315381E-2</v>
      </c>
      <c r="D2212" s="14" t="s">
        <v>2253</v>
      </c>
      <c r="E2212" s="14" t="s">
        <v>48</v>
      </c>
    </row>
    <row r="2213" spans="1:5" x14ac:dyDescent="0.25">
      <c r="A2213" s="36">
        <v>2211</v>
      </c>
      <c r="B2213" s="37">
        <v>1559355998</v>
      </c>
      <c r="C2213" s="38">
        <v>0.7261317217378559</v>
      </c>
      <c r="D2213" s="14" t="s">
        <v>2254</v>
      </c>
      <c r="E2213" s="14" t="s">
        <v>37</v>
      </c>
    </row>
    <row r="2214" spans="1:5" x14ac:dyDescent="0.25">
      <c r="A2214" s="36">
        <v>2212</v>
      </c>
      <c r="B2214" s="37">
        <v>1881757565</v>
      </c>
      <c r="C2214" s="38">
        <v>0.87626165052701799</v>
      </c>
      <c r="D2214" s="14" t="s">
        <v>2255</v>
      </c>
      <c r="E2214" s="14" t="s">
        <v>40</v>
      </c>
    </row>
    <row r="2215" spans="1:5" x14ac:dyDescent="0.25">
      <c r="A2215" s="36">
        <v>2213</v>
      </c>
      <c r="B2215" s="37">
        <v>1924101175</v>
      </c>
      <c r="C2215" s="38">
        <v>0.89597943047805662</v>
      </c>
      <c r="D2215" s="14" t="s">
        <v>2256</v>
      </c>
      <c r="E2215" s="14" t="s">
        <v>43</v>
      </c>
    </row>
    <row r="2216" spans="1:5" x14ac:dyDescent="0.25">
      <c r="A2216" s="36">
        <v>2214</v>
      </c>
      <c r="B2216" s="37">
        <v>1360758238</v>
      </c>
      <c r="C2216" s="38">
        <v>0.63365243311675845</v>
      </c>
      <c r="D2216" s="14" t="s">
        <v>2257</v>
      </c>
      <c r="E2216" s="14" t="s">
        <v>46</v>
      </c>
    </row>
    <row r="2217" spans="1:5" x14ac:dyDescent="0.25">
      <c r="A2217" s="36">
        <v>2215</v>
      </c>
      <c r="B2217" s="37">
        <v>1693010863</v>
      </c>
      <c r="C2217" s="38">
        <v>0.78836961825767982</v>
      </c>
      <c r="D2217" s="14" t="s">
        <v>2258</v>
      </c>
      <c r="E2217" s="14" t="s">
        <v>48</v>
      </c>
    </row>
    <row r="2218" spans="1:5" x14ac:dyDescent="0.25">
      <c r="A2218" s="36">
        <v>2216</v>
      </c>
      <c r="B2218" s="37">
        <v>882543431</v>
      </c>
      <c r="C2218" s="38">
        <v>0.41096631037582004</v>
      </c>
      <c r="D2218" s="14" t="s">
        <v>2259</v>
      </c>
      <c r="E2218" s="14" t="s">
        <v>37</v>
      </c>
    </row>
    <row r="2219" spans="1:5" x14ac:dyDescent="0.25">
      <c r="A2219" s="36">
        <v>2217</v>
      </c>
      <c r="B2219" s="37">
        <v>364888090</v>
      </c>
      <c r="C2219" s="38">
        <v>0.16991425779178471</v>
      </c>
      <c r="D2219" s="14" t="s">
        <v>2260</v>
      </c>
      <c r="E2219" s="14" t="s">
        <v>40</v>
      </c>
    </row>
    <row r="2220" spans="1:5" x14ac:dyDescent="0.25">
      <c r="A2220" s="36">
        <v>2218</v>
      </c>
      <c r="B2220" s="37">
        <v>4481404</v>
      </c>
      <c r="C2220" s="38">
        <v>2.0868163565578015E-3</v>
      </c>
      <c r="D2220" s="14" t="s">
        <v>2261</v>
      </c>
      <c r="E2220" s="14" t="s">
        <v>43</v>
      </c>
    </row>
    <row r="2221" spans="1:5" x14ac:dyDescent="0.25">
      <c r="A2221" s="36">
        <v>2219</v>
      </c>
      <c r="B2221" s="37">
        <v>64707645</v>
      </c>
      <c r="C2221" s="38">
        <v>3.0131845283383432E-2</v>
      </c>
      <c r="D2221" s="14" t="s">
        <v>2262</v>
      </c>
      <c r="E2221" s="14" t="s">
        <v>46</v>
      </c>
    </row>
    <row r="2222" spans="1:5" x14ac:dyDescent="0.25">
      <c r="A2222" s="36">
        <v>2220</v>
      </c>
      <c r="B2222" s="37">
        <v>1464382563</v>
      </c>
      <c r="C2222" s="38">
        <v>0.68190626971512391</v>
      </c>
      <c r="D2222" s="14" t="s">
        <v>2263</v>
      </c>
      <c r="E2222" s="14" t="s">
        <v>48</v>
      </c>
    </row>
    <row r="2223" spans="1:5" x14ac:dyDescent="0.25">
      <c r="A2223" s="36">
        <v>2221</v>
      </c>
      <c r="B2223" s="37">
        <v>1086054448</v>
      </c>
      <c r="C2223" s="38">
        <v>0.50573351257747667</v>
      </c>
      <c r="D2223" s="14" t="s">
        <v>2264</v>
      </c>
      <c r="E2223" s="14" t="s">
        <v>37</v>
      </c>
    </row>
    <row r="2224" spans="1:5" x14ac:dyDescent="0.25">
      <c r="A2224" s="36">
        <v>2222</v>
      </c>
      <c r="B2224" s="37">
        <v>1175014941</v>
      </c>
      <c r="C2224" s="38">
        <v>0.54715897028667804</v>
      </c>
      <c r="D2224" s="14" t="s">
        <v>2265</v>
      </c>
      <c r="E2224" s="14" t="s">
        <v>40</v>
      </c>
    </row>
    <row r="2225" spans="1:5" x14ac:dyDescent="0.25">
      <c r="A2225" s="36">
        <v>2223</v>
      </c>
      <c r="B2225" s="37">
        <v>552230528</v>
      </c>
      <c r="C2225" s="38">
        <v>0.25715237867885848</v>
      </c>
      <c r="D2225" s="14" t="s">
        <v>2266</v>
      </c>
      <c r="E2225" s="14" t="s">
        <v>43</v>
      </c>
    </row>
    <row r="2226" spans="1:5" x14ac:dyDescent="0.25">
      <c r="A2226" s="36">
        <v>2224</v>
      </c>
      <c r="B2226" s="37">
        <v>75712484</v>
      </c>
      <c r="C2226" s="38">
        <v>3.5256372781124139E-2</v>
      </c>
      <c r="D2226" s="14" t="s">
        <v>2267</v>
      </c>
      <c r="E2226" s="14" t="s">
        <v>46</v>
      </c>
    </row>
    <row r="2227" spans="1:5" x14ac:dyDescent="0.25">
      <c r="A2227" s="36">
        <v>2225</v>
      </c>
      <c r="B2227" s="37">
        <v>1258510128</v>
      </c>
      <c r="C2227" s="38">
        <v>0.58603944656720364</v>
      </c>
      <c r="D2227" s="14" t="s">
        <v>2268</v>
      </c>
      <c r="E2227" s="14" t="s">
        <v>48</v>
      </c>
    </row>
    <row r="2228" spans="1:5" x14ac:dyDescent="0.25">
      <c r="A2228" s="36">
        <v>2226</v>
      </c>
      <c r="B2228" s="37">
        <v>1679188804</v>
      </c>
      <c r="C2228" s="38">
        <v>0.78193322046749913</v>
      </c>
      <c r="D2228" s="14" t="s">
        <v>2269</v>
      </c>
      <c r="E2228" s="14" t="s">
        <v>37</v>
      </c>
    </row>
    <row r="2229" spans="1:5" x14ac:dyDescent="0.25">
      <c r="A2229" s="36">
        <v>2227</v>
      </c>
      <c r="B2229" s="37">
        <v>1859580414</v>
      </c>
      <c r="C2229" s="38">
        <v>0.86593460983873094</v>
      </c>
      <c r="D2229" s="14" t="s">
        <v>2270</v>
      </c>
      <c r="E2229" s="14" t="s">
        <v>40</v>
      </c>
    </row>
    <row r="2230" spans="1:5" x14ac:dyDescent="0.25">
      <c r="A2230" s="36">
        <v>2228</v>
      </c>
      <c r="B2230" s="37">
        <v>598241183</v>
      </c>
      <c r="C2230" s="38">
        <v>0.27857775952600772</v>
      </c>
      <c r="D2230" s="14" t="s">
        <v>2271</v>
      </c>
      <c r="E2230" s="14" t="s">
        <v>43</v>
      </c>
    </row>
    <row r="2231" spans="1:5" x14ac:dyDescent="0.25">
      <c r="A2231" s="36">
        <v>2229</v>
      </c>
      <c r="B2231" s="37">
        <v>251923398</v>
      </c>
      <c r="C2231" s="38">
        <v>0.11731097387024712</v>
      </c>
      <c r="D2231" s="14" t="s">
        <v>2272</v>
      </c>
      <c r="E2231" s="14" t="s">
        <v>46</v>
      </c>
    </row>
    <row r="2232" spans="1:5" x14ac:dyDescent="0.25">
      <c r="A2232" s="36">
        <v>2230</v>
      </c>
      <c r="B2232" s="37">
        <v>1118661424</v>
      </c>
      <c r="C2232" s="38">
        <v>0.5209173190039198</v>
      </c>
      <c r="D2232" s="14" t="s">
        <v>2273</v>
      </c>
      <c r="E2232" s="14" t="s">
        <v>48</v>
      </c>
    </row>
    <row r="2233" spans="1:5" x14ac:dyDescent="0.25">
      <c r="A2233" s="36">
        <v>2231</v>
      </c>
      <c r="B2233" s="37">
        <v>800047063</v>
      </c>
      <c r="C2233" s="38">
        <v>0.37255094543683853</v>
      </c>
      <c r="D2233" s="14" t="s">
        <v>2274</v>
      </c>
      <c r="E2233" s="14" t="s">
        <v>37</v>
      </c>
    </row>
    <row r="2234" spans="1:5" x14ac:dyDescent="0.25">
      <c r="A2234" s="36">
        <v>2232</v>
      </c>
      <c r="B2234" s="37">
        <v>1792266658</v>
      </c>
      <c r="C2234" s="38">
        <v>0.83458919955165556</v>
      </c>
      <c r="D2234" s="14" t="s">
        <v>2275</v>
      </c>
      <c r="E2234" s="14" t="s">
        <v>40</v>
      </c>
    </row>
    <row r="2235" spans="1:5" x14ac:dyDescent="0.25">
      <c r="A2235" s="36">
        <v>2233</v>
      </c>
      <c r="B2235" s="37">
        <v>127817508</v>
      </c>
      <c r="C2235" s="38">
        <v>5.9519665343463264E-2</v>
      </c>
      <c r="D2235" s="14" t="s">
        <v>2276</v>
      </c>
      <c r="E2235" s="14" t="s">
        <v>43</v>
      </c>
    </row>
    <row r="2236" spans="1:5" x14ac:dyDescent="0.25">
      <c r="A2236" s="36">
        <v>2234</v>
      </c>
      <c r="B2236" s="37">
        <v>951532339</v>
      </c>
      <c r="C2236" s="38">
        <v>0.44309177410001482</v>
      </c>
      <c r="D2236" s="14" t="s">
        <v>2277</v>
      </c>
      <c r="E2236" s="14" t="s">
        <v>46</v>
      </c>
    </row>
    <row r="2237" spans="1:5" x14ac:dyDescent="0.25">
      <c r="A2237" s="36">
        <v>2235</v>
      </c>
      <c r="B2237" s="37">
        <v>1733920759</v>
      </c>
      <c r="C2237" s="38">
        <v>0.80741977310153645</v>
      </c>
      <c r="D2237" s="14" t="s">
        <v>2278</v>
      </c>
      <c r="E2237" s="14" t="s">
        <v>48</v>
      </c>
    </row>
    <row r="2238" spans="1:5" x14ac:dyDescent="0.25">
      <c r="A2238" s="36">
        <v>2236</v>
      </c>
      <c r="B2238" s="37">
        <v>1868220108</v>
      </c>
      <c r="C2238" s="38">
        <v>0.86995778087058928</v>
      </c>
      <c r="D2238" s="14" t="s">
        <v>2279</v>
      </c>
      <c r="E2238" s="14" t="s">
        <v>37</v>
      </c>
    </row>
    <row r="2239" spans="1:5" x14ac:dyDescent="0.25">
      <c r="A2239" s="36">
        <v>2237</v>
      </c>
      <c r="B2239" s="37">
        <v>2034396221</v>
      </c>
      <c r="C2239" s="38">
        <v>0.94733956360599936</v>
      </c>
      <c r="D2239" s="14" t="s">
        <v>2280</v>
      </c>
      <c r="E2239" s="14" t="s">
        <v>40</v>
      </c>
    </row>
    <row r="2240" spans="1:5" x14ac:dyDescent="0.25">
      <c r="A2240" s="36">
        <v>2238</v>
      </c>
      <c r="B2240" s="37">
        <v>1845219358</v>
      </c>
      <c r="C2240" s="38">
        <v>0.85924722201155834</v>
      </c>
      <c r="D2240" s="14" t="s">
        <v>2281</v>
      </c>
      <c r="E2240" s="14" t="s">
        <v>43</v>
      </c>
    </row>
    <row r="2241" spans="1:5" x14ac:dyDescent="0.25">
      <c r="A2241" s="36">
        <v>2239</v>
      </c>
      <c r="B2241" s="37">
        <v>2049461187</v>
      </c>
      <c r="C2241" s="38">
        <v>0.9543547350700734</v>
      </c>
      <c r="D2241" s="14" t="s">
        <v>2282</v>
      </c>
      <c r="E2241" s="14" t="s">
        <v>46</v>
      </c>
    </row>
    <row r="2242" spans="1:5" x14ac:dyDescent="0.25">
      <c r="A2242" s="36">
        <v>2240</v>
      </c>
      <c r="B2242" s="37">
        <v>1691204489</v>
      </c>
      <c r="C2242" s="38">
        <v>0.7875284598150889</v>
      </c>
      <c r="D2242" s="14" t="s">
        <v>2283</v>
      </c>
      <c r="E2242" s="14" t="s">
        <v>48</v>
      </c>
    </row>
    <row r="2243" spans="1:5" x14ac:dyDescent="0.25">
      <c r="A2243" s="36">
        <v>2241</v>
      </c>
      <c r="B2243" s="37">
        <v>604966881</v>
      </c>
      <c r="C2243" s="38">
        <v>0.28170965671618919</v>
      </c>
      <c r="D2243" s="14" t="s">
        <v>2284</v>
      </c>
      <c r="E2243" s="14" t="s">
        <v>37</v>
      </c>
    </row>
    <row r="2244" spans="1:5" x14ac:dyDescent="0.25">
      <c r="A2244" s="36">
        <v>2242</v>
      </c>
      <c r="B2244" s="37">
        <v>512135037</v>
      </c>
      <c r="C2244" s="38">
        <v>0.23848146071586826</v>
      </c>
      <c r="D2244" s="14" t="s">
        <v>2285</v>
      </c>
      <c r="E2244" s="14" t="s">
        <v>40</v>
      </c>
    </row>
    <row r="2245" spans="1:5" x14ac:dyDescent="0.25">
      <c r="A2245" s="36">
        <v>2243</v>
      </c>
      <c r="B2245" s="37">
        <v>1772820822</v>
      </c>
      <c r="C2245" s="38">
        <v>0.82553402652290375</v>
      </c>
      <c r="D2245" s="14" t="s">
        <v>2286</v>
      </c>
      <c r="E2245" s="14" t="s">
        <v>43</v>
      </c>
    </row>
    <row r="2246" spans="1:5" x14ac:dyDescent="0.25">
      <c r="A2246" s="36">
        <v>2244</v>
      </c>
      <c r="B2246" s="37">
        <v>1068660839</v>
      </c>
      <c r="C2246" s="38">
        <v>0.49763398221583754</v>
      </c>
      <c r="D2246" s="14" t="s">
        <v>2287</v>
      </c>
      <c r="E2246" s="14" t="s">
        <v>46</v>
      </c>
    </row>
    <row r="2247" spans="1:5" x14ac:dyDescent="0.25">
      <c r="A2247" s="36">
        <v>2245</v>
      </c>
      <c r="B2247" s="37">
        <v>1452523070</v>
      </c>
      <c r="C2247" s="38">
        <v>0.67638376293535518</v>
      </c>
      <c r="D2247" s="14" t="s">
        <v>2288</v>
      </c>
      <c r="E2247" s="14" t="s">
        <v>48</v>
      </c>
    </row>
    <row r="2248" spans="1:5" x14ac:dyDescent="0.25">
      <c r="A2248" s="36">
        <v>2246</v>
      </c>
      <c r="B2248" s="37">
        <v>333151847</v>
      </c>
      <c r="C2248" s="38">
        <v>0.15513591801521179</v>
      </c>
      <c r="D2248" s="14" t="s">
        <v>2289</v>
      </c>
      <c r="E2248" s="14" t="s">
        <v>37</v>
      </c>
    </row>
    <row r="2249" spans="1:5" x14ac:dyDescent="0.25">
      <c r="A2249" s="36">
        <v>2247</v>
      </c>
      <c r="B2249" s="37">
        <v>184834382</v>
      </c>
      <c r="C2249" s="38">
        <v>8.6070216300929994E-2</v>
      </c>
      <c r="D2249" s="14" t="s">
        <v>2290</v>
      </c>
      <c r="E2249" s="14" t="s">
        <v>40</v>
      </c>
    </row>
    <row r="2250" spans="1:5" x14ac:dyDescent="0.25">
      <c r="A2250" s="36">
        <v>2248</v>
      </c>
      <c r="B2250" s="37">
        <v>1071431671</v>
      </c>
      <c r="C2250" s="38">
        <v>0.49892425141247188</v>
      </c>
      <c r="D2250" s="14" t="s">
        <v>2291</v>
      </c>
      <c r="E2250" s="14" t="s">
        <v>43</v>
      </c>
    </row>
    <row r="2251" spans="1:5" x14ac:dyDescent="0.25">
      <c r="A2251" s="36">
        <v>2249</v>
      </c>
      <c r="B2251" s="37">
        <v>776784114</v>
      </c>
      <c r="C2251" s="38">
        <v>0.36171829065387989</v>
      </c>
      <c r="D2251" s="14" t="s">
        <v>2292</v>
      </c>
      <c r="E2251" s="14" t="s">
        <v>46</v>
      </c>
    </row>
    <row r="2252" spans="1:5" x14ac:dyDescent="0.25">
      <c r="A2252" s="36">
        <v>2250</v>
      </c>
      <c r="B2252" s="37">
        <v>1309721490</v>
      </c>
      <c r="C2252" s="38">
        <v>0.60988659533201095</v>
      </c>
      <c r="D2252" s="14" t="s">
        <v>2293</v>
      </c>
      <c r="E2252" s="14" t="s">
        <v>48</v>
      </c>
    </row>
    <row r="2253" spans="1:5" x14ac:dyDescent="0.25">
      <c r="A2253" s="36">
        <v>2251</v>
      </c>
      <c r="B2253" s="37">
        <v>2055637836</v>
      </c>
      <c r="C2253" s="38">
        <v>0.95723096139600083</v>
      </c>
      <c r="D2253" s="14" t="s">
        <v>2294</v>
      </c>
      <c r="E2253" s="14" t="s">
        <v>37</v>
      </c>
    </row>
    <row r="2254" spans="1:5" x14ac:dyDescent="0.25">
      <c r="A2254" s="36">
        <v>2252</v>
      </c>
      <c r="B2254" s="37">
        <v>726179378</v>
      </c>
      <c r="C2254" s="38">
        <v>0.33815362413327843</v>
      </c>
      <c r="D2254" s="14" t="s">
        <v>2295</v>
      </c>
      <c r="E2254" s="14" t="s">
        <v>40</v>
      </c>
    </row>
    <row r="2255" spans="1:5" x14ac:dyDescent="0.25">
      <c r="A2255" s="36">
        <v>2253</v>
      </c>
      <c r="B2255" s="37">
        <v>1360101018</v>
      </c>
      <c r="C2255" s="38">
        <v>0.63334639120537151</v>
      </c>
      <c r="D2255" s="14" t="s">
        <v>2296</v>
      </c>
      <c r="E2255" s="14" t="s">
        <v>43</v>
      </c>
    </row>
    <row r="2256" spans="1:5" x14ac:dyDescent="0.25">
      <c r="A2256" s="36">
        <v>2254</v>
      </c>
      <c r="B2256" s="37">
        <v>803066686</v>
      </c>
      <c r="C2256" s="38">
        <v>0.37395706697085734</v>
      </c>
      <c r="D2256" s="14" t="s">
        <v>2297</v>
      </c>
      <c r="E2256" s="14" t="s">
        <v>46</v>
      </c>
    </row>
    <row r="2257" spans="1:5" x14ac:dyDescent="0.25">
      <c r="A2257" s="36">
        <v>2255</v>
      </c>
      <c r="B2257" s="37">
        <v>771023106</v>
      </c>
      <c r="C2257" s="38">
        <v>0.35903561225116049</v>
      </c>
      <c r="D2257" s="14" t="s">
        <v>2298</v>
      </c>
      <c r="E2257" s="14" t="s">
        <v>48</v>
      </c>
    </row>
    <row r="2258" spans="1:5" x14ac:dyDescent="0.25">
      <c r="A2258" s="36">
        <v>2256</v>
      </c>
      <c r="B2258" s="37">
        <v>482364145</v>
      </c>
      <c r="C2258" s="38">
        <v>0.22461830881639305</v>
      </c>
      <c r="D2258" s="14" t="s">
        <v>2299</v>
      </c>
      <c r="E2258" s="14" t="s">
        <v>37</v>
      </c>
    </row>
    <row r="2259" spans="1:5" x14ac:dyDescent="0.25">
      <c r="A2259" s="36">
        <v>2257</v>
      </c>
      <c r="B2259" s="37">
        <v>563969047</v>
      </c>
      <c r="C2259" s="38">
        <v>0.26261855255003019</v>
      </c>
      <c r="D2259" s="14" t="s">
        <v>2300</v>
      </c>
      <c r="E2259" s="14" t="s">
        <v>40</v>
      </c>
    </row>
    <row r="2260" spans="1:5" x14ac:dyDescent="0.25">
      <c r="A2260" s="36">
        <v>2258</v>
      </c>
      <c r="B2260" s="37">
        <v>1327830553</v>
      </c>
      <c r="C2260" s="38">
        <v>0.61831928492445465</v>
      </c>
      <c r="D2260" s="14" t="s">
        <v>2301</v>
      </c>
      <c r="E2260" s="14" t="s">
        <v>43</v>
      </c>
    </row>
    <row r="2261" spans="1:5" x14ac:dyDescent="0.25">
      <c r="A2261" s="36">
        <v>2259</v>
      </c>
      <c r="B2261" s="37">
        <v>815774972</v>
      </c>
      <c r="C2261" s="38">
        <v>0.37987482379184795</v>
      </c>
      <c r="D2261" s="14" t="s">
        <v>2302</v>
      </c>
      <c r="E2261" s="14" t="s">
        <v>46</v>
      </c>
    </row>
    <row r="2262" spans="1:5" x14ac:dyDescent="0.25">
      <c r="A2262" s="36">
        <v>2260</v>
      </c>
      <c r="B2262" s="37">
        <v>1316854306</v>
      </c>
      <c r="C2262" s="38">
        <v>0.61320807161424684</v>
      </c>
      <c r="D2262" s="14" t="s">
        <v>2303</v>
      </c>
      <c r="E2262" s="14" t="s">
        <v>48</v>
      </c>
    </row>
    <row r="2263" spans="1:5" x14ac:dyDescent="0.25">
      <c r="A2263" s="36">
        <v>2261</v>
      </c>
      <c r="B2263" s="37">
        <v>1369105973</v>
      </c>
      <c r="C2263" s="38">
        <v>0.63753965014477243</v>
      </c>
      <c r="D2263" s="14" t="s">
        <v>2304</v>
      </c>
      <c r="E2263" s="14" t="s">
        <v>37</v>
      </c>
    </row>
    <row r="2264" spans="1:5" x14ac:dyDescent="0.25">
      <c r="A2264" s="36">
        <v>2262</v>
      </c>
      <c r="B2264" s="37">
        <v>339932001</v>
      </c>
      <c r="C2264" s="38">
        <v>0.15829317325646672</v>
      </c>
      <c r="D2264" s="14" t="s">
        <v>2305</v>
      </c>
      <c r="E2264" s="14" t="s">
        <v>40</v>
      </c>
    </row>
    <row r="2265" spans="1:5" x14ac:dyDescent="0.25">
      <c r="A2265" s="36">
        <v>2263</v>
      </c>
      <c r="B2265" s="37">
        <v>894106247</v>
      </c>
      <c r="C2265" s="38">
        <v>0.4163506661617899</v>
      </c>
      <c r="D2265" s="14" t="s">
        <v>2306</v>
      </c>
      <c r="E2265" s="14" t="s">
        <v>43</v>
      </c>
    </row>
    <row r="2266" spans="1:5" x14ac:dyDescent="0.25">
      <c r="A2266" s="36">
        <v>2264</v>
      </c>
      <c r="B2266" s="37">
        <v>1212746076</v>
      </c>
      <c r="C2266" s="38">
        <v>0.56472889919054181</v>
      </c>
      <c r="D2266" s="14" t="s">
        <v>2307</v>
      </c>
      <c r="E2266" s="14" t="s">
        <v>46</v>
      </c>
    </row>
    <row r="2267" spans="1:5" x14ac:dyDescent="0.25">
      <c r="A2267" s="36">
        <v>2265</v>
      </c>
      <c r="B2267" s="37">
        <v>1810459888</v>
      </c>
      <c r="C2267" s="38">
        <v>0.84306108245768629</v>
      </c>
      <c r="D2267" s="14" t="s">
        <v>2308</v>
      </c>
      <c r="E2267" s="14" t="s">
        <v>48</v>
      </c>
    </row>
    <row r="2268" spans="1:5" x14ac:dyDescent="0.25">
      <c r="A2268" s="36">
        <v>2266</v>
      </c>
      <c r="B2268" s="37">
        <v>1547076911</v>
      </c>
      <c r="C2268" s="38">
        <v>0.72041382627580963</v>
      </c>
      <c r="D2268" s="14" t="s">
        <v>2309</v>
      </c>
      <c r="E2268" s="14" t="s">
        <v>37</v>
      </c>
    </row>
    <row r="2269" spans="1:5" x14ac:dyDescent="0.25">
      <c r="A2269" s="36">
        <v>2267</v>
      </c>
      <c r="B2269" s="37">
        <v>636337389</v>
      </c>
      <c r="C2269" s="38">
        <v>0.29631768786176932</v>
      </c>
      <c r="D2269" s="14" t="s">
        <v>2310</v>
      </c>
      <c r="E2269" s="14" t="s">
        <v>40</v>
      </c>
    </row>
    <row r="2270" spans="1:5" x14ac:dyDescent="0.25">
      <c r="A2270" s="36">
        <v>2268</v>
      </c>
      <c r="B2270" s="37">
        <v>1442086932</v>
      </c>
      <c r="C2270" s="38">
        <v>0.671524057477491</v>
      </c>
      <c r="D2270" s="14" t="s">
        <v>2311</v>
      </c>
      <c r="E2270" s="14" t="s">
        <v>43</v>
      </c>
    </row>
    <row r="2271" spans="1:5" x14ac:dyDescent="0.25">
      <c r="A2271" s="36">
        <v>2269</v>
      </c>
      <c r="B2271" s="37">
        <v>115767980</v>
      </c>
      <c r="C2271" s="38">
        <v>5.3908666620919789E-2</v>
      </c>
      <c r="D2271" s="14" t="s">
        <v>2312</v>
      </c>
      <c r="E2271" s="14" t="s">
        <v>46</v>
      </c>
    </row>
    <row r="2272" spans="1:5" x14ac:dyDescent="0.25">
      <c r="A2272" s="36">
        <v>2270</v>
      </c>
      <c r="B2272" s="37">
        <v>1708201119</v>
      </c>
      <c r="C2272" s="38">
        <v>0.79544313242446774</v>
      </c>
      <c r="D2272" s="14" t="s">
        <v>2313</v>
      </c>
      <c r="E2272" s="14" t="s">
        <v>48</v>
      </c>
    </row>
    <row r="2273" spans="1:5" x14ac:dyDescent="0.25">
      <c r="A2273" s="36">
        <v>2271</v>
      </c>
      <c r="B2273" s="37">
        <v>970952053</v>
      </c>
      <c r="C2273" s="38">
        <v>0.45213478312461391</v>
      </c>
      <c r="D2273" s="14" t="s">
        <v>2314</v>
      </c>
      <c r="E2273" s="14" t="s">
        <v>37</v>
      </c>
    </row>
    <row r="2274" spans="1:5" x14ac:dyDescent="0.25">
      <c r="A2274" s="36">
        <v>2272</v>
      </c>
      <c r="B2274" s="37">
        <v>262028318</v>
      </c>
      <c r="C2274" s="38">
        <v>0.12201644392777999</v>
      </c>
      <c r="D2274" s="14" t="s">
        <v>2315</v>
      </c>
      <c r="E2274" s="14" t="s">
        <v>40</v>
      </c>
    </row>
    <row r="2275" spans="1:5" x14ac:dyDescent="0.25">
      <c r="A2275" s="36">
        <v>2273</v>
      </c>
      <c r="B2275" s="37">
        <v>1918701120</v>
      </c>
      <c r="C2275" s="38">
        <v>0.89346483391405307</v>
      </c>
      <c r="D2275" s="14" t="s">
        <v>2316</v>
      </c>
      <c r="E2275" s="14" t="s">
        <v>43</v>
      </c>
    </row>
    <row r="2276" spans="1:5" x14ac:dyDescent="0.25">
      <c r="A2276" s="36">
        <v>2274</v>
      </c>
      <c r="B2276" s="37">
        <v>53272058</v>
      </c>
      <c r="C2276" s="38">
        <v>2.4806735117364087E-2</v>
      </c>
      <c r="D2276" s="14" t="s">
        <v>2317</v>
      </c>
      <c r="E2276" s="14" t="s">
        <v>46</v>
      </c>
    </row>
    <row r="2277" spans="1:5" x14ac:dyDescent="0.25">
      <c r="A2277" s="36">
        <v>2275</v>
      </c>
      <c r="B2277" s="37">
        <v>1938978396</v>
      </c>
      <c r="C2277" s="38">
        <v>0.90290717636370432</v>
      </c>
      <c r="D2277" s="14" t="s">
        <v>2318</v>
      </c>
      <c r="E2277" s="14" t="s">
        <v>48</v>
      </c>
    </row>
    <row r="2278" spans="1:5" x14ac:dyDescent="0.25">
      <c r="A2278" s="36">
        <v>2276</v>
      </c>
      <c r="B2278" s="37">
        <v>85626059</v>
      </c>
      <c r="C2278" s="38">
        <v>3.9872740879595622E-2</v>
      </c>
      <c r="D2278" s="14" t="s">
        <v>2319</v>
      </c>
      <c r="E2278" s="14" t="s">
        <v>37</v>
      </c>
    </row>
    <row r="2279" spans="1:5" x14ac:dyDescent="0.25">
      <c r="A2279" s="36">
        <v>2277</v>
      </c>
      <c r="B2279" s="37">
        <v>1387593455</v>
      </c>
      <c r="C2279" s="38">
        <v>0.64614855481597988</v>
      </c>
      <c r="D2279" s="14" t="s">
        <v>2320</v>
      </c>
      <c r="E2279" s="14" t="s">
        <v>40</v>
      </c>
    </row>
    <row r="2280" spans="1:5" x14ac:dyDescent="0.25">
      <c r="A2280" s="36">
        <v>2278</v>
      </c>
      <c r="B2280" s="37">
        <v>1922730188</v>
      </c>
      <c r="C2280" s="38">
        <v>0.89534101490645712</v>
      </c>
      <c r="D2280" s="14" t="s">
        <v>2321</v>
      </c>
      <c r="E2280" s="14" t="s">
        <v>43</v>
      </c>
    </row>
    <row r="2281" spans="1:5" x14ac:dyDescent="0.25">
      <c r="A2281" s="36">
        <v>2279</v>
      </c>
      <c r="B2281" s="37">
        <v>2093738824</v>
      </c>
      <c r="C2281" s="38">
        <v>0.9749731165240394</v>
      </c>
      <c r="D2281" s="14" t="s">
        <v>2322</v>
      </c>
      <c r="E2281" s="14" t="s">
        <v>46</v>
      </c>
    </row>
    <row r="2282" spans="1:5" x14ac:dyDescent="0.25">
      <c r="A2282" s="36">
        <v>2280</v>
      </c>
      <c r="B2282" s="37">
        <v>1286166874</v>
      </c>
      <c r="C2282" s="38">
        <v>0.5989181225183039</v>
      </c>
      <c r="D2282" s="14" t="s">
        <v>2323</v>
      </c>
      <c r="E2282" s="14" t="s">
        <v>48</v>
      </c>
    </row>
    <row r="2283" spans="1:5" x14ac:dyDescent="0.25">
      <c r="A2283" s="36">
        <v>2281</v>
      </c>
      <c r="B2283" s="37">
        <v>1417383715</v>
      </c>
      <c r="C2283" s="38">
        <v>0.66002072564327197</v>
      </c>
      <c r="D2283" s="14" t="s">
        <v>2324</v>
      </c>
      <c r="E2283" s="14" t="s">
        <v>37</v>
      </c>
    </row>
    <row r="2284" spans="1:5" x14ac:dyDescent="0.25">
      <c r="A2284" s="36">
        <v>2282</v>
      </c>
      <c r="B2284" s="37">
        <v>1010363811</v>
      </c>
      <c r="C2284" s="38">
        <v>0.47048731309850111</v>
      </c>
      <c r="D2284" s="14" t="s">
        <v>2325</v>
      </c>
      <c r="E2284" s="14" t="s">
        <v>40</v>
      </c>
    </row>
    <row r="2285" spans="1:5" x14ac:dyDescent="0.25">
      <c r="A2285" s="36">
        <v>2283</v>
      </c>
      <c r="B2285" s="37">
        <v>788064712</v>
      </c>
      <c r="C2285" s="38">
        <v>0.3669712284426071</v>
      </c>
      <c r="D2285" s="14" t="s">
        <v>2326</v>
      </c>
      <c r="E2285" s="14" t="s">
        <v>43</v>
      </c>
    </row>
    <row r="2286" spans="1:5" x14ac:dyDescent="0.25">
      <c r="A2286" s="36">
        <v>2284</v>
      </c>
      <c r="B2286" s="37">
        <v>550098072</v>
      </c>
      <c r="C2286" s="38">
        <v>0.25615937647230896</v>
      </c>
      <c r="D2286" s="14" t="s">
        <v>2327</v>
      </c>
      <c r="E2286" s="14" t="s">
        <v>46</v>
      </c>
    </row>
    <row r="2287" spans="1:5" x14ac:dyDescent="0.25">
      <c r="A2287" s="36">
        <v>2285</v>
      </c>
      <c r="B2287" s="37">
        <v>339857575</v>
      </c>
      <c r="C2287" s="38">
        <v>0.1582585159494814</v>
      </c>
      <c r="D2287" s="14" t="s">
        <v>2328</v>
      </c>
      <c r="E2287" s="14" t="s">
        <v>48</v>
      </c>
    </row>
    <row r="2288" spans="1:5" x14ac:dyDescent="0.25">
      <c r="A2288" s="36">
        <v>2286</v>
      </c>
      <c r="B2288" s="37">
        <v>1564220123</v>
      </c>
      <c r="C2288" s="38">
        <v>0.72839675644803636</v>
      </c>
      <c r="D2288" s="14" t="s">
        <v>2329</v>
      </c>
      <c r="E2288" s="14" t="s">
        <v>37</v>
      </c>
    </row>
    <row r="2289" spans="1:5" x14ac:dyDescent="0.25">
      <c r="A2289" s="36">
        <v>2287</v>
      </c>
      <c r="B2289" s="37">
        <v>178590353</v>
      </c>
      <c r="C2289" s="38">
        <v>8.316261371744918E-2</v>
      </c>
      <c r="D2289" s="14" t="s">
        <v>2330</v>
      </c>
      <c r="E2289" s="14" t="s">
        <v>40</v>
      </c>
    </row>
    <row r="2290" spans="1:5" x14ac:dyDescent="0.25">
      <c r="A2290" s="36">
        <v>2288</v>
      </c>
      <c r="B2290" s="37">
        <v>1549911926</v>
      </c>
      <c r="C2290" s="38">
        <v>0.72173398301086111</v>
      </c>
      <c r="D2290" s="14" t="s">
        <v>2331</v>
      </c>
      <c r="E2290" s="14" t="s">
        <v>43</v>
      </c>
    </row>
    <row r="2291" spans="1:5" x14ac:dyDescent="0.25">
      <c r="A2291" s="36">
        <v>2289</v>
      </c>
      <c r="B2291" s="37">
        <v>1568107805</v>
      </c>
      <c r="C2291" s="38">
        <v>0.73020709945364259</v>
      </c>
      <c r="D2291" s="14" t="s">
        <v>2332</v>
      </c>
      <c r="E2291" s="14" t="s">
        <v>46</v>
      </c>
    </row>
    <row r="2292" spans="1:5" x14ac:dyDescent="0.25">
      <c r="A2292" s="36">
        <v>2290</v>
      </c>
      <c r="B2292" s="37">
        <v>954242992</v>
      </c>
      <c r="C2292" s="38">
        <v>0.44435402026602722</v>
      </c>
      <c r="D2292" s="14" t="s">
        <v>2333</v>
      </c>
      <c r="E2292" s="14" t="s">
        <v>48</v>
      </c>
    </row>
    <row r="2293" spans="1:5" x14ac:dyDescent="0.25">
      <c r="A2293" s="36">
        <v>2291</v>
      </c>
      <c r="B2293" s="37">
        <v>1820463237</v>
      </c>
      <c r="C2293" s="38">
        <v>0.84771925483258403</v>
      </c>
      <c r="D2293" s="14" t="s">
        <v>2334</v>
      </c>
      <c r="E2293" s="14" t="s">
        <v>37</v>
      </c>
    </row>
    <row r="2294" spans="1:5" x14ac:dyDescent="0.25">
      <c r="A2294" s="36">
        <v>2292</v>
      </c>
      <c r="B2294" s="37">
        <v>783372298</v>
      </c>
      <c r="C2294" s="38">
        <v>0.36478615289776872</v>
      </c>
      <c r="D2294" s="14" t="s">
        <v>2335</v>
      </c>
      <c r="E2294" s="14" t="s">
        <v>40</v>
      </c>
    </row>
    <row r="2295" spans="1:5" x14ac:dyDescent="0.25">
      <c r="A2295" s="36">
        <v>2293</v>
      </c>
      <c r="B2295" s="37">
        <v>307708861</v>
      </c>
      <c r="C2295" s="38">
        <v>0.14328810439598191</v>
      </c>
      <c r="D2295" s="14" t="s">
        <v>2336</v>
      </c>
      <c r="E2295" s="14" t="s">
        <v>43</v>
      </c>
    </row>
    <row r="2296" spans="1:5" x14ac:dyDescent="0.25">
      <c r="A2296" s="36">
        <v>2294</v>
      </c>
      <c r="B2296" s="37">
        <v>223565219</v>
      </c>
      <c r="C2296" s="38">
        <v>0.10410566772525463</v>
      </c>
      <c r="D2296" s="14" t="s">
        <v>2337</v>
      </c>
      <c r="E2296" s="14" t="s">
        <v>46</v>
      </c>
    </row>
    <row r="2297" spans="1:5" x14ac:dyDescent="0.25">
      <c r="A2297" s="36">
        <v>2295</v>
      </c>
      <c r="B2297" s="37">
        <v>2058806156</v>
      </c>
      <c r="C2297" s="38">
        <v>0.9587063253664907</v>
      </c>
      <c r="D2297" s="14" t="s">
        <v>2338</v>
      </c>
      <c r="E2297" s="14" t="s">
        <v>48</v>
      </c>
    </row>
    <row r="2298" spans="1:5" x14ac:dyDescent="0.25">
      <c r="A2298" s="36">
        <v>2296</v>
      </c>
      <c r="B2298" s="37">
        <v>254190346</v>
      </c>
      <c r="C2298" s="38">
        <v>0.11836660379467839</v>
      </c>
      <c r="D2298" s="14" t="s">
        <v>2339</v>
      </c>
      <c r="E2298" s="14" t="s">
        <v>37</v>
      </c>
    </row>
    <row r="2299" spans="1:5" x14ac:dyDescent="0.25">
      <c r="A2299" s="36">
        <v>2297</v>
      </c>
      <c r="B2299" s="37">
        <v>1381513345</v>
      </c>
      <c r="C2299" s="38">
        <v>0.64331728296508883</v>
      </c>
      <c r="D2299" s="14" t="s">
        <v>2340</v>
      </c>
      <c r="E2299" s="14" t="s">
        <v>40</v>
      </c>
    </row>
    <row r="2300" spans="1:5" x14ac:dyDescent="0.25">
      <c r="A2300" s="36">
        <v>2298</v>
      </c>
      <c r="B2300" s="37">
        <v>370577102</v>
      </c>
      <c r="C2300" s="38">
        <v>0.17256341044444751</v>
      </c>
      <c r="D2300" s="14" t="s">
        <v>2341</v>
      </c>
      <c r="E2300" s="14" t="s">
        <v>43</v>
      </c>
    </row>
    <row r="2301" spans="1:5" x14ac:dyDescent="0.25">
      <c r="A2301" s="36">
        <v>2299</v>
      </c>
      <c r="B2301" s="37">
        <v>1251781081</v>
      </c>
      <c r="C2301" s="38">
        <v>0.58290598987737019</v>
      </c>
      <c r="D2301" s="14" t="s">
        <v>2342</v>
      </c>
      <c r="E2301" s="14" t="s">
        <v>46</v>
      </c>
    </row>
    <row r="2302" spans="1:5" x14ac:dyDescent="0.25">
      <c r="A2302" s="36">
        <v>2300</v>
      </c>
      <c r="B2302" s="37">
        <v>139450234</v>
      </c>
      <c r="C2302" s="38">
        <v>6.493657551004392E-2</v>
      </c>
      <c r="D2302" s="14" t="s">
        <v>2343</v>
      </c>
      <c r="E2302" s="14" t="s">
        <v>48</v>
      </c>
    </row>
    <row r="2303" spans="1:5" x14ac:dyDescent="0.25">
      <c r="A2303" s="36">
        <v>2301</v>
      </c>
      <c r="B2303" s="37">
        <v>54732490</v>
      </c>
      <c r="C2303" s="38">
        <v>2.5486801762826184E-2</v>
      </c>
      <c r="D2303" s="14" t="s">
        <v>2344</v>
      </c>
      <c r="E2303" s="14" t="s">
        <v>37</v>
      </c>
    </row>
    <row r="2304" spans="1:5" x14ac:dyDescent="0.25">
      <c r="A2304" s="36">
        <v>2302</v>
      </c>
      <c r="B2304" s="37">
        <v>1913064792</v>
      </c>
      <c r="C2304" s="38">
        <v>0.89084021416066228</v>
      </c>
      <c r="D2304" s="14" t="s">
        <v>2345</v>
      </c>
      <c r="E2304" s="14" t="s">
        <v>40</v>
      </c>
    </row>
    <row r="2305" spans="1:5" x14ac:dyDescent="0.25">
      <c r="A2305" s="36">
        <v>2303</v>
      </c>
      <c r="B2305" s="37">
        <v>600461601</v>
      </c>
      <c r="C2305" s="38">
        <v>0.27961172223073044</v>
      </c>
      <c r="D2305" s="14" t="s">
        <v>2346</v>
      </c>
      <c r="E2305" s="14" t="s">
        <v>43</v>
      </c>
    </row>
    <row r="2306" spans="1:5" x14ac:dyDescent="0.25">
      <c r="A2306" s="36">
        <v>2304</v>
      </c>
      <c r="B2306" s="37">
        <v>373838361</v>
      </c>
      <c r="C2306" s="38">
        <v>0.17408205250933861</v>
      </c>
      <c r="D2306" s="14" t="s">
        <v>2347</v>
      </c>
      <c r="E2306" s="14" t="s">
        <v>46</v>
      </c>
    </row>
    <row r="2307" spans="1:5" x14ac:dyDescent="0.25">
      <c r="A2307" s="36">
        <v>2305</v>
      </c>
      <c r="B2307" s="37">
        <v>860258440</v>
      </c>
      <c r="C2307" s="38">
        <v>0.40058905277428641</v>
      </c>
      <c r="D2307" s="14" t="s">
        <v>2348</v>
      </c>
      <c r="E2307" s="14" t="s">
        <v>48</v>
      </c>
    </row>
    <row r="2308" spans="1:5" x14ac:dyDescent="0.25">
      <c r="A2308" s="36">
        <v>2306</v>
      </c>
      <c r="B2308" s="37">
        <v>2072762093</v>
      </c>
      <c r="C2308" s="38">
        <v>0.96520506495852254</v>
      </c>
      <c r="D2308" s="14" t="s">
        <v>2349</v>
      </c>
      <c r="E2308" s="14" t="s">
        <v>37</v>
      </c>
    </row>
    <row r="2309" spans="1:5" x14ac:dyDescent="0.25">
      <c r="A2309" s="36">
        <v>2307</v>
      </c>
      <c r="B2309" s="37">
        <v>929615672</v>
      </c>
      <c r="C2309" s="38">
        <v>0.43288603072654736</v>
      </c>
      <c r="D2309" s="14" t="s">
        <v>2350</v>
      </c>
      <c r="E2309" s="14" t="s">
        <v>40</v>
      </c>
    </row>
    <row r="2310" spans="1:5" x14ac:dyDescent="0.25">
      <c r="A2310" s="36">
        <v>2308</v>
      </c>
      <c r="B2310" s="37">
        <v>198494173</v>
      </c>
      <c r="C2310" s="38">
        <v>9.2431052165306657E-2</v>
      </c>
      <c r="D2310" s="14" t="s">
        <v>2351</v>
      </c>
      <c r="E2310" s="14" t="s">
        <v>43</v>
      </c>
    </row>
    <row r="2311" spans="1:5" x14ac:dyDescent="0.25">
      <c r="A2311" s="36">
        <v>2309</v>
      </c>
      <c r="B2311" s="37">
        <v>578191510</v>
      </c>
      <c r="C2311" s="38">
        <v>0.26924140298238092</v>
      </c>
      <c r="D2311" s="14" t="s">
        <v>2352</v>
      </c>
      <c r="E2311" s="14" t="s">
        <v>46</v>
      </c>
    </row>
    <row r="2312" spans="1:5" x14ac:dyDescent="0.25">
      <c r="A2312" s="36">
        <v>2310</v>
      </c>
      <c r="B2312" s="37">
        <v>1113331100</v>
      </c>
      <c r="C2312" s="38">
        <v>0.51843519346715661</v>
      </c>
      <c r="D2312" s="14" t="s">
        <v>2353</v>
      </c>
      <c r="E2312" s="14" t="s">
        <v>48</v>
      </c>
    </row>
    <row r="2313" spans="1:5" x14ac:dyDescent="0.25">
      <c r="A2313" s="36">
        <v>2311</v>
      </c>
      <c r="B2313" s="37">
        <v>1744920367</v>
      </c>
      <c r="C2313" s="38">
        <v>0.81254186472508216</v>
      </c>
      <c r="D2313" s="14" t="s">
        <v>2354</v>
      </c>
      <c r="E2313" s="14" t="s">
        <v>37</v>
      </c>
    </row>
    <row r="2314" spans="1:5" x14ac:dyDescent="0.25">
      <c r="A2314" s="36">
        <v>2312</v>
      </c>
      <c r="B2314" s="37">
        <v>1545151986</v>
      </c>
      <c r="C2314" s="38">
        <v>0.71951746322192134</v>
      </c>
      <c r="D2314" s="14" t="s">
        <v>2355</v>
      </c>
      <c r="E2314" s="14" t="s">
        <v>40</v>
      </c>
    </row>
    <row r="2315" spans="1:5" x14ac:dyDescent="0.25">
      <c r="A2315" s="36">
        <v>2313</v>
      </c>
      <c r="B2315" s="37">
        <v>596153088</v>
      </c>
      <c r="C2315" s="38">
        <v>0.27760541451983406</v>
      </c>
      <c r="D2315" s="14" t="s">
        <v>2356</v>
      </c>
      <c r="E2315" s="14" t="s">
        <v>43</v>
      </c>
    </row>
    <row r="2316" spans="1:5" x14ac:dyDescent="0.25">
      <c r="A2316" s="36">
        <v>2314</v>
      </c>
      <c r="B2316" s="37">
        <v>1341618016</v>
      </c>
      <c r="C2316" s="38">
        <v>0.62473957269673219</v>
      </c>
      <c r="D2316" s="14" t="s">
        <v>2357</v>
      </c>
      <c r="E2316" s="14" t="s">
        <v>46</v>
      </c>
    </row>
    <row r="2317" spans="1:5" x14ac:dyDescent="0.25">
      <c r="A2317" s="36">
        <v>2315</v>
      </c>
      <c r="B2317" s="37">
        <v>234889558</v>
      </c>
      <c r="C2317" s="38">
        <v>0.10937897400435943</v>
      </c>
      <c r="D2317" s="14" t="s">
        <v>2358</v>
      </c>
      <c r="E2317" s="14" t="s">
        <v>48</v>
      </c>
    </row>
    <row r="2318" spans="1:5" x14ac:dyDescent="0.25">
      <c r="A2318" s="36">
        <v>2316</v>
      </c>
      <c r="B2318" s="37">
        <v>1092726765</v>
      </c>
      <c r="C2318" s="38">
        <v>0.50884055230246883</v>
      </c>
      <c r="D2318" s="14" t="s">
        <v>2359</v>
      </c>
      <c r="E2318" s="14" t="s">
        <v>37</v>
      </c>
    </row>
    <row r="2319" spans="1:5" x14ac:dyDescent="0.25">
      <c r="A2319" s="36">
        <v>2317</v>
      </c>
      <c r="B2319" s="37">
        <v>628047082</v>
      </c>
      <c r="C2319" s="38">
        <v>0.29245721283017528</v>
      </c>
      <c r="D2319" s="14" t="s">
        <v>2360</v>
      </c>
      <c r="E2319" s="14" t="s">
        <v>40</v>
      </c>
    </row>
    <row r="2320" spans="1:5" x14ac:dyDescent="0.25">
      <c r="A2320" s="36">
        <v>2318</v>
      </c>
      <c r="B2320" s="37">
        <v>1748743379</v>
      </c>
      <c r="C2320" s="38">
        <v>0.81432209341522399</v>
      </c>
      <c r="D2320" s="14" t="s">
        <v>2361</v>
      </c>
      <c r="E2320" s="14" t="s">
        <v>43</v>
      </c>
    </row>
    <row r="2321" spans="1:5" x14ac:dyDescent="0.25">
      <c r="A2321" s="36">
        <v>2319</v>
      </c>
      <c r="B2321" s="37">
        <v>2050155225</v>
      </c>
      <c r="C2321" s="38">
        <v>0.95467792169874433</v>
      </c>
      <c r="D2321" s="14" t="s">
        <v>2362</v>
      </c>
      <c r="E2321" s="14" t="s">
        <v>46</v>
      </c>
    </row>
    <row r="2322" spans="1:5" x14ac:dyDescent="0.25">
      <c r="A2322" s="36">
        <v>2320</v>
      </c>
      <c r="B2322" s="37">
        <v>1588604353</v>
      </c>
      <c r="C2322" s="38">
        <v>0.73975154838513191</v>
      </c>
      <c r="D2322" s="14" t="s">
        <v>2363</v>
      </c>
      <c r="E2322" s="14" t="s">
        <v>48</v>
      </c>
    </row>
    <row r="2323" spans="1:5" x14ac:dyDescent="0.25">
      <c r="A2323" s="36">
        <v>2321</v>
      </c>
      <c r="B2323" s="37">
        <v>898102803</v>
      </c>
      <c r="C2323" s="38">
        <v>0.41821170757441395</v>
      </c>
      <c r="D2323" s="14" t="s">
        <v>2364</v>
      </c>
      <c r="E2323" s="14" t="s">
        <v>37</v>
      </c>
    </row>
    <row r="2324" spans="1:5" x14ac:dyDescent="0.25">
      <c r="A2324" s="36">
        <v>2322</v>
      </c>
      <c r="B2324" s="37">
        <v>675783570</v>
      </c>
      <c r="C2324" s="38">
        <v>0.31468624729415695</v>
      </c>
      <c r="D2324" s="14" t="s">
        <v>2365</v>
      </c>
      <c r="E2324" s="14" t="s">
        <v>40</v>
      </c>
    </row>
    <row r="2325" spans="1:5" x14ac:dyDescent="0.25">
      <c r="A2325" s="36">
        <v>2323</v>
      </c>
      <c r="B2325" s="37">
        <v>1284008932</v>
      </c>
      <c r="C2325" s="38">
        <v>0.5979132524681805</v>
      </c>
      <c r="D2325" s="14" t="s">
        <v>2366</v>
      </c>
      <c r="E2325" s="14" t="s">
        <v>43</v>
      </c>
    </row>
    <row r="2326" spans="1:5" x14ac:dyDescent="0.25">
      <c r="A2326" s="36">
        <v>2324</v>
      </c>
      <c r="B2326" s="37">
        <v>61633949</v>
      </c>
      <c r="C2326" s="38">
        <v>2.8700544046564282E-2</v>
      </c>
      <c r="D2326" s="14" t="s">
        <v>2367</v>
      </c>
      <c r="E2326" s="14" t="s">
        <v>46</v>
      </c>
    </row>
    <row r="2327" spans="1:5" x14ac:dyDescent="0.25">
      <c r="A2327" s="36">
        <v>2325</v>
      </c>
      <c r="B2327" s="37">
        <v>526595317</v>
      </c>
      <c r="C2327" s="38">
        <v>0.24521505331863419</v>
      </c>
      <c r="D2327" s="14" t="s">
        <v>2368</v>
      </c>
      <c r="E2327" s="14" t="s">
        <v>48</v>
      </c>
    </row>
    <row r="2328" spans="1:5" x14ac:dyDescent="0.25">
      <c r="A2328" s="36">
        <v>2326</v>
      </c>
      <c r="B2328" s="37">
        <v>126188599</v>
      </c>
      <c r="C2328" s="38">
        <v>5.8761145481262891E-2</v>
      </c>
      <c r="D2328" s="14" t="s">
        <v>2369</v>
      </c>
      <c r="E2328" s="14" t="s">
        <v>37</v>
      </c>
    </row>
    <row r="2329" spans="1:5" x14ac:dyDescent="0.25">
      <c r="A2329" s="36">
        <v>2327</v>
      </c>
      <c r="B2329" s="37">
        <v>1863625275</v>
      </c>
      <c r="C2329" s="38">
        <v>0.86781814501984889</v>
      </c>
      <c r="D2329" s="14" t="s">
        <v>2370</v>
      </c>
      <c r="E2329" s="14" t="s">
        <v>40</v>
      </c>
    </row>
    <row r="2330" spans="1:5" x14ac:dyDescent="0.25">
      <c r="A2330" s="36">
        <v>2328</v>
      </c>
      <c r="B2330" s="37">
        <v>1009263863</v>
      </c>
      <c r="C2330" s="38">
        <v>0.46997510989661101</v>
      </c>
      <c r="D2330" s="14" t="s">
        <v>2371</v>
      </c>
      <c r="E2330" s="14" t="s">
        <v>43</v>
      </c>
    </row>
    <row r="2331" spans="1:5" x14ac:dyDescent="0.25">
      <c r="A2331" s="36">
        <v>2329</v>
      </c>
      <c r="B2331" s="37">
        <v>1700670903</v>
      </c>
      <c r="C2331" s="38">
        <v>0.7919366023465696</v>
      </c>
      <c r="D2331" s="14" t="s">
        <v>2372</v>
      </c>
      <c r="E2331" s="14" t="s">
        <v>46</v>
      </c>
    </row>
    <row r="2332" spans="1:5" x14ac:dyDescent="0.25">
      <c r="A2332" s="36">
        <v>2330</v>
      </c>
      <c r="B2332" s="37">
        <v>1600212192</v>
      </c>
      <c r="C2332" s="38">
        <v>0.74515686963924987</v>
      </c>
      <c r="D2332" s="14" t="s">
        <v>2373</v>
      </c>
      <c r="E2332" s="14" t="s">
        <v>48</v>
      </c>
    </row>
    <row r="2333" spans="1:5" x14ac:dyDescent="0.25">
      <c r="A2333" s="36">
        <v>2331</v>
      </c>
      <c r="B2333" s="37">
        <v>1525942219</v>
      </c>
      <c r="C2333" s="38">
        <v>0.71057221838765416</v>
      </c>
      <c r="D2333" s="14" t="s">
        <v>2374</v>
      </c>
      <c r="E2333" s="14" t="s">
        <v>37</v>
      </c>
    </row>
    <row r="2334" spans="1:5" x14ac:dyDescent="0.25">
      <c r="A2334" s="36">
        <v>2332</v>
      </c>
      <c r="B2334" s="37">
        <v>1490241243</v>
      </c>
      <c r="C2334" s="38">
        <v>0.69394765593760999</v>
      </c>
      <c r="D2334" s="14" t="s">
        <v>2375</v>
      </c>
      <c r="E2334" s="14" t="s">
        <v>40</v>
      </c>
    </row>
    <row r="2335" spans="1:5" x14ac:dyDescent="0.25">
      <c r="A2335" s="36">
        <v>2333</v>
      </c>
      <c r="B2335" s="37">
        <v>1490644627</v>
      </c>
      <c r="C2335" s="38">
        <v>0.69413549625041682</v>
      </c>
      <c r="D2335" s="14" t="s">
        <v>2376</v>
      </c>
      <c r="E2335" s="14" t="s">
        <v>43</v>
      </c>
    </row>
    <row r="2336" spans="1:5" x14ac:dyDescent="0.25">
      <c r="A2336" s="36">
        <v>2334</v>
      </c>
      <c r="B2336" s="37">
        <v>771015716</v>
      </c>
      <c r="C2336" s="38">
        <v>0.35903217101424567</v>
      </c>
      <c r="D2336" s="14" t="s">
        <v>2377</v>
      </c>
      <c r="E2336" s="14" t="s">
        <v>46</v>
      </c>
    </row>
    <row r="2337" spans="1:5" x14ac:dyDescent="0.25">
      <c r="A2337" s="36">
        <v>2335</v>
      </c>
      <c r="B2337" s="37">
        <v>1066426277</v>
      </c>
      <c r="C2337" s="38">
        <v>0.49659343319786409</v>
      </c>
      <c r="D2337" s="14" t="s">
        <v>2378</v>
      </c>
      <c r="E2337" s="14" t="s">
        <v>48</v>
      </c>
    </row>
    <row r="2338" spans="1:5" x14ac:dyDescent="0.25">
      <c r="A2338" s="36">
        <v>2336</v>
      </c>
      <c r="B2338" s="37">
        <v>1409886624</v>
      </c>
      <c r="C2338" s="38">
        <v>0.656529620595523</v>
      </c>
      <c r="D2338" s="14" t="s">
        <v>2379</v>
      </c>
      <c r="E2338" s="14" t="s">
        <v>37</v>
      </c>
    </row>
    <row r="2339" spans="1:5" x14ac:dyDescent="0.25">
      <c r="A2339" s="36">
        <v>2337</v>
      </c>
      <c r="B2339" s="37">
        <v>942439753</v>
      </c>
      <c r="C2339" s="38">
        <v>0.43885770879632685</v>
      </c>
      <c r="D2339" s="14" t="s">
        <v>2380</v>
      </c>
      <c r="E2339" s="14" t="s">
        <v>40</v>
      </c>
    </row>
    <row r="2340" spans="1:5" x14ac:dyDescent="0.25">
      <c r="A2340" s="36">
        <v>2338</v>
      </c>
      <c r="B2340" s="37">
        <v>214469518</v>
      </c>
      <c r="C2340" s="38">
        <v>9.9870151886656017E-2</v>
      </c>
      <c r="D2340" s="14" t="s">
        <v>2381</v>
      </c>
      <c r="E2340" s="14" t="s">
        <v>43</v>
      </c>
    </row>
    <row r="2341" spans="1:5" x14ac:dyDescent="0.25">
      <c r="A2341" s="36">
        <v>2339</v>
      </c>
      <c r="B2341" s="37">
        <v>1796810481</v>
      </c>
      <c r="C2341" s="38">
        <v>0.83670508202011928</v>
      </c>
      <c r="D2341" s="14" t="s">
        <v>2382</v>
      </c>
      <c r="E2341" s="14" t="s">
        <v>46</v>
      </c>
    </row>
    <row r="2342" spans="1:5" x14ac:dyDescent="0.25">
      <c r="A2342" s="36">
        <v>2340</v>
      </c>
      <c r="B2342" s="37">
        <v>2144875496</v>
      </c>
      <c r="C2342" s="38">
        <v>0.99878548504728148</v>
      </c>
      <c r="D2342" s="14" t="s">
        <v>2383</v>
      </c>
      <c r="E2342" s="14" t="s">
        <v>48</v>
      </c>
    </row>
    <row r="2343" spans="1:5" x14ac:dyDescent="0.25">
      <c r="A2343" s="36">
        <v>2341</v>
      </c>
      <c r="B2343" s="37">
        <v>1893295182</v>
      </c>
      <c r="C2343" s="38">
        <v>0.88163427211420342</v>
      </c>
      <c r="D2343" s="14" t="s">
        <v>2384</v>
      </c>
      <c r="E2343" s="14" t="s">
        <v>37</v>
      </c>
    </row>
    <row r="2344" spans="1:5" x14ac:dyDescent="0.25">
      <c r="A2344" s="36">
        <v>2342</v>
      </c>
      <c r="B2344" s="37">
        <v>1629782979</v>
      </c>
      <c r="C2344" s="38">
        <v>0.75892684038678504</v>
      </c>
      <c r="D2344" s="14" t="s">
        <v>2385</v>
      </c>
      <c r="E2344" s="14" t="s">
        <v>40</v>
      </c>
    </row>
    <row r="2345" spans="1:5" x14ac:dyDescent="0.25">
      <c r="A2345" s="36">
        <v>2343</v>
      </c>
      <c r="B2345" s="37">
        <v>367500507</v>
      </c>
      <c r="C2345" s="38">
        <v>0.17113075925555582</v>
      </c>
      <c r="D2345" s="14" t="s">
        <v>2386</v>
      </c>
      <c r="E2345" s="14" t="s">
        <v>43</v>
      </c>
    </row>
    <row r="2346" spans="1:5" x14ac:dyDescent="0.25">
      <c r="A2346" s="36">
        <v>2344</v>
      </c>
      <c r="B2346" s="37">
        <v>1930986801</v>
      </c>
      <c r="C2346" s="38">
        <v>0.89918579994662939</v>
      </c>
      <c r="D2346" s="14" t="s">
        <v>2387</v>
      </c>
      <c r="E2346" s="14" t="s">
        <v>46</v>
      </c>
    </row>
    <row r="2347" spans="1:5" x14ac:dyDescent="0.25">
      <c r="A2347" s="36">
        <v>2345</v>
      </c>
      <c r="B2347" s="37">
        <v>1537151849</v>
      </c>
      <c r="C2347" s="38">
        <v>0.71579210912612834</v>
      </c>
      <c r="D2347" s="14" t="s">
        <v>2388</v>
      </c>
      <c r="E2347" s="14" t="s">
        <v>48</v>
      </c>
    </row>
    <row r="2348" spans="1:5" x14ac:dyDescent="0.25">
      <c r="A2348" s="36">
        <v>2346</v>
      </c>
      <c r="B2348" s="37">
        <v>714208210</v>
      </c>
      <c r="C2348" s="38">
        <v>0.3325791146292254</v>
      </c>
      <c r="D2348" s="14" t="s">
        <v>2389</v>
      </c>
      <c r="E2348" s="14" t="s">
        <v>37</v>
      </c>
    </row>
    <row r="2349" spans="1:5" x14ac:dyDescent="0.25">
      <c r="A2349" s="36">
        <v>2347</v>
      </c>
      <c r="B2349" s="37">
        <v>1552446331</v>
      </c>
      <c r="C2349" s="38">
        <v>0.72291415730626984</v>
      </c>
      <c r="D2349" s="14" t="s">
        <v>2390</v>
      </c>
      <c r="E2349" s="14" t="s">
        <v>40</v>
      </c>
    </row>
    <row r="2350" spans="1:5" x14ac:dyDescent="0.25">
      <c r="A2350" s="36">
        <v>2348</v>
      </c>
      <c r="B2350" s="37">
        <v>343224075</v>
      </c>
      <c r="C2350" s="38">
        <v>0.1598261646739329</v>
      </c>
      <c r="D2350" s="14" t="s">
        <v>2391</v>
      </c>
      <c r="E2350" s="14" t="s">
        <v>43</v>
      </c>
    </row>
    <row r="2351" spans="1:5" x14ac:dyDescent="0.25">
      <c r="A2351" s="36">
        <v>2349</v>
      </c>
      <c r="B2351" s="37">
        <v>255313953</v>
      </c>
      <c r="C2351" s="38">
        <v>0.11888982407697003</v>
      </c>
      <c r="D2351" s="14" t="s">
        <v>2392</v>
      </c>
      <c r="E2351" s="14" t="s">
        <v>46</v>
      </c>
    </row>
    <row r="2352" spans="1:5" x14ac:dyDescent="0.25">
      <c r="A2352" s="36">
        <v>2350</v>
      </c>
      <c r="B2352" s="37">
        <v>1195198483</v>
      </c>
      <c r="C2352" s="38">
        <v>0.55655766444120447</v>
      </c>
      <c r="D2352" s="14" t="s">
        <v>2393</v>
      </c>
      <c r="E2352" s="14" t="s">
        <v>48</v>
      </c>
    </row>
    <row r="2353" spans="1:5" x14ac:dyDescent="0.25">
      <c r="A2353" s="36">
        <v>2351</v>
      </c>
      <c r="B2353" s="37">
        <v>1328304410</v>
      </c>
      <c r="C2353" s="38">
        <v>0.61853994178517724</v>
      </c>
      <c r="D2353" s="14" t="s">
        <v>2394</v>
      </c>
      <c r="E2353" s="14" t="s">
        <v>37</v>
      </c>
    </row>
    <row r="2354" spans="1:5" x14ac:dyDescent="0.25">
      <c r="A2354" s="36">
        <v>2352</v>
      </c>
      <c r="B2354" s="37">
        <v>1436099448</v>
      </c>
      <c r="C2354" s="38">
        <v>0.66873591796901821</v>
      </c>
      <c r="D2354" s="14" t="s">
        <v>2395</v>
      </c>
      <c r="E2354" s="14" t="s">
        <v>40</v>
      </c>
    </row>
    <row r="2355" spans="1:5" x14ac:dyDescent="0.25">
      <c r="A2355" s="36">
        <v>2353</v>
      </c>
      <c r="B2355" s="37">
        <v>270568607</v>
      </c>
      <c r="C2355" s="38">
        <v>0.125993325899352</v>
      </c>
      <c r="D2355" s="14" t="s">
        <v>2396</v>
      </c>
      <c r="E2355" s="14" t="s">
        <v>43</v>
      </c>
    </row>
    <row r="2356" spans="1:5" x14ac:dyDescent="0.25">
      <c r="A2356" s="36">
        <v>2354</v>
      </c>
      <c r="B2356" s="37">
        <v>1101505705</v>
      </c>
      <c r="C2356" s="38">
        <v>0.51292856480596982</v>
      </c>
      <c r="D2356" s="14" t="s">
        <v>2397</v>
      </c>
      <c r="E2356" s="14" t="s">
        <v>46</v>
      </c>
    </row>
    <row r="2357" spans="1:5" x14ac:dyDescent="0.25">
      <c r="A2357" s="36">
        <v>2355</v>
      </c>
      <c r="B2357" s="37">
        <v>1914416394</v>
      </c>
      <c r="C2357" s="38">
        <v>0.89146960288820309</v>
      </c>
      <c r="D2357" s="14" t="s">
        <v>2398</v>
      </c>
      <c r="E2357" s="14" t="s">
        <v>48</v>
      </c>
    </row>
    <row r="2358" spans="1:5" x14ac:dyDescent="0.25">
      <c r="A2358" s="36">
        <v>2356</v>
      </c>
      <c r="B2358" s="37">
        <v>1960402242</v>
      </c>
      <c r="C2358" s="38">
        <v>0.9128834320757927</v>
      </c>
      <c r="D2358" s="14" t="s">
        <v>2399</v>
      </c>
      <c r="E2358" s="14" t="s">
        <v>37</v>
      </c>
    </row>
    <row r="2359" spans="1:5" x14ac:dyDescent="0.25">
      <c r="A2359" s="36">
        <v>2357</v>
      </c>
      <c r="B2359" s="37">
        <v>1646930774</v>
      </c>
      <c r="C2359" s="38">
        <v>0.76691190468469261</v>
      </c>
      <c r="D2359" s="14" t="s">
        <v>2400</v>
      </c>
      <c r="E2359" s="14" t="s">
        <v>40</v>
      </c>
    </row>
    <row r="2360" spans="1:5" x14ac:dyDescent="0.25">
      <c r="A2360" s="36">
        <v>2358</v>
      </c>
      <c r="B2360" s="37">
        <v>1095820605</v>
      </c>
      <c r="C2360" s="38">
        <v>0.51028123382026391</v>
      </c>
      <c r="D2360" s="14" t="s">
        <v>2401</v>
      </c>
      <c r="E2360" s="14" t="s">
        <v>43</v>
      </c>
    </row>
    <row r="2361" spans="1:5" x14ac:dyDescent="0.25">
      <c r="A2361" s="36">
        <v>2359</v>
      </c>
      <c r="B2361" s="37">
        <v>736287576</v>
      </c>
      <c r="C2361" s="38">
        <v>0.3428606206285118</v>
      </c>
      <c r="D2361" s="14" t="s">
        <v>2402</v>
      </c>
      <c r="E2361" s="14" t="s">
        <v>46</v>
      </c>
    </row>
    <row r="2362" spans="1:5" x14ac:dyDescent="0.25">
      <c r="A2362" s="36">
        <v>2360</v>
      </c>
      <c r="B2362" s="37">
        <v>1174002723</v>
      </c>
      <c r="C2362" s="38">
        <v>0.54668761954954248</v>
      </c>
      <c r="D2362" s="14" t="s">
        <v>2403</v>
      </c>
      <c r="E2362" s="14" t="s">
        <v>48</v>
      </c>
    </row>
    <row r="2363" spans="1:5" x14ac:dyDescent="0.25">
      <c r="A2363" s="36">
        <v>2361</v>
      </c>
      <c r="B2363" s="37">
        <v>1464726973</v>
      </c>
      <c r="C2363" s="38">
        <v>0.68206664811916029</v>
      </c>
      <c r="D2363" s="14" t="s">
        <v>2404</v>
      </c>
      <c r="E2363" s="14" t="s">
        <v>37</v>
      </c>
    </row>
    <row r="2364" spans="1:5" x14ac:dyDescent="0.25">
      <c r="A2364" s="36">
        <v>2362</v>
      </c>
      <c r="B2364" s="37">
        <v>986975949</v>
      </c>
      <c r="C2364" s="38">
        <v>0.45959649116713391</v>
      </c>
      <c r="D2364" s="14" t="s">
        <v>2405</v>
      </c>
      <c r="E2364" s="14" t="s">
        <v>40</v>
      </c>
    </row>
    <row r="2365" spans="1:5" x14ac:dyDescent="0.25">
      <c r="A2365" s="36">
        <v>2363</v>
      </c>
      <c r="B2365" s="37">
        <v>690621978</v>
      </c>
      <c r="C2365" s="38">
        <v>0.32159591946825195</v>
      </c>
      <c r="D2365" s="14" t="s">
        <v>2406</v>
      </c>
      <c r="E2365" s="14" t="s">
        <v>43</v>
      </c>
    </row>
    <row r="2366" spans="1:5" x14ac:dyDescent="0.25">
      <c r="A2366" s="36">
        <v>2364</v>
      </c>
      <c r="B2366" s="37">
        <v>1975660985</v>
      </c>
      <c r="C2366" s="38">
        <v>0.91998883798717934</v>
      </c>
      <c r="D2366" s="14" t="s">
        <v>2407</v>
      </c>
      <c r="E2366" s="14" t="s">
        <v>46</v>
      </c>
    </row>
    <row r="2367" spans="1:5" x14ac:dyDescent="0.25">
      <c r="A2367" s="36">
        <v>2365</v>
      </c>
      <c r="B2367" s="37">
        <v>1917029780</v>
      </c>
      <c r="C2367" s="38">
        <v>0.89268655557776178</v>
      </c>
      <c r="D2367" s="14" t="s">
        <v>2408</v>
      </c>
      <c r="E2367" s="14" t="s">
        <v>48</v>
      </c>
    </row>
    <row r="2368" spans="1:5" x14ac:dyDescent="0.25">
      <c r="A2368" s="36">
        <v>2366</v>
      </c>
      <c r="B2368" s="37">
        <v>1204865070</v>
      </c>
      <c r="C2368" s="38">
        <v>0.56105901978959283</v>
      </c>
      <c r="D2368" s="14" t="s">
        <v>2409</v>
      </c>
      <c r="E2368" s="14" t="s">
        <v>37</v>
      </c>
    </row>
    <row r="2369" spans="1:5" x14ac:dyDescent="0.25">
      <c r="A2369" s="36">
        <v>2367</v>
      </c>
      <c r="B2369" s="37">
        <v>509063614</v>
      </c>
      <c r="C2369" s="38">
        <v>0.23705121792715564</v>
      </c>
      <c r="D2369" s="14" t="s">
        <v>2410</v>
      </c>
      <c r="E2369" s="14" t="s">
        <v>40</v>
      </c>
    </row>
    <row r="2370" spans="1:5" x14ac:dyDescent="0.25">
      <c r="A2370" s="36">
        <v>2368</v>
      </c>
      <c r="B2370" s="37">
        <v>323531607</v>
      </c>
      <c r="C2370" s="38">
        <v>0.15065614467051633</v>
      </c>
      <c r="D2370" s="14" t="s">
        <v>2411</v>
      </c>
      <c r="E2370" s="14" t="s">
        <v>43</v>
      </c>
    </row>
    <row r="2371" spans="1:5" x14ac:dyDescent="0.25">
      <c r="A2371" s="36">
        <v>2369</v>
      </c>
      <c r="B2371" s="37">
        <v>840404061</v>
      </c>
      <c r="C2371" s="38">
        <v>0.39134363708614539</v>
      </c>
      <c r="D2371" s="14" t="s">
        <v>2412</v>
      </c>
      <c r="E2371" s="14" t="s">
        <v>46</v>
      </c>
    </row>
    <row r="2372" spans="1:5" x14ac:dyDescent="0.25">
      <c r="A2372" s="36">
        <v>2370</v>
      </c>
      <c r="B2372" s="37">
        <v>1588400801</v>
      </c>
      <c r="C2372" s="38">
        <v>0.73965676209873366</v>
      </c>
      <c r="D2372" s="14" t="s">
        <v>2413</v>
      </c>
      <c r="E2372" s="14" t="s">
        <v>48</v>
      </c>
    </row>
    <row r="2373" spans="1:5" x14ac:dyDescent="0.25">
      <c r="A2373" s="36">
        <v>2371</v>
      </c>
      <c r="B2373" s="37">
        <v>1383126229</v>
      </c>
      <c r="C2373" s="38">
        <v>0.64406834060515661</v>
      </c>
      <c r="D2373" s="14" t="s">
        <v>2414</v>
      </c>
      <c r="E2373" s="14" t="s">
        <v>37</v>
      </c>
    </row>
    <row r="2374" spans="1:5" x14ac:dyDescent="0.25">
      <c r="A2374" s="36">
        <v>2372</v>
      </c>
      <c r="B2374" s="37">
        <v>701758452</v>
      </c>
      <c r="C2374" s="38">
        <v>0.32678174428957596</v>
      </c>
      <c r="D2374" s="14" t="s">
        <v>2415</v>
      </c>
      <c r="E2374" s="14" t="s">
        <v>40</v>
      </c>
    </row>
    <row r="2375" spans="1:5" x14ac:dyDescent="0.25">
      <c r="A2375" s="36">
        <v>2373</v>
      </c>
      <c r="B2375" s="37">
        <v>1836204931</v>
      </c>
      <c r="C2375" s="38">
        <v>0.85504955232844204</v>
      </c>
      <c r="D2375" s="14" t="s">
        <v>2416</v>
      </c>
      <c r="E2375" s="14" t="s">
        <v>43</v>
      </c>
    </row>
    <row r="2376" spans="1:5" x14ac:dyDescent="0.25">
      <c r="A2376" s="36">
        <v>2374</v>
      </c>
      <c r="B2376" s="37">
        <v>1778600601</v>
      </c>
      <c r="C2376" s="38">
        <v>0.82822544585365121</v>
      </c>
      <c r="D2376" s="14" t="s">
        <v>2417</v>
      </c>
      <c r="E2376" s="14" t="s">
        <v>46</v>
      </c>
    </row>
    <row r="2377" spans="1:5" x14ac:dyDescent="0.25">
      <c r="A2377" s="36">
        <v>2375</v>
      </c>
      <c r="B2377" s="37">
        <v>928562254</v>
      </c>
      <c r="C2377" s="38">
        <v>0.43239549474436578</v>
      </c>
      <c r="D2377" s="14" t="s">
        <v>2418</v>
      </c>
      <c r="E2377" s="14" t="s">
        <v>48</v>
      </c>
    </row>
    <row r="2378" spans="1:5" x14ac:dyDescent="0.25">
      <c r="A2378" s="36">
        <v>2376</v>
      </c>
      <c r="B2378" s="37">
        <v>1252037322</v>
      </c>
      <c r="C2378" s="38">
        <v>0.58302531139134672</v>
      </c>
      <c r="D2378" s="14" t="s">
        <v>2419</v>
      </c>
      <c r="E2378" s="14" t="s">
        <v>37</v>
      </c>
    </row>
    <row r="2379" spans="1:5" x14ac:dyDescent="0.25">
      <c r="A2379" s="36">
        <v>2377</v>
      </c>
      <c r="B2379" s="37">
        <v>1457238653</v>
      </c>
      <c r="C2379" s="38">
        <v>0.67857962738656419</v>
      </c>
      <c r="D2379" s="14" t="s">
        <v>2420</v>
      </c>
      <c r="E2379" s="14" t="s">
        <v>40</v>
      </c>
    </row>
    <row r="2380" spans="1:5" x14ac:dyDescent="0.25">
      <c r="A2380" s="36">
        <v>2378</v>
      </c>
      <c r="B2380" s="37">
        <v>486215137</v>
      </c>
      <c r="C2380" s="38">
        <v>0.22641156670935991</v>
      </c>
      <c r="D2380" s="14" t="s">
        <v>2421</v>
      </c>
      <c r="E2380" s="14" t="s">
        <v>43</v>
      </c>
    </row>
    <row r="2381" spans="1:5" x14ac:dyDescent="0.25">
      <c r="A2381" s="36">
        <v>2379</v>
      </c>
      <c r="B2381" s="37">
        <v>397741552</v>
      </c>
      <c r="C2381" s="38">
        <v>0.18521284320634457</v>
      </c>
      <c r="D2381" s="14" t="s">
        <v>2422</v>
      </c>
      <c r="E2381" s="14" t="s">
        <v>46</v>
      </c>
    </row>
    <row r="2382" spans="1:5" x14ac:dyDescent="0.25">
      <c r="A2382" s="36">
        <v>2380</v>
      </c>
      <c r="B2382" s="37">
        <v>1889729746</v>
      </c>
      <c r="C2382" s="38">
        <v>0.87997398659585691</v>
      </c>
      <c r="D2382" s="14" t="s">
        <v>2423</v>
      </c>
      <c r="E2382" s="14" t="s">
        <v>48</v>
      </c>
    </row>
    <row r="2383" spans="1:5" x14ac:dyDescent="0.25">
      <c r="A2383" s="36">
        <v>2381</v>
      </c>
      <c r="B2383" s="37">
        <v>369741740</v>
      </c>
      <c r="C2383" s="38">
        <v>0.17217441469997838</v>
      </c>
      <c r="D2383" s="14" t="s">
        <v>2424</v>
      </c>
      <c r="E2383" s="14" t="s">
        <v>37</v>
      </c>
    </row>
    <row r="2384" spans="1:5" x14ac:dyDescent="0.25">
      <c r="A2384" s="36">
        <v>2382</v>
      </c>
      <c r="B2384" s="37">
        <v>192767640</v>
      </c>
      <c r="C2384" s="38">
        <v>8.9764427435474664E-2</v>
      </c>
      <c r="D2384" s="14" t="s">
        <v>2425</v>
      </c>
      <c r="E2384" s="14" t="s">
        <v>40</v>
      </c>
    </row>
    <row r="2385" spans="1:5" x14ac:dyDescent="0.25">
      <c r="A2385" s="36">
        <v>2383</v>
      </c>
      <c r="B2385" s="37">
        <v>1300758718</v>
      </c>
      <c r="C2385" s="38">
        <v>0.60571297938270163</v>
      </c>
      <c r="D2385" s="14" t="s">
        <v>2426</v>
      </c>
      <c r="E2385" s="14" t="s">
        <v>43</v>
      </c>
    </row>
    <row r="2386" spans="1:5" x14ac:dyDescent="0.25">
      <c r="A2386" s="36">
        <v>2384</v>
      </c>
      <c r="B2386" s="37">
        <v>1866470245</v>
      </c>
      <c r="C2386" s="38">
        <v>0.86914293741301774</v>
      </c>
      <c r="D2386" s="14" t="s">
        <v>2427</v>
      </c>
      <c r="E2386" s="14" t="s">
        <v>46</v>
      </c>
    </row>
    <row r="2387" spans="1:5" x14ac:dyDescent="0.25">
      <c r="A2387" s="36">
        <v>2385</v>
      </c>
      <c r="B2387" s="37">
        <v>1331511478</v>
      </c>
      <c r="C2387" s="38">
        <v>0.62003334919923603</v>
      </c>
      <c r="D2387" s="14" t="s">
        <v>2428</v>
      </c>
      <c r="E2387" s="14" t="s">
        <v>48</v>
      </c>
    </row>
    <row r="2388" spans="1:5" x14ac:dyDescent="0.25">
      <c r="A2388" s="36">
        <v>2386</v>
      </c>
      <c r="B2388" s="37">
        <v>1036615706</v>
      </c>
      <c r="C2388" s="38">
        <v>0.48271180432416116</v>
      </c>
      <c r="D2388" s="14" t="s">
        <v>2429</v>
      </c>
      <c r="E2388" s="14" t="s">
        <v>37</v>
      </c>
    </row>
    <row r="2389" spans="1:5" x14ac:dyDescent="0.25">
      <c r="A2389" s="36">
        <v>2387</v>
      </c>
      <c r="B2389" s="37">
        <v>726340431</v>
      </c>
      <c r="C2389" s="38">
        <v>0.33822862028061812</v>
      </c>
      <c r="D2389" s="14" t="s">
        <v>2430</v>
      </c>
      <c r="E2389" s="14" t="s">
        <v>40</v>
      </c>
    </row>
    <row r="2390" spans="1:5" x14ac:dyDescent="0.25">
      <c r="A2390" s="36">
        <v>2388</v>
      </c>
      <c r="B2390" s="37">
        <v>1001389968</v>
      </c>
      <c r="C2390" s="38">
        <v>0.46630854181307768</v>
      </c>
      <c r="D2390" s="14" t="s">
        <v>2431</v>
      </c>
      <c r="E2390" s="14" t="s">
        <v>43</v>
      </c>
    </row>
    <row r="2391" spans="1:5" x14ac:dyDescent="0.25">
      <c r="A2391" s="36">
        <v>2389</v>
      </c>
      <c r="B2391" s="37">
        <v>1498293669</v>
      </c>
      <c r="C2391" s="38">
        <v>0.69769735899646645</v>
      </c>
      <c r="D2391" s="14" t="s">
        <v>2432</v>
      </c>
      <c r="E2391" s="14" t="s">
        <v>46</v>
      </c>
    </row>
    <row r="2392" spans="1:5" x14ac:dyDescent="0.25">
      <c r="A2392" s="36">
        <v>2390</v>
      </c>
      <c r="B2392" s="37">
        <v>362107703</v>
      </c>
      <c r="C2392" s="38">
        <v>0.1686195392015481</v>
      </c>
      <c r="D2392" s="14" t="s">
        <v>2433</v>
      </c>
      <c r="E2392" s="14" t="s">
        <v>48</v>
      </c>
    </row>
    <row r="2393" spans="1:5" x14ac:dyDescent="0.25">
      <c r="A2393" s="36">
        <v>2391</v>
      </c>
      <c r="B2393" s="37">
        <v>1955553161</v>
      </c>
      <c r="C2393" s="38">
        <v>0.91062540277402171</v>
      </c>
      <c r="D2393" s="14" t="s">
        <v>2434</v>
      </c>
      <c r="E2393" s="14" t="s">
        <v>37</v>
      </c>
    </row>
    <row r="2394" spans="1:5" x14ac:dyDescent="0.25">
      <c r="A2394" s="36">
        <v>2392</v>
      </c>
      <c r="B2394" s="37">
        <v>473924675</v>
      </c>
      <c r="C2394" s="38">
        <v>0.220688374350168</v>
      </c>
      <c r="D2394" s="14" t="s">
        <v>2435</v>
      </c>
      <c r="E2394" s="14" t="s">
        <v>40</v>
      </c>
    </row>
    <row r="2395" spans="1:5" x14ac:dyDescent="0.25">
      <c r="A2395" s="36">
        <v>2393</v>
      </c>
      <c r="B2395" s="37">
        <v>1693185971</v>
      </c>
      <c r="C2395" s="38">
        <v>0.78845115927441567</v>
      </c>
      <c r="D2395" s="14" t="s">
        <v>2436</v>
      </c>
      <c r="E2395" s="14" t="s">
        <v>43</v>
      </c>
    </row>
    <row r="2396" spans="1:5" x14ac:dyDescent="0.25">
      <c r="A2396" s="36">
        <v>2394</v>
      </c>
      <c r="B2396" s="37">
        <v>296411139</v>
      </c>
      <c r="C2396" s="38">
        <v>0.13802719262336716</v>
      </c>
      <c r="D2396" s="14" t="s">
        <v>2437</v>
      </c>
      <c r="E2396" s="14" t="s">
        <v>46</v>
      </c>
    </row>
    <row r="2397" spans="1:5" x14ac:dyDescent="0.25">
      <c r="A2397" s="36">
        <v>2395</v>
      </c>
      <c r="B2397" s="37">
        <v>397149948</v>
      </c>
      <c r="C2397" s="38">
        <v>0.18493735612599987</v>
      </c>
      <c r="D2397" s="14" t="s">
        <v>2438</v>
      </c>
      <c r="E2397" s="14" t="s">
        <v>48</v>
      </c>
    </row>
    <row r="2398" spans="1:5" x14ac:dyDescent="0.25">
      <c r="A2398" s="36">
        <v>2396</v>
      </c>
      <c r="B2398" s="37">
        <v>697591972</v>
      </c>
      <c r="C2398" s="38">
        <v>0.32484157584833057</v>
      </c>
      <c r="D2398" s="14" t="s">
        <v>2439</v>
      </c>
      <c r="E2398" s="14" t="s">
        <v>37</v>
      </c>
    </row>
    <row r="2399" spans="1:5" x14ac:dyDescent="0.25">
      <c r="A2399" s="36">
        <v>2397</v>
      </c>
      <c r="B2399" s="37">
        <v>850779094</v>
      </c>
      <c r="C2399" s="38">
        <v>0.39617488831103542</v>
      </c>
      <c r="D2399" s="14" t="s">
        <v>2440</v>
      </c>
      <c r="E2399" s="14" t="s">
        <v>40</v>
      </c>
    </row>
    <row r="2400" spans="1:5" x14ac:dyDescent="0.25">
      <c r="A2400" s="36">
        <v>2398</v>
      </c>
      <c r="B2400" s="37">
        <v>1026715952</v>
      </c>
      <c r="C2400" s="38">
        <v>0.47810187213034455</v>
      </c>
      <c r="D2400" s="14" t="s">
        <v>2441</v>
      </c>
      <c r="E2400" s="14" t="s">
        <v>43</v>
      </c>
    </row>
    <row r="2401" spans="1:5" x14ac:dyDescent="0.25">
      <c r="A2401" s="36">
        <v>2399</v>
      </c>
      <c r="B2401" s="37">
        <v>2127820659</v>
      </c>
      <c r="C2401" s="38">
        <v>0.99084370769133967</v>
      </c>
      <c r="D2401" s="14" t="s">
        <v>2442</v>
      </c>
      <c r="E2401" s="14" t="s">
        <v>46</v>
      </c>
    </row>
    <row r="2402" spans="1:5" x14ac:dyDescent="0.25">
      <c r="A2402" s="36">
        <v>2400</v>
      </c>
      <c r="B2402" s="37">
        <v>1277067450</v>
      </c>
      <c r="C2402" s="38">
        <v>0.59468087302273176</v>
      </c>
      <c r="D2402" s="14" t="s">
        <v>2443</v>
      </c>
      <c r="E2402" s="14" t="s">
        <v>48</v>
      </c>
    </row>
    <row r="2403" spans="1:5" x14ac:dyDescent="0.25">
      <c r="A2403" s="36">
        <v>2401</v>
      </c>
      <c r="B2403" s="37">
        <v>1400812406</v>
      </c>
      <c r="C2403" s="38">
        <v>0.65230410855836429</v>
      </c>
      <c r="D2403" s="14" t="s">
        <v>2444</v>
      </c>
      <c r="E2403" s="14" t="s">
        <v>37</v>
      </c>
    </row>
    <row r="2404" spans="1:5" x14ac:dyDescent="0.25">
      <c r="A2404" s="36">
        <v>2402</v>
      </c>
      <c r="B2404" s="37">
        <v>2079696301</v>
      </c>
      <c r="C2404" s="38">
        <v>0.96843405718376585</v>
      </c>
      <c r="D2404" s="14" t="s">
        <v>2445</v>
      </c>
      <c r="E2404" s="14" t="s">
        <v>40</v>
      </c>
    </row>
    <row r="2405" spans="1:5" x14ac:dyDescent="0.25">
      <c r="A2405" s="36">
        <v>2403</v>
      </c>
      <c r="B2405" s="37">
        <v>367584247</v>
      </c>
      <c r="C2405" s="38">
        <v>0.17116975373177312</v>
      </c>
      <c r="D2405" s="14" t="s">
        <v>2446</v>
      </c>
      <c r="E2405" s="14" t="s">
        <v>43</v>
      </c>
    </row>
    <row r="2406" spans="1:5" x14ac:dyDescent="0.25">
      <c r="A2406" s="36">
        <v>2404</v>
      </c>
      <c r="B2406" s="37">
        <v>1731873246</v>
      </c>
      <c r="C2406" s="38">
        <v>0.80646632556173314</v>
      </c>
      <c r="D2406" s="14" t="s">
        <v>2447</v>
      </c>
      <c r="E2406" s="14" t="s">
        <v>46</v>
      </c>
    </row>
    <row r="2407" spans="1:5" x14ac:dyDescent="0.25">
      <c r="A2407" s="36">
        <v>2405</v>
      </c>
      <c r="B2407" s="37">
        <v>1788191572</v>
      </c>
      <c r="C2407" s="38">
        <v>0.83269158975812219</v>
      </c>
      <c r="D2407" s="14" t="s">
        <v>2448</v>
      </c>
      <c r="E2407" s="14" t="s">
        <v>48</v>
      </c>
    </row>
    <row r="2408" spans="1:5" x14ac:dyDescent="0.25">
      <c r="A2408" s="36">
        <v>2406</v>
      </c>
      <c r="B2408" s="37">
        <v>946134231</v>
      </c>
      <c r="C2408" s="38">
        <v>0.44057808417853811</v>
      </c>
      <c r="D2408" s="14" t="s">
        <v>2449</v>
      </c>
      <c r="E2408" s="14" t="s">
        <v>37</v>
      </c>
    </row>
    <row r="2409" spans="1:5" x14ac:dyDescent="0.25">
      <c r="A2409" s="36">
        <v>2407</v>
      </c>
      <c r="B2409" s="37">
        <v>1519781107</v>
      </c>
      <c r="C2409" s="38">
        <v>0.70770322704115096</v>
      </c>
      <c r="D2409" s="14" t="s">
        <v>2450</v>
      </c>
      <c r="E2409" s="14" t="s">
        <v>40</v>
      </c>
    </row>
    <row r="2410" spans="1:5" x14ac:dyDescent="0.25">
      <c r="A2410" s="36">
        <v>2408</v>
      </c>
      <c r="B2410" s="37">
        <v>399703868</v>
      </c>
      <c r="C2410" s="38">
        <v>0.18612661780143464</v>
      </c>
      <c r="D2410" s="14" t="s">
        <v>2451</v>
      </c>
      <c r="E2410" s="14" t="s">
        <v>43</v>
      </c>
    </row>
    <row r="2411" spans="1:5" x14ac:dyDescent="0.25">
      <c r="A2411" s="36">
        <v>2409</v>
      </c>
      <c r="B2411" s="37">
        <v>1891142559</v>
      </c>
      <c r="C2411" s="38">
        <v>0.88063187891646844</v>
      </c>
      <c r="D2411" s="14" t="s">
        <v>2452</v>
      </c>
      <c r="E2411" s="14" t="s">
        <v>46</v>
      </c>
    </row>
    <row r="2412" spans="1:5" x14ac:dyDescent="0.25">
      <c r="A2412" s="36">
        <v>2410</v>
      </c>
      <c r="B2412" s="37">
        <v>537707100</v>
      </c>
      <c r="C2412" s="38">
        <v>0.25038938049710791</v>
      </c>
      <c r="D2412" s="14" t="s">
        <v>2453</v>
      </c>
      <c r="E2412" s="14" t="s">
        <v>48</v>
      </c>
    </row>
    <row r="2413" spans="1:5" x14ac:dyDescent="0.25">
      <c r="A2413" s="36">
        <v>2411</v>
      </c>
      <c r="B2413" s="37">
        <v>1837618710</v>
      </c>
      <c r="C2413" s="38">
        <v>0.85570789447785722</v>
      </c>
      <c r="D2413" s="14" t="s">
        <v>2454</v>
      </c>
      <c r="E2413" s="14" t="s">
        <v>37</v>
      </c>
    </row>
    <row r="2414" spans="1:5" x14ac:dyDescent="0.25">
      <c r="A2414" s="36">
        <v>2412</v>
      </c>
      <c r="B2414" s="37">
        <v>1407013464</v>
      </c>
      <c r="C2414" s="38">
        <v>0.65519170121065884</v>
      </c>
      <c r="D2414" s="14" t="s">
        <v>2455</v>
      </c>
      <c r="E2414" s="14" t="s">
        <v>40</v>
      </c>
    </row>
    <row r="2415" spans="1:5" x14ac:dyDescent="0.25">
      <c r="A2415" s="36">
        <v>2413</v>
      </c>
      <c r="B2415" s="37">
        <v>941872622</v>
      </c>
      <c r="C2415" s="38">
        <v>0.43859361784467177</v>
      </c>
      <c r="D2415" s="14" t="s">
        <v>2456</v>
      </c>
      <c r="E2415" s="14" t="s">
        <v>43</v>
      </c>
    </row>
    <row r="2416" spans="1:5" x14ac:dyDescent="0.25">
      <c r="A2416" s="36">
        <v>2414</v>
      </c>
      <c r="B2416" s="37">
        <v>1103546423</v>
      </c>
      <c r="C2416" s="38">
        <v>0.51387884817732443</v>
      </c>
      <c r="D2416" s="14" t="s">
        <v>2457</v>
      </c>
      <c r="E2416" s="14" t="s">
        <v>46</v>
      </c>
    </row>
    <row r="2417" spans="1:5" x14ac:dyDescent="0.25">
      <c r="A2417" s="36">
        <v>2415</v>
      </c>
      <c r="B2417" s="37">
        <v>1421415790</v>
      </c>
      <c r="C2417" s="38">
        <v>0.66189830687916762</v>
      </c>
      <c r="D2417" s="14" t="s">
        <v>2458</v>
      </c>
      <c r="E2417" s="14" t="s">
        <v>48</v>
      </c>
    </row>
    <row r="2418" spans="1:5" x14ac:dyDescent="0.25">
      <c r="A2418" s="36">
        <v>2416</v>
      </c>
      <c r="B2418" s="37">
        <v>1613606311</v>
      </c>
      <c r="C2418" s="38">
        <v>0.75139399233804738</v>
      </c>
      <c r="D2418" s="14" t="s">
        <v>2459</v>
      </c>
      <c r="E2418" s="14" t="s">
        <v>37</v>
      </c>
    </row>
    <row r="2419" spans="1:5" x14ac:dyDescent="0.25">
      <c r="A2419" s="36">
        <v>2417</v>
      </c>
      <c r="B2419" s="37">
        <v>1196647540</v>
      </c>
      <c r="C2419" s="38">
        <v>0.55723243418952095</v>
      </c>
      <c r="D2419" s="14" t="s">
        <v>2460</v>
      </c>
      <c r="E2419" s="14" t="s">
        <v>40</v>
      </c>
    </row>
    <row r="2420" spans="1:5" x14ac:dyDescent="0.25">
      <c r="A2420" s="36">
        <v>2418</v>
      </c>
      <c r="B2420" s="37">
        <v>1695771754</v>
      </c>
      <c r="C2420" s="38">
        <v>0.7896552583154548</v>
      </c>
      <c r="D2420" s="14" t="s">
        <v>2461</v>
      </c>
      <c r="E2420" s="14" t="s">
        <v>43</v>
      </c>
    </row>
    <row r="2421" spans="1:5" x14ac:dyDescent="0.25">
      <c r="A2421" s="36">
        <v>2419</v>
      </c>
      <c r="B2421" s="37">
        <v>839630626</v>
      </c>
      <c r="C2421" s="38">
        <v>0.39098347834822883</v>
      </c>
      <c r="D2421" s="14" t="s">
        <v>2462</v>
      </c>
      <c r="E2421" s="14" t="s">
        <v>46</v>
      </c>
    </row>
    <row r="2422" spans="1:5" x14ac:dyDescent="0.25">
      <c r="A2422" s="36">
        <v>2420</v>
      </c>
      <c r="B2422" s="37">
        <v>529211979</v>
      </c>
      <c r="C2422" s="38">
        <v>0.24643353151457084</v>
      </c>
      <c r="D2422" s="14" t="s">
        <v>2463</v>
      </c>
      <c r="E2422" s="14" t="s">
        <v>48</v>
      </c>
    </row>
    <row r="2423" spans="1:5" x14ac:dyDescent="0.25">
      <c r="A2423" s="36">
        <v>2421</v>
      </c>
      <c r="B2423" s="37">
        <v>528668033</v>
      </c>
      <c r="C2423" s="38">
        <v>0.24618023691986698</v>
      </c>
      <c r="D2423" s="14" t="s">
        <v>2464</v>
      </c>
      <c r="E2423" s="14" t="s">
        <v>37</v>
      </c>
    </row>
    <row r="2424" spans="1:5" x14ac:dyDescent="0.25">
      <c r="A2424" s="36">
        <v>2422</v>
      </c>
      <c r="B2424" s="37">
        <v>1355051417</v>
      </c>
      <c r="C2424" s="38">
        <v>0.63099498750222616</v>
      </c>
      <c r="D2424" s="14" t="s">
        <v>2465</v>
      </c>
      <c r="E2424" s="14" t="s">
        <v>40</v>
      </c>
    </row>
    <row r="2425" spans="1:5" x14ac:dyDescent="0.25">
      <c r="A2425" s="36">
        <v>2423</v>
      </c>
      <c r="B2425" s="37">
        <v>866956519</v>
      </c>
      <c r="C2425" s="38">
        <v>0.40370808886536774</v>
      </c>
      <c r="D2425" s="14" t="s">
        <v>2466</v>
      </c>
      <c r="E2425" s="14" t="s">
        <v>43</v>
      </c>
    </row>
    <row r="2426" spans="1:5" x14ac:dyDescent="0.25">
      <c r="A2426" s="36">
        <v>2424</v>
      </c>
      <c r="B2426" s="37">
        <v>1457614344</v>
      </c>
      <c r="C2426" s="38">
        <v>0.67875457214133561</v>
      </c>
      <c r="D2426" s="14" t="s">
        <v>2467</v>
      </c>
      <c r="E2426" s="14" t="s">
        <v>46</v>
      </c>
    </row>
    <row r="2427" spans="1:5" x14ac:dyDescent="0.25">
      <c r="A2427" s="36">
        <v>2425</v>
      </c>
      <c r="B2427" s="37">
        <v>915535635</v>
      </c>
      <c r="C2427" s="38">
        <v>0.42632950256873364</v>
      </c>
      <c r="D2427" s="14" t="s">
        <v>2468</v>
      </c>
      <c r="E2427" s="14" t="s">
        <v>48</v>
      </c>
    </row>
    <row r="2428" spans="1:5" x14ac:dyDescent="0.25">
      <c r="A2428" s="36">
        <v>2426</v>
      </c>
      <c r="B2428" s="37">
        <v>1261430106</v>
      </c>
      <c r="C2428" s="38">
        <v>0.58739916728222707</v>
      </c>
      <c r="D2428" s="14" t="s">
        <v>2469</v>
      </c>
      <c r="E2428" s="14" t="s">
        <v>37</v>
      </c>
    </row>
    <row r="2429" spans="1:5" x14ac:dyDescent="0.25">
      <c r="A2429" s="36">
        <v>2427</v>
      </c>
      <c r="B2429" s="37">
        <v>152592446</v>
      </c>
      <c r="C2429" s="38">
        <v>7.1056394870884901E-2</v>
      </c>
      <c r="D2429" s="14" t="s">
        <v>2470</v>
      </c>
      <c r="E2429" s="14" t="s">
        <v>40</v>
      </c>
    </row>
    <row r="2430" spans="1:5" x14ac:dyDescent="0.25">
      <c r="A2430" s="36">
        <v>2428</v>
      </c>
      <c r="B2430" s="37">
        <v>1326733448</v>
      </c>
      <c r="C2430" s="38">
        <v>0.61780840559760497</v>
      </c>
      <c r="D2430" s="14" t="s">
        <v>2471</v>
      </c>
      <c r="E2430" s="14" t="s">
        <v>43</v>
      </c>
    </row>
    <row r="2431" spans="1:5" x14ac:dyDescent="0.25">
      <c r="A2431" s="36">
        <v>2429</v>
      </c>
      <c r="B2431" s="37">
        <v>18174797</v>
      </c>
      <c r="C2431" s="38">
        <v>8.4632993715178691E-3</v>
      </c>
      <c r="D2431" s="14" t="s">
        <v>2472</v>
      </c>
      <c r="E2431" s="14" t="s">
        <v>46</v>
      </c>
    </row>
    <row r="2432" spans="1:5" x14ac:dyDescent="0.25">
      <c r="A2432" s="36">
        <v>2430</v>
      </c>
      <c r="B2432" s="37">
        <v>1815745359</v>
      </c>
      <c r="C2432" s="38">
        <v>0.84552232168872021</v>
      </c>
      <c r="D2432" s="14" t="s">
        <v>2473</v>
      </c>
      <c r="E2432" s="14" t="s">
        <v>48</v>
      </c>
    </row>
    <row r="2433" spans="1:5" x14ac:dyDescent="0.25">
      <c r="A2433" s="36">
        <v>2431</v>
      </c>
      <c r="B2433" s="37">
        <v>1105191427</v>
      </c>
      <c r="C2433" s="38">
        <v>0.51464486285794753</v>
      </c>
      <c r="D2433" s="14" t="s">
        <v>2474</v>
      </c>
      <c r="E2433" s="14" t="s">
        <v>37</v>
      </c>
    </row>
    <row r="2434" spans="1:5" x14ac:dyDescent="0.25">
      <c r="A2434" s="36">
        <v>2432</v>
      </c>
      <c r="B2434" s="37">
        <v>1530048965</v>
      </c>
      <c r="C2434" s="38">
        <v>0.71248457101755058</v>
      </c>
      <c r="D2434" s="14" t="s">
        <v>2475</v>
      </c>
      <c r="E2434" s="14" t="s">
        <v>40</v>
      </c>
    </row>
    <row r="2435" spans="1:5" x14ac:dyDescent="0.25">
      <c r="A2435" s="36">
        <v>2433</v>
      </c>
      <c r="B2435" s="37">
        <v>1831178492</v>
      </c>
      <c r="C2435" s="38">
        <v>0.8527089342720382</v>
      </c>
      <c r="D2435" s="14" t="s">
        <v>2476</v>
      </c>
      <c r="E2435" s="14" t="s">
        <v>43</v>
      </c>
    </row>
    <row r="2436" spans="1:5" x14ac:dyDescent="0.25">
      <c r="A2436" s="36">
        <v>2434</v>
      </c>
      <c r="B2436" s="37">
        <v>1741512838</v>
      </c>
      <c r="C2436" s="38">
        <v>0.81095511038366475</v>
      </c>
      <c r="D2436" s="14" t="s">
        <v>2477</v>
      </c>
      <c r="E2436" s="14" t="s">
        <v>46</v>
      </c>
    </row>
    <row r="2437" spans="1:5" x14ac:dyDescent="0.25">
      <c r="A2437" s="36">
        <v>2435</v>
      </c>
      <c r="B2437" s="37">
        <v>1132254988</v>
      </c>
      <c r="C2437" s="38">
        <v>0.52724731551820758</v>
      </c>
      <c r="D2437" s="14" t="s">
        <v>2478</v>
      </c>
      <c r="E2437" s="14" t="s">
        <v>48</v>
      </c>
    </row>
    <row r="2438" spans="1:5" x14ac:dyDescent="0.25">
      <c r="A2438" s="36">
        <v>2436</v>
      </c>
      <c r="B2438" s="37">
        <v>1739459371</v>
      </c>
      <c r="C2438" s="38">
        <v>0.80999889029655558</v>
      </c>
      <c r="D2438" s="14" t="s">
        <v>2479</v>
      </c>
      <c r="E2438" s="14" t="s">
        <v>37</v>
      </c>
    </row>
    <row r="2439" spans="1:5" x14ac:dyDescent="0.25">
      <c r="A2439" s="36">
        <v>2437</v>
      </c>
      <c r="B2439" s="37">
        <v>1879062837</v>
      </c>
      <c r="C2439" s="38">
        <v>0.87500682001700947</v>
      </c>
      <c r="D2439" s="14" t="s">
        <v>2480</v>
      </c>
      <c r="E2439" s="14" t="s">
        <v>40</v>
      </c>
    </row>
    <row r="2440" spans="1:5" x14ac:dyDescent="0.25">
      <c r="A2440" s="36">
        <v>2438</v>
      </c>
      <c r="B2440" s="37">
        <v>427831911</v>
      </c>
      <c r="C2440" s="38">
        <v>0.19922475852036139</v>
      </c>
      <c r="D2440" s="14" t="s">
        <v>2481</v>
      </c>
      <c r="E2440" s="14" t="s">
        <v>43</v>
      </c>
    </row>
    <row r="2441" spans="1:5" x14ac:dyDescent="0.25">
      <c r="A2441" s="36">
        <v>2439</v>
      </c>
      <c r="B2441" s="37">
        <v>135961593</v>
      </c>
      <c r="C2441" s="38">
        <v>6.3312050450272883E-2</v>
      </c>
      <c r="D2441" s="14" t="s">
        <v>2482</v>
      </c>
      <c r="E2441" s="14" t="s">
        <v>46</v>
      </c>
    </row>
    <row r="2442" spans="1:5" x14ac:dyDescent="0.25">
      <c r="A2442" s="36">
        <v>2440</v>
      </c>
      <c r="B2442" s="37">
        <v>2067837100</v>
      </c>
      <c r="C2442" s="38">
        <v>0.96291168637709301</v>
      </c>
      <c r="D2442" s="14" t="s">
        <v>2483</v>
      </c>
      <c r="E2442" s="14" t="s">
        <v>48</v>
      </c>
    </row>
    <row r="2443" spans="1:5" x14ac:dyDescent="0.25">
      <c r="A2443" s="36">
        <v>2441</v>
      </c>
      <c r="B2443" s="37">
        <v>100722946</v>
      </c>
      <c r="C2443" s="38">
        <v>4.6902776717628714E-2</v>
      </c>
      <c r="D2443" s="14" t="s">
        <v>2484</v>
      </c>
      <c r="E2443" s="14" t="s">
        <v>37</v>
      </c>
    </row>
    <row r="2444" spans="1:5" x14ac:dyDescent="0.25">
      <c r="A2444" s="36">
        <v>2442</v>
      </c>
      <c r="B2444" s="37">
        <v>679789936</v>
      </c>
      <c r="C2444" s="38">
        <v>0.3165518568440116</v>
      </c>
      <c r="D2444" s="14" t="s">
        <v>2485</v>
      </c>
      <c r="E2444" s="14" t="s">
        <v>40</v>
      </c>
    </row>
    <row r="2445" spans="1:5" x14ac:dyDescent="0.25">
      <c r="A2445" s="36">
        <v>2443</v>
      </c>
      <c r="B2445" s="37">
        <v>2043651147</v>
      </c>
      <c r="C2445" s="38">
        <v>0.95164922436310406</v>
      </c>
      <c r="D2445" s="14" t="s">
        <v>2486</v>
      </c>
      <c r="E2445" s="14" t="s">
        <v>43</v>
      </c>
    </row>
    <row r="2446" spans="1:5" x14ac:dyDescent="0.25">
      <c r="A2446" s="36">
        <v>2444</v>
      </c>
      <c r="B2446" s="37">
        <v>853235930</v>
      </c>
      <c r="C2446" s="38">
        <v>0.39731894172603216</v>
      </c>
      <c r="D2446" s="14" t="s">
        <v>2487</v>
      </c>
      <c r="E2446" s="14" t="s">
        <v>46</v>
      </c>
    </row>
    <row r="2447" spans="1:5" x14ac:dyDescent="0.25">
      <c r="A2447" s="36">
        <v>2445</v>
      </c>
      <c r="B2447" s="37">
        <v>1682794964</v>
      </c>
      <c r="C2447" s="38">
        <v>0.78361246957611874</v>
      </c>
      <c r="D2447" s="14" t="s">
        <v>2488</v>
      </c>
      <c r="E2447" s="14" t="s">
        <v>48</v>
      </c>
    </row>
    <row r="2448" spans="1:5" x14ac:dyDescent="0.25">
      <c r="A2448" s="36">
        <v>2446</v>
      </c>
      <c r="B2448" s="37">
        <v>38777402</v>
      </c>
      <c r="C2448" s="38">
        <v>1.8057134942178213E-2</v>
      </c>
      <c r="D2448" s="14" t="s">
        <v>2489</v>
      </c>
      <c r="E2448" s="14" t="s">
        <v>37</v>
      </c>
    </row>
    <row r="2449" spans="1:5" x14ac:dyDescent="0.25">
      <c r="A2449" s="36">
        <v>2447</v>
      </c>
      <c r="B2449" s="37">
        <v>52990394</v>
      </c>
      <c r="C2449" s="38">
        <v>2.4675575096474764E-2</v>
      </c>
      <c r="D2449" s="14" t="s">
        <v>2490</v>
      </c>
      <c r="E2449" s="14" t="s">
        <v>40</v>
      </c>
    </row>
    <row r="2450" spans="1:5" x14ac:dyDescent="0.25">
      <c r="A2450" s="36">
        <v>2448</v>
      </c>
      <c r="B2450" s="37">
        <v>1253643842</v>
      </c>
      <c r="C2450" s="38">
        <v>0.58377340556298074</v>
      </c>
      <c r="D2450" s="14" t="s">
        <v>2491</v>
      </c>
      <c r="E2450" s="14" t="s">
        <v>43</v>
      </c>
    </row>
    <row r="2451" spans="1:5" x14ac:dyDescent="0.25">
      <c r="A2451" s="36">
        <v>2449</v>
      </c>
      <c r="B2451" s="37">
        <v>1932801138</v>
      </c>
      <c r="C2451" s="38">
        <v>0.90003066645005281</v>
      </c>
      <c r="D2451" s="14" t="s">
        <v>2492</v>
      </c>
      <c r="E2451" s="14" t="s">
        <v>46</v>
      </c>
    </row>
    <row r="2452" spans="1:5" x14ac:dyDescent="0.25">
      <c r="A2452" s="36">
        <v>2450</v>
      </c>
      <c r="B2452" s="37">
        <v>36955445</v>
      </c>
      <c r="C2452" s="38">
        <v>1.720872009974379E-2</v>
      </c>
      <c r="D2452" s="14" t="s">
        <v>2493</v>
      </c>
      <c r="E2452" s="14" t="s">
        <v>48</v>
      </c>
    </row>
    <row r="2453" spans="1:5" x14ac:dyDescent="0.25">
      <c r="A2453" s="36">
        <v>2451</v>
      </c>
      <c r="B2453" s="37">
        <v>1754408180</v>
      </c>
      <c r="C2453" s="38">
        <v>0.81695997194245451</v>
      </c>
      <c r="D2453" s="14" t="s">
        <v>2494</v>
      </c>
      <c r="E2453" s="14" t="s">
        <v>37</v>
      </c>
    </row>
    <row r="2454" spans="1:5" x14ac:dyDescent="0.25">
      <c r="A2454" s="36">
        <v>2452</v>
      </c>
      <c r="B2454" s="37">
        <v>1652345773</v>
      </c>
      <c r="C2454" s="38">
        <v>0.76943346009097691</v>
      </c>
      <c r="D2454" s="14" t="s">
        <v>2495</v>
      </c>
      <c r="E2454" s="14" t="s">
        <v>40</v>
      </c>
    </row>
    <row r="2455" spans="1:5" x14ac:dyDescent="0.25">
      <c r="A2455" s="36">
        <v>2453</v>
      </c>
      <c r="B2455" s="37">
        <v>1508164621</v>
      </c>
      <c r="C2455" s="38">
        <v>0.70229387921387976</v>
      </c>
      <c r="D2455" s="14" t="s">
        <v>2496</v>
      </c>
      <c r="E2455" s="14" t="s">
        <v>43</v>
      </c>
    </row>
    <row r="2456" spans="1:5" x14ac:dyDescent="0.25">
      <c r="A2456" s="36">
        <v>2454</v>
      </c>
      <c r="B2456" s="37">
        <v>411102306</v>
      </c>
      <c r="C2456" s="38">
        <v>0.19143442911628375</v>
      </c>
      <c r="D2456" s="14" t="s">
        <v>2497</v>
      </c>
      <c r="E2456" s="14" t="s">
        <v>46</v>
      </c>
    </row>
    <row r="2457" spans="1:5" x14ac:dyDescent="0.25">
      <c r="A2457" s="36">
        <v>2455</v>
      </c>
      <c r="B2457" s="37">
        <v>1858133264</v>
      </c>
      <c r="C2457" s="38">
        <v>0.8652607281064898</v>
      </c>
      <c r="D2457" s="14" t="s">
        <v>2498</v>
      </c>
      <c r="E2457" s="14" t="s">
        <v>48</v>
      </c>
    </row>
    <row r="2458" spans="1:5" x14ac:dyDescent="0.25">
      <c r="A2458" s="36">
        <v>2456</v>
      </c>
      <c r="B2458" s="37">
        <v>1257539367</v>
      </c>
      <c r="C2458" s="38">
        <v>0.58558740075006499</v>
      </c>
      <c r="D2458" s="14" t="s">
        <v>2499</v>
      </c>
      <c r="E2458" s="14" t="s">
        <v>37</v>
      </c>
    </row>
    <row r="2459" spans="1:5" x14ac:dyDescent="0.25">
      <c r="A2459" s="36">
        <v>2457</v>
      </c>
      <c r="B2459" s="37">
        <v>730937823</v>
      </c>
      <c r="C2459" s="38">
        <v>0.34036944775859335</v>
      </c>
      <c r="D2459" s="14" t="s">
        <v>2500</v>
      </c>
      <c r="E2459" s="14" t="s">
        <v>40</v>
      </c>
    </row>
    <row r="2460" spans="1:5" x14ac:dyDescent="0.25">
      <c r="A2460" s="36">
        <v>2458</v>
      </c>
      <c r="B2460" s="37">
        <v>1991074507</v>
      </c>
      <c r="C2460" s="38">
        <v>0.92716631848698772</v>
      </c>
      <c r="D2460" s="14" t="s">
        <v>2501</v>
      </c>
      <c r="E2460" s="14" t="s">
        <v>43</v>
      </c>
    </row>
    <row r="2461" spans="1:5" x14ac:dyDescent="0.25">
      <c r="A2461" s="36">
        <v>2459</v>
      </c>
      <c r="B2461" s="37">
        <v>2122606121</v>
      </c>
      <c r="C2461" s="38">
        <v>0.98841549921241378</v>
      </c>
      <c r="D2461" s="14" t="s">
        <v>2502</v>
      </c>
      <c r="E2461" s="14" t="s">
        <v>46</v>
      </c>
    </row>
    <row r="2462" spans="1:5" x14ac:dyDescent="0.25">
      <c r="A2462" s="36">
        <v>2460</v>
      </c>
      <c r="B2462" s="37">
        <v>1677104174</v>
      </c>
      <c r="C2462" s="38">
        <v>0.78096248897768672</v>
      </c>
      <c r="D2462" s="14" t="s">
        <v>2503</v>
      </c>
      <c r="E2462" s="14" t="s">
        <v>48</v>
      </c>
    </row>
    <row r="2463" spans="1:5" x14ac:dyDescent="0.25">
      <c r="A2463" s="36">
        <v>2461</v>
      </c>
      <c r="B2463" s="37">
        <v>126919569</v>
      </c>
      <c r="C2463" s="38">
        <v>5.9101529912604735E-2</v>
      </c>
      <c r="D2463" s="14" t="s">
        <v>2504</v>
      </c>
      <c r="E2463" s="14" t="s">
        <v>37</v>
      </c>
    </row>
    <row r="2464" spans="1:5" x14ac:dyDescent="0.25">
      <c r="A2464" s="36">
        <v>2462</v>
      </c>
      <c r="B2464" s="37">
        <v>958236676</v>
      </c>
      <c r="C2464" s="38">
        <v>0.44621372429943351</v>
      </c>
      <c r="D2464" s="14" t="s">
        <v>2505</v>
      </c>
      <c r="E2464" s="14" t="s">
        <v>40</v>
      </c>
    </row>
    <row r="2465" spans="1:5" x14ac:dyDescent="0.25">
      <c r="A2465" s="36">
        <v>2463</v>
      </c>
      <c r="B2465" s="37">
        <v>797952225</v>
      </c>
      <c r="C2465" s="38">
        <v>0.37157546047660311</v>
      </c>
      <c r="D2465" s="14" t="s">
        <v>2506</v>
      </c>
      <c r="E2465" s="14" t="s">
        <v>43</v>
      </c>
    </row>
    <row r="2466" spans="1:5" x14ac:dyDescent="0.25">
      <c r="A2466" s="36">
        <v>2464</v>
      </c>
      <c r="B2466" s="37">
        <v>248003789</v>
      </c>
      <c r="C2466" s="38">
        <v>0.11548576369671419</v>
      </c>
      <c r="D2466" s="14" t="s">
        <v>2507</v>
      </c>
      <c r="E2466" s="14" t="s">
        <v>46</v>
      </c>
    </row>
    <row r="2467" spans="1:5" x14ac:dyDescent="0.25">
      <c r="A2467" s="36">
        <v>2465</v>
      </c>
      <c r="B2467" s="37">
        <v>886810285</v>
      </c>
      <c r="C2467" s="38">
        <v>0.41295321910313948</v>
      </c>
      <c r="D2467" s="14" t="s">
        <v>2508</v>
      </c>
      <c r="E2467" s="14" t="s">
        <v>48</v>
      </c>
    </row>
    <row r="2468" spans="1:5" x14ac:dyDescent="0.25">
      <c r="A2468" s="36">
        <v>2466</v>
      </c>
      <c r="B2468" s="37">
        <v>921621811</v>
      </c>
      <c r="C2468" s="38">
        <v>0.42916359912099483</v>
      </c>
      <c r="D2468" s="14" t="s">
        <v>2509</v>
      </c>
      <c r="E2468" s="14" t="s">
        <v>37</v>
      </c>
    </row>
    <row r="2469" spans="1:5" x14ac:dyDescent="0.25">
      <c r="A2469" s="36">
        <v>2467</v>
      </c>
      <c r="B2469" s="37">
        <v>25689960</v>
      </c>
      <c r="C2469" s="38">
        <v>1.1962819850054951E-2</v>
      </c>
      <c r="D2469" s="14" t="s">
        <v>2510</v>
      </c>
      <c r="E2469" s="14" t="s">
        <v>40</v>
      </c>
    </row>
    <row r="2470" spans="1:5" x14ac:dyDescent="0.25">
      <c r="A2470" s="36">
        <v>2468</v>
      </c>
      <c r="B2470" s="37">
        <v>1900194159</v>
      </c>
      <c r="C2470" s="38">
        <v>0.88484685862662593</v>
      </c>
      <c r="D2470" s="14" t="s">
        <v>2511</v>
      </c>
      <c r="E2470" s="14" t="s">
        <v>43</v>
      </c>
    </row>
    <row r="2471" spans="1:5" x14ac:dyDescent="0.25">
      <c r="A2471" s="36">
        <v>2469</v>
      </c>
      <c r="B2471" s="37">
        <v>406929748</v>
      </c>
      <c r="C2471" s="38">
        <v>0.18949143038573277</v>
      </c>
      <c r="D2471" s="14" t="s">
        <v>2512</v>
      </c>
      <c r="E2471" s="14" t="s">
        <v>46</v>
      </c>
    </row>
    <row r="2472" spans="1:5" x14ac:dyDescent="0.25">
      <c r="A2472" s="36">
        <v>2470</v>
      </c>
      <c r="B2472" s="37">
        <v>1493142712</v>
      </c>
      <c r="C2472" s="38">
        <v>0.69529875772786265</v>
      </c>
      <c r="D2472" s="14" t="s">
        <v>2513</v>
      </c>
      <c r="E2472" s="14" t="s">
        <v>48</v>
      </c>
    </row>
    <row r="2473" spans="1:5" x14ac:dyDescent="0.25">
      <c r="A2473" s="36">
        <v>2471</v>
      </c>
      <c r="B2473" s="37">
        <v>1367609749</v>
      </c>
      <c r="C2473" s="38">
        <v>0.63684291655050729</v>
      </c>
      <c r="D2473" s="14" t="s">
        <v>2514</v>
      </c>
      <c r="E2473" s="14" t="s">
        <v>37</v>
      </c>
    </row>
    <row r="2474" spans="1:5" x14ac:dyDescent="0.25">
      <c r="A2474" s="36">
        <v>2472</v>
      </c>
      <c r="B2474" s="37">
        <v>918708921</v>
      </c>
      <c r="C2474" s="38">
        <v>0.42780717901317739</v>
      </c>
      <c r="D2474" s="14" t="s">
        <v>2515</v>
      </c>
      <c r="E2474" s="14" t="s">
        <v>40</v>
      </c>
    </row>
    <row r="2475" spans="1:5" x14ac:dyDescent="0.25">
      <c r="A2475" s="36">
        <v>2473</v>
      </c>
      <c r="B2475" s="37">
        <v>465537636</v>
      </c>
      <c r="C2475" s="38">
        <v>0.21678285497090913</v>
      </c>
      <c r="D2475" s="14" t="s">
        <v>2516</v>
      </c>
      <c r="E2475" s="14" t="s">
        <v>43</v>
      </c>
    </row>
    <row r="2476" spans="1:5" x14ac:dyDescent="0.25">
      <c r="A2476" s="36">
        <v>2474</v>
      </c>
      <c r="B2476" s="37">
        <v>2048283643</v>
      </c>
      <c r="C2476" s="38">
        <v>0.95380639841491655</v>
      </c>
      <c r="D2476" s="14" t="s">
        <v>2517</v>
      </c>
      <c r="E2476" s="14" t="s">
        <v>46</v>
      </c>
    </row>
    <row r="2477" spans="1:5" x14ac:dyDescent="0.25">
      <c r="A2477" s="36">
        <v>2475</v>
      </c>
      <c r="B2477" s="37">
        <v>144863953</v>
      </c>
      <c r="C2477" s="38">
        <v>6.7457534869880195E-2</v>
      </c>
      <c r="D2477" s="14" t="s">
        <v>2518</v>
      </c>
      <c r="E2477" s="14" t="s">
        <v>48</v>
      </c>
    </row>
    <row r="2478" spans="1:5" x14ac:dyDescent="0.25">
      <c r="A2478" s="36">
        <v>2476</v>
      </c>
      <c r="B2478" s="37">
        <v>483968153</v>
      </c>
      <c r="C2478" s="38">
        <v>0.22536523324687277</v>
      </c>
      <c r="D2478" s="14" t="s">
        <v>2519</v>
      </c>
      <c r="E2478" s="14" t="s">
        <v>37</v>
      </c>
    </row>
    <row r="2479" spans="1:5" x14ac:dyDescent="0.25">
      <c r="A2479" s="36">
        <v>2477</v>
      </c>
      <c r="B2479" s="37">
        <v>1153212026</v>
      </c>
      <c r="C2479" s="38">
        <v>0.53700619681598905</v>
      </c>
      <c r="D2479" s="14" t="s">
        <v>2520</v>
      </c>
      <c r="E2479" s="14" t="s">
        <v>40</v>
      </c>
    </row>
    <row r="2480" spans="1:5" x14ac:dyDescent="0.25">
      <c r="A2480" s="36">
        <v>2478</v>
      </c>
      <c r="B2480" s="37">
        <v>1528774453</v>
      </c>
      <c r="C2480" s="38">
        <v>0.71189108011866509</v>
      </c>
      <c r="D2480" s="14" t="s">
        <v>2521</v>
      </c>
      <c r="E2480" s="14" t="s">
        <v>43</v>
      </c>
    </row>
    <row r="2481" spans="1:5" x14ac:dyDescent="0.25">
      <c r="A2481" s="36">
        <v>2479</v>
      </c>
      <c r="B2481" s="37">
        <v>2087934928</v>
      </c>
      <c r="C2481" s="38">
        <v>0.97227046684002061</v>
      </c>
      <c r="D2481" s="14" t="s">
        <v>2522</v>
      </c>
      <c r="E2481" s="14" t="s">
        <v>46</v>
      </c>
    </row>
    <row r="2482" spans="1:5" x14ac:dyDescent="0.25">
      <c r="A2482" s="36">
        <v>2480</v>
      </c>
      <c r="B2482" s="37">
        <v>2085105327</v>
      </c>
      <c r="C2482" s="38">
        <v>0.97095283119517972</v>
      </c>
      <c r="D2482" s="14" t="s">
        <v>2523</v>
      </c>
      <c r="E2482" s="14" t="s">
        <v>48</v>
      </c>
    </row>
    <row r="2483" spans="1:5" x14ac:dyDescent="0.25">
      <c r="A2483" s="36">
        <v>2481</v>
      </c>
      <c r="B2483" s="37">
        <v>1575138673</v>
      </c>
      <c r="C2483" s="38">
        <v>0.73348110249893794</v>
      </c>
      <c r="D2483" s="14" t="s">
        <v>2524</v>
      </c>
      <c r="E2483" s="14" t="s">
        <v>37</v>
      </c>
    </row>
    <row r="2484" spans="1:5" x14ac:dyDescent="0.25">
      <c r="A2484" s="36">
        <v>2482</v>
      </c>
      <c r="B2484" s="37">
        <v>223924542</v>
      </c>
      <c r="C2484" s="38">
        <v>0.10427299053607182</v>
      </c>
      <c r="D2484" s="14" t="s">
        <v>2525</v>
      </c>
      <c r="E2484" s="14" t="s">
        <v>40</v>
      </c>
    </row>
    <row r="2485" spans="1:5" x14ac:dyDescent="0.25">
      <c r="A2485" s="36">
        <v>2483</v>
      </c>
      <c r="B2485" s="37">
        <v>1012985218</v>
      </c>
      <c r="C2485" s="38">
        <v>0.47170800085724707</v>
      </c>
      <c r="D2485" s="14" t="s">
        <v>2526</v>
      </c>
      <c r="E2485" s="14" t="s">
        <v>43</v>
      </c>
    </row>
    <row r="2486" spans="1:5" x14ac:dyDescent="0.25">
      <c r="A2486" s="36">
        <v>2484</v>
      </c>
      <c r="B2486" s="37">
        <v>498780683</v>
      </c>
      <c r="C2486" s="38">
        <v>0.23226285503816924</v>
      </c>
      <c r="D2486" s="14" t="s">
        <v>2527</v>
      </c>
      <c r="E2486" s="14" t="s">
        <v>46</v>
      </c>
    </row>
    <row r="2487" spans="1:5" x14ac:dyDescent="0.25">
      <c r="A2487" s="36">
        <v>2485</v>
      </c>
      <c r="B2487" s="37">
        <v>1719959069</v>
      </c>
      <c r="C2487" s="38">
        <v>0.8009183545601174</v>
      </c>
      <c r="D2487" s="14" t="s">
        <v>2528</v>
      </c>
      <c r="E2487" s="14" t="s">
        <v>48</v>
      </c>
    </row>
    <row r="2488" spans="1:5" x14ac:dyDescent="0.25">
      <c r="A2488" s="36">
        <v>2486</v>
      </c>
      <c r="B2488" s="37">
        <v>206717045</v>
      </c>
      <c r="C2488" s="38">
        <v>9.6260125327976481E-2</v>
      </c>
      <c r="D2488" s="14" t="s">
        <v>2529</v>
      </c>
      <c r="E2488" s="14" t="s">
        <v>37</v>
      </c>
    </row>
    <row r="2489" spans="1:5" x14ac:dyDescent="0.25">
      <c r="A2489" s="36">
        <v>2487</v>
      </c>
      <c r="B2489" s="37">
        <v>1840924979</v>
      </c>
      <c r="C2489" s="38">
        <v>0.85724749595729988</v>
      </c>
      <c r="D2489" s="14" t="s">
        <v>2530</v>
      </c>
      <c r="E2489" s="14" t="s">
        <v>40</v>
      </c>
    </row>
    <row r="2490" spans="1:5" x14ac:dyDescent="0.25">
      <c r="A2490" s="36">
        <v>2488</v>
      </c>
      <c r="B2490" s="37">
        <v>773833428</v>
      </c>
      <c r="C2490" s="38">
        <v>0.36034427041203915</v>
      </c>
      <c r="D2490" s="14" t="s">
        <v>2531</v>
      </c>
      <c r="E2490" s="14" t="s">
        <v>43</v>
      </c>
    </row>
    <row r="2491" spans="1:5" x14ac:dyDescent="0.25">
      <c r="A2491" s="36">
        <v>2489</v>
      </c>
      <c r="B2491" s="37">
        <v>1114208029</v>
      </c>
      <c r="C2491" s="38">
        <v>0.51884354535436428</v>
      </c>
      <c r="D2491" s="14" t="s">
        <v>2532</v>
      </c>
      <c r="E2491" s="14" t="s">
        <v>46</v>
      </c>
    </row>
    <row r="2492" spans="1:5" x14ac:dyDescent="0.25">
      <c r="A2492" s="36">
        <v>2490</v>
      </c>
      <c r="B2492" s="37">
        <v>1126284132</v>
      </c>
      <c r="C2492" s="38">
        <v>0.5244669190256237</v>
      </c>
      <c r="D2492" s="14" t="s">
        <v>2533</v>
      </c>
      <c r="E2492" s="14" t="s">
        <v>48</v>
      </c>
    </row>
    <row r="2493" spans="1:5" x14ac:dyDescent="0.25">
      <c r="A2493" s="36">
        <v>2491</v>
      </c>
      <c r="B2493" s="37">
        <v>1654694287</v>
      </c>
      <c r="C2493" s="38">
        <v>0.77052707214398641</v>
      </c>
      <c r="D2493" s="14" t="s">
        <v>2534</v>
      </c>
      <c r="E2493" s="14" t="s">
        <v>37</v>
      </c>
    </row>
    <row r="2494" spans="1:5" x14ac:dyDescent="0.25">
      <c r="A2494" s="36">
        <v>2492</v>
      </c>
      <c r="B2494" s="37">
        <v>100709284</v>
      </c>
      <c r="C2494" s="38">
        <v>4.6896414853118552E-2</v>
      </c>
      <c r="D2494" s="14" t="s">
        <v>2535</v>
      </c>
      <c r="E2494" s="14" t="s">
        <v>40</v>
      </c>
    </row>
    <row r="2495" spans="1:5" x14ac:dyDescent="0.25">
      <c r="A2495" s="36">
        <v>2493</v>
      </c>
      <c r="B2495" s="37">
        <v>1561369503</v>
      </c>
      <c r="C2495" s="38">
        <v>0.72706933306859312</v>
      </c>
      <c r="D2495" s="14" t="s">
        <v>2536</v>
      </c>
      <c r="E2495" s="14" t="s">
        <v>43</v>
      </c>
    </row>
    <row r="2496" spans="1:5" x14ac:dyDescent="0.25">
      <c r="A2496" s="36">
        <v>2494</v>
      </c>
      <c r="B2496" s="37">
        <v>1189194723</v>
      </c>
      <c r="C2496" s="38">
        <v>0.55376194582961591</v>
      </c>
      <c r="D2496" s="14" t="s">
        <v>2537</v>
      </c>
      <c r="E2496" s="14" t="s">
        <v>46</v>
      </c>
    </row>
    <row r="2497" spans="1:5" x14ac:dyDescent="0.25">
      <c r="A2497" s="36">
        <v>2495</v>
      </c>
      <c r="B2497" s="37">
        <v>161099901</v>
      </c>
      <c r="C2497" s="38">
        <v>7.5017987319742324E-2</v>
      </c>
      <c r="D2497" s="14" t="s">
        <v>2538</v>
      </c>
      <c r="E2497" s="14" t="s">
        <v>48</v>
      </c>
    </row>
    <row r="2498" spans="1:5" x14ac:dyDescent="0.25">
      <c r="A2498" s="36">
        <v>2496</v>
      </c>
      <c r="B2498" s="37">
        <v>1691099005</v>
      </c>
      <c r="C2498" s="38">
        <v>0.78747933999983566</v>
      </c>
      <c r="D2498" s="14" t="s">
        <v>2539</v>
      </c>
      <c r="E2498" s="14" t="s">
        <v>37</v>
      </c>
    </row>
    <row r="2499" spans="1:5" x14ac:dyDescent="0.25">
      <c r="A2499" s="36">
        <v>2497</v>
      </c>
      <c r="B2499" s="37">
        <v>1117870835</v>
      </c>
      <c r="C2499" s="38">
        <v>0.52054917231227693</v>
      </c>
      <c r="D2499" s="14" t="s">
        <v>2540</v>
      </c>
      <c r="E2499" s="14" t="s">
        <v>40</v>
      </c>
    </row>
    <row r="2500" spans="1:5" x14ac:dyDescent="0.25">
      <c r="A2500" s="36">
        <v>2498</v>
      </c>
      <c r="B2500" s="37">
        <v>1252367449</v>
      </c>
      <c r="C2500" s="38">
        <v>0.58317903875521337</v>
      </c>
      <c r="D2500" s="14" t="s">
        <v>2541</v>
      </c>
      <c r="E2500" s="14" t="s">
        <v>43</v>
      </c>
    </row>
    <row r="2501" spans="1:5" x14ac:dyDescent="0.25">
      <c r="A2501" s="36">
        <v>2499</v>
      </c>
      <c r="B2501" s="37">
        <v>1206069696</v>
      </c>
      <c r="C2501" s="38">
        <v>0.56161996748373844</v>
      </c>
      <c r="D2501" s="14" t="s">
        <v>2542</v>
      </c>
      <c r="E2501" s="14" t="s">
        <v>46</v>
      </c>
    </row>
    <row r="2502" spans="1:5" x14ac:dyDescent="0.25">
      <c r="A2502" s="36">
        <v>2500</v>
      </c>
      <c r="B2502" s="37">
        <v>2036913613</v>
      </c>
      <c r="C2502" s="38">
        <v>0.94851181560592346</v>
      </c>
      <c r="D2502" s="14" t="s">
        <v>2543</v>
      </c>
      <c r="E2502" s="14" t="s">
        <v>48</v>
      </c>
    </row>
    <row r="2503" spans="1:5" x14ac:dyDescent="0.25">
      <c r="A2503" s="36">
        <v>2501</v>
      </c>
      <c r="B2503" s="37">
        <v>219059214</v>
      </c>
      <c r="C2503" s="38">
        <v>0.10200739563536243</v>
      </c>
      <c r="D2503" s="14" t="s">
        <v>2544</v>
      </c>
      <c r="E2503" s="14" t="s">
        <v>37</v>
      </c>
    </row>
    <row r="2504" spans="1:5" x14ac:dyDescent="0.25">
      <c r="A2504" s="36">
        <v>2502</v>
      </c>
      <c r="B2504" s="37">
        <v>713728855</v>
      </c>
      <c r="C2504" s="38">
        <v>0.33235589756274403</v>
      </c>
      <c r="D2504" s="14" t="s">
        <v>2545</v>
      </c>
      <c r="E2504" s="14" t="s">
        <v>40</v>
      </c>
    </row>
    <row r="2505" spans="1:5" x14ac:dyDescent="0.25">
      <c r="A2505" s="36">
        <v>2503</v>
      </c>
      <c r="B2505" s="37">
        <v>370497993</v>
      </c>
      <c r="C2505" s="38">
        <v>0.17252657244565273</v>
      </c>
      <c r="D2505" s="14" t="s">
        <v>2546</v>
      </c>
      <c r="E2505" s="14" t="s">
        <v>43</v>
      </c>
    </row>
    <row r="2506" spans="1:5" x14ac:dyDescent="0.25">
      <c r="A2506" s="36">
        <v>2504</v>
      </c>
      <c r="B2506" s="37">
        <v>569375323</v>
      </c>
      <c r="C2506" s="38">
        <v>0.26513604599290341</v>
      </c>
      <c r="D2506" s="14" t="s">
        <v>2547</v>
      </c>
      <c r="E2506" s="14" t="s">
        <v>46</v>
      </c>
    </row>
    <row r="2507" spans="1:5" x14ac:dyDescent="0.25">
      <c r="A2507" s="36">
        <v>2505</v>
      </c>
      <c r="B2507" s="37">
        <v>105424876</v>
      </c>
      <c r="C2507" s="38">
        <v>4.9092283495279158E-2</v>
      </c>
      <c r="D2507" s="14" t="s">
        <v>2548</v>
      </c>
      <c r="E2507" s="14" t="s">
        <v>48</v>
      </c>
    </row>
    <row r="2508" spans="1:5" x14ac:dyDescent="0.25">
      <c r="A2508" s="36">
        <v>2506</v>
      </c>
      <c r="B2508" s="37">
        <v>1729413518</v>
      </c>
      <c r="C2508" s="38">
        <v>0.8053209254542929</v>
      </c>
      <c r="D2508" s="14" t="s">
        <v>2549</v>
      </c>
      <c r="E2508" s="14" t="s">
        <v>37</v>
      </c>
    </row>
    <row r="2509" spans="1:5" x14ac:dyDescent="0.25">
      <c r="A2509" s="36">
        <v>2507</v>
      </c>
      <c r="B2509" s="37">
        <v>613273554</v>
      </c>
      <c r="C2509" s="38">
        <v>0.28557775276041486</v>
      </c>
      <c r="D2509" s="14" t="s">
        <v>2550</v>
      </c>
      <c r="E2509" s="14" t="s">
        <v>40</v>
      </c>
    </row>
    <row r="2510" spans="1:5" x14ac:dyDescent="0.25">
      <c r="A2510" s="36">
        <v>2508</v>
      </c>
      <c r="B2510" s="37">
        <v>1677290976</v>
      </c>
      <c r="C2510" s="38">
        <v>0.7810494754375189</v>
      </c>
      <c r="D2510" s="14" t="s">
        <v>2551</v>
      </c>
      <c r="E2510" s="14" t="s">
        <v>43</v>
      </c>
    </row>
    <row r="2511" spans="1:5" x14ac:dyDescent="0.25">
      <c r="A2511" s="36">
        <v>2509</v>
      </c>
      <c r="B2511" s="37">
        <v>1825873451</v>
      </c>
      <c r="C2511" s="38">
        <v>0.85023858204960756</v>
      </c>
      <c r="D2511" s="14" t="s">
        <v>2552</v>
      </c>
      <c r="E2511" s="14" t="s">
        <v>46</v>
      </c>
    </row>
    <row r="2512" spans="1:5" x14ac:dyDescent="0.25">
      <c r="A2512" s="36">
        <v>2510</v>
      </c>
      <c r="B2512" s="37">
        <v>1820898777</v>
      </c>
      <c r="C2512" s="38">
        <v>0.84792206894975253</v>
      </c>
      <c r="D2512" s="14" t="s">
        <v>2553</v>
      </c>
      <c r="E2512" s="14" t="s">
        <v>48</v>
      </c>
    </row>
    <row r="2513" spans="1:5" x14ac:dyDescent="0.25">
      <c r="A2513" s="36">
        <v>2511</v>
      </c>
      <c r="B2513" s="37">
        <v>2048601759</v>
      </c>
      <c r="C2513" s="38">
        <v>0.95395453272105868</v>
      </c>
      <c r="D2513" s="14" t="s">
        <v>2554</v>
      </c>
      <c r="E2513" s="14" t="s">
        <v>37</v>
      </c>
    </row>
    <row r="2514" spans="1:5" x14ac:dyDescent="0.25">
      <c r="A2514" s="36">
        <v>2512</v>
      </c>
      <c r="B2514" s="37">
        <v>1375921691</v>
      </c>
      <c r="C2514" s="38">
        <v>0.64071346616405689</v>
      </c>
      <c r="D2514" s="14" t="s">
        <v>2555</v>
      </c>
      <c r="E2514" s="14" t="s">
        <v>40</v>
      </c>
    </row>
    <row r="2515" spans="1:5" x14ac:dyDescent="0.25">
      <c r="A2515" s="36">
        <v>2513</v>
      </c>
      <c r="B2515" s="37">
        <v>116828850</v>
      </c>
      <c r="C2515" s="38">
        <v>5.4402672711015995E-2</v>
      </c>
      <c r="D2515" s="14" t="s">
        <v>2556</v>
      </c>
      <c r="E2515" s="14" t="s">
        <v>43</v>
      </c>
    </row>
    <row r="2516" spans="1:5" x14ac:dyDescent="0.25">
      <c r="A2516" s="36">
        <v>2514</v>
      </c>
      <c r="B2516" s="37">
        <v>173796388</v>
      </c>
      <c r="C2516" s="38">
        <v>8.0930249803201418E-2</v>
      </c>
      <c r="D2516" s="14" t="s">
        <v>2557</v>
      </c>
      <c r="E2516" s="14" t="s">
        <v>46</v>
      </c>
    </row>
    <row r="2517" spans="1:5" x14ac:dyDescent="0.25">
      <c r="A2517" s="36">
        <v>2515</v>
      </c>
      <c r="B2517" s="37">
        <v>1924552553</v>
      </c>
      <c r="C2517" s="38">
        <v>0.89618961973869693</v>
      </c>
      <c r="D2517" s="14" t="s">
        <v>2558</v>
      </c>
      <c r="E2517" s="14" t="s">
        <v>48</v>
      </c>
    </row>
    <row r="2518" spans="1:5" x14ac:dyDescent="0.25">
      <c r="A2518" s="36">
        <v>2516</v>
      </c>
      <c r="B2518" s="37">
        <v>1071447238</v>
      </c>
      <c r="C2518" s="38">
        <v>0.49893150036173478</v>
      </c>
      <c r="D2518" s="14" t="s">
        <v>2559</v>
      </c>
      <c r="E2518" s="14" t="s">
        <v>37</v>
      </c>
    </row>
    <row r="2519" spans="1:5" x14ac:dyDescent="0.25">
      <c r="A2519" s="36">
        <v>2517</v>
      </c>
      <c r="B2519" s="37">
        <v>918641025</v>
      </c>
      <c r="C2519" s="38">
        <v>0.42777556247439963</v>
      </c>
      <c r="D2519" s="14" t="s">
        <v>2560</v>
      </c>
      <c r="E2519" s="14" t="s">
        <v>40</v>
      </c>
    </row>
    <row r="2520" spans="1:5" x14ac:dyDescent="0.25">
      <c r="A2520" s="36">
        <v>2518</v>
      </c>
      <c r="B2520" s="37">
        <v>1267581527</v>
      </c>
      <c r="C2520" s="38">
        <v>0.59026364590519276</v>
      </c>
      <c r="D2520" s="14" t="s">
        <v>2561</v>
      </c>
      <c r="E2520" s="14" t="s">
        <v>43</v>
      </c>
    </row>
    <row r="2521" spans="1:5" x14ac:dyDescent="0.25">
      <c r="A2521" s="36">
        <v>2519</v>
      </c>
      <c r="B2521" s="37">
        <v>144603575</v>
      </c>
      <c r="C2521" s="38">
        <v>6.7336286915157126E-2</v>
      </c>
      <c r="D2521" s="14" t="s">
        <v>2562</v>
      </c>
      <c r="E2521" s="14" t="s">
        <v>46</v>
      </c>
    </row>
    <row r="2522" spans="1:5" x14ac:dyDescent="0.25">
      <c r="A2522" s="36">
        <v>2520</v>
      </c>
      <c r="B2522" s="37">
        <v>869974397</v>
      </c>
      <c r="C2522" s="38">
        <v>0.40511339782043981</v>
      </c>
      <c r="D2522" s="14" t="s">
        <v>2563</v>
      </c>
      <c r="E2522" s="14" t="s">
        <v>48</v>
      </c>
    </row>
    <row r="2523" spans="1:5" x14ac:dyDescent="0.25">
      <c r="A2523" s="36">
        <v>2521</v>
      </c>
      <c r="B2523" s="37">
        <v>1826741961</v>
      </c>
      <c r="C2523" s="38">
        <v>0.8506430135344355</v>
      </c>
      <c r="D2523" s="14" t="s">
        <v>2564</v>
      </c>
      <c r="E2523" s="14" t="s">
        <v>37</v>
      </c>
    </row>
    <row r="2524" spans="1:5" x14ac:dyDescent="0.25">
      <c r="A2524" s="36">
        <v>2522</v>
      </c>
      <c r="B2524" s="37">
        <v>73528449</v>
      </c>
      <c r="C2524" s="38">
        <v>3.4239352231025394E-2</v>
      </c>
      <c r="D2524" s="14" t="s">
        <v>2565</v>
      </c>
      <c r="E2524" s="14" t="s">
        <v>40</v>
      </c>
    </row>
    <row r="2525" spans="1:5" x14ac:dyDescent="0.25">
      <c r="A2525" s="36">
        <v>2523</v>
      </c>
      <c r="B2525" s="37">
        <v>1567466124</v>
      </c>
      <c r="C2525" s="38">
        <v>0.72990829345300245</v>
      </c>
      <c r="D2525" s="14" t="s">
        <v>2566</v>
      </c>
      <c r="E2525" s="14" t="s">
        <v>43</v>
      </c>
    </row>
    <row r="2526" spans="1:5" x14ac:dyDescent="0.25">
      <c r="A2526" s="36">
        <v>2524</v>
      </c>
      <c r="B2526" s="37">
        <v>159549026</v>
      </c>
      <c r="C2526" s="38">
        <v>7.4295804870452647E-2</v>
      </c>
      <c r="D2526" s="14" t="s">
        <v>2567</v>
      </c>
      <c r="E2526" s="14" t="s">
        <v>46</v>
      </c>
    </row>
    <row r="2527" spans="1:5" x14ac:dyDescent="0.25">
      <c r="A2527" s="36">
        <v>2525</v>
      </c>
      <c r="B2527" s="37">
        <v>1496233324</v>
      </c>
      <c r="C2527" s="38">
        <v>0.69673793609102164</v>
      </c>
      <c r="D2527" s="14" t="s">
        <v>2568</v>
      </c>
      <c r="E2527" s="14" t="s">
        <v>48</v>
      </c>
    </row>
    <row r="2528" spans="1:5" x14ac:dyDescent="0.25">
      <c r="A2528" s="36">
        <v>2526</v>
      </c>
      <c r="B2528" s="37">
        <v>397730837</v>
      </c>
      <c r="C2528" s="38">
        <v>0.18520785364564873</v>
      </c>
      <c r="D2528" s="14" t="s">
        <v>2569</v>
      </c>
      <c r="E2528" s="14" t="s">
        <v>37</v>
      </c>
    </row>
    <row r="2529" spans="1:5" x14ac:dyDescent="0.25">
      <c r="A2529" s="36">
        <v>2527</v>
      </c>
      <c r="B2529" s="37">
        <v>1234213547</v>
      </c>
      <c r="C2529" s="38">
        <v>0.57472546937629831</v>
      </c>
      <c r="D2529" s="14" t="s">
        <v>2570</v>
      </c>
      <c r="E2529" s="14" t="s">
        <v>40</v>
      </c>
    </row>
    <row r="2530" spans="1:5" x14ac:dyDescent="0.25">
      <c r="A2530" s="36">
        <v>2528</v>
      </c>
      <c r="B2530" s="37">
        <v>824740083</v>
      </c>
      <c r="C2530" s="38">
        <v>0.38404952892290872</v>
      </c>
      <c r="D2530" s="14" t="s">
        <v>2571</v>
      </c>
      <c r="E2530" s="14" t="s">
        <v>43</v>
      </c>
    </row>
    <row r="2531" spans="1:5" x14ac:dyDescent="0.25">
      <c r="A2531" s="36">
        <v>2529</v>
      </c>
      <c r="B2531" s="37">
        <v>1104378578</v>
      </c>
      <c r="C2531" s="38">
        <v>0.51426635054604442</v>
      </c>
      <c r="D2531" s="14" t="s">
        <v>2572</v>
      </c>
      <c r="E2531" s="14" t="s">
        <v>46</v>
      </c>
    </row>
    <row r="2532" spans="1:5" x14ac:dyDescent="0.25">
      <c r="A2532" s="36">
        <v>2530</v>
      </c>
      <c r="B2532" s="37">
        <v>1437264850</v>
      </c>
      <c r="C2532" s="38">
        <v>0.66927860056482191</v>
      </c>
      <c r="D2532" s="14" t="s">
        <v>2573</v>
      </c>
      <c r="E2532" s="14" t="s">
        <v>48</v>
      </c>
    </row>
    <row r="2533" spans="1:5" x14ac:dyDescent="0.25">
      <c r="A2533" s="36">
        <v>2531</v>
      </c>
      <c r="B2533" s="37">
        <v>933599416</v>
      </c>
      <c r="C2533" s="38">
        <v>0.4347411060867557</v>
      </c>
      <c r="D2533" s="14" t="s">
        <v>2574</v>
      </c>
      <c r="E2533" s="14" t="s">
        <v>37</v>
      </c>
    </row>
    <row r="2534" spans="1:5" x14ac:dyDescent="0.25">
      <c r="A2534" s="36">
        <v>2532</v>
      </c>
      <c r="B2534" s="37">
        <v>1957957484</v>
      </c>
      <c r="C2534" s="38">
        <v>0.91174500291782667</v>
      </c>
      <c r="D2534" s="14" t="s">
        <v>2575</v>
      </c>
      <c r="E2534" s="14" t="s">
        <v>40</v>
      </c>
    </row>
    <row r="2535" spans="1:5" x14ac:dyDescent="0.25">
      <c r="A2535" s="36">
        <v>2533</v>
      </c>
      <c r="B2535" s="37">
        <v>1767631889</v>
      </c>
      <c r="C2535" s="38">
        <v>0.82311774130124493</v>
      </c>
      <c r="D2535" s="14" t="s">
        <v>2576</v>
      </c>
      <c r="E2535" s="14" t="s">
        <v>43</v>
      </c>
    </row>
    <row r="2536" spans="1:5" x14ac:dyDescent="0.25">
      <c r="A2536" s="36">
        <v>2534</v>
      </c>
      <c r="B2536" s="37">
        <v>1139187248</v>
      </c>
      <c r="C2536" s="38">
        <v>0.53047540063526266</v>
      </c>
      <c r="D2536" s="14" t="s">
        <v>2577</v>
      </c>
      <c r="E2536" s="14" t="s">
        <v>46</v>
      </c>
    </row>
    <row r="2537" spans="1:5" x14ac:dyDescent="0.25">
      <c r="A2537" s="36">
        <v>2535</v>
      </c>
      <c r="B2537" s="37">
        <v>82416893</v>
      </c>
      <c r="C2537" s="38">
        <v>3.837835650815552E-2</v>
      </c>
      <c r="D2537" s="14" t="s">
        <v>2578</v>
      </c>
      <c r="E2537" s="14" t="s">
        <v>48</v>
      </c>
    </row>
    <row r="2538" spans="1:5" x14ac:dyDescent="0.25">
      <c r="A2538" s="36">
        <v>2536</v>
      </c>
      <c r="B2538" s="37">
        <v>442387394</v>
      </c>
      <c r="C2538" s="38">
        <v>0.20600268347468353</v>
      </c>
      <c r="D2538" s="14" t="s">
        <v>2579</v>
      </c>
      <c r="E2538" s="14" t="s">
        <v>37</v>
      </c>
    </row>
    <row r="2539" spans="1:5" x14ac:dyDescent="0.25">
      <c r="A2539" s="36">
        <v>2537</v>
      </c>
      <c r="B2539" s="37">
        <v>190796714</v>
      </c>
      <c r="C2539" s="38">
        <v>8.8846643496699004E-2</v>
      </c>
      <c r="D2539" s="14" t="s">
        <v>2580</v>
      </c>
      <c r="E2539" s="14" t="s">
        <v>40</v>
      </c>
    </row>
    <row r="2540" spans="1:5" x14ac:dyDescent="0.25">
      <c r="A2540" s="36">
        <v>2538</v>
      </c>
      <c r="B2540" s="37">
        <v>2000171184</v>
      </c>
      <c r="C2540" s="38">
        <v>0.93140228881100295</v>
      </c>
      <c r="D2540" s="14" t="s">
        <v>2581</v>
      </c>
      <c r="E2540" s="14" t="s">
        <v>43</v>
      </c>
    </row>
    <row r="2541" spans="1:5" x14ac:dyDescent="0.25">
      <c r="A2541" s="36">
        <v>2539</v>
      </c>
      <c r="B2541" s="37">
        <v>1861694549</v>
      </c>
      <c r="C2541" s="38">
        <v>0.8669190806648317</v>
      </c>
      <c r="D2541" s="14" t="s">
        <v>2582</v>
      </c>
      <c r="E2541" s="14" t="s">
        <v>46</v>
      </c>
    </row>
    <row r="2542" spans="1:5" x14ac:dyDescent="0.25">
      <c r="A2542" s="36">
        <v>2540</v>
      </c>
      <c r="B2542" s="37">
        <v>2050588272</v>
      </c>
      <c r="C2542" s="38">
        <v>0.954879574922323</v>
      </c>
      <c r="D2542" s="14" t="s">
        <v>2583</v>
      </c>
      <c r="E2542" s="14" t="s">
        <v>48</v>
      </c>
    </row>
    <row r="2543" spans="1:5" x14ac:dyDescent="0.25">
      <c r="A2543" s="36">
        <v>2541</v>
      </c>
      <c r="B2543" s="37">
        <v>851656636</v>
      </c>
      <c r="C2543" s="38">
        <v>0.39658352564861232</v>
      </c>
      <c r="D2543" s="14" t="s">
        <v>2584</v>
      </c>
      <c r="E2543" s="14" t="s">
        <v>37</v>
      </c>
    </row>
    <row r="2544" spans="1:5" x14ac:dyDescent="0.25">
      <c r="A2544" s="36">
        <v>2542</v>
      </c>
      <c r="B2544" s="37">
        <v>1428433542</v>
      </c>
      <c r="C2544" s="38">
        <v>0.66516620231101575</v>
      </c>
      <c r="D2544" s="14" t="s">
        <v>2585</v>
      </c>
      <c r="E2544" s="14" t="s">
        <v>40</v>
      </c>
    </row>
    <row r="2545" spans="1:5" x14ac:dyDescent="0.25">
      <c r="A2545" s="36">
        <v>2543</v>
      </c>
      <c r="B2545" s="37">
        <v>526214431</v>
      </c>
      <c r="C2545" s="38">
        <v>0.24503768945347409</v>
      </c>
      <c r="D2545" s="14" t="s">
        <v>2586</v>
      </c>
      <c r="E2545" s="14" t="s">
        <v>43</v>
      </c>
    </row>
    <row r="2546" spans="1:5" x14ac:dyDescent="0.25">
      <c r="A2546" s="36">
        <v>2544</v>
      </c>
      <c r="B2546" s="37">
        <v>1787078961</v>
      </c>
      <c r="C2546" s="38">
        <v>0.83217348988734818</v>
      </c>
      <c r="D2546" s="14" t="s">
        <v>2587</v>
      </c>
      <c r="E2546" s="14" t="s">
        <v>46</v>
      </c>
    </row>
    <row r="2547" spans="1:5" x14ac:dyDescent="0.25">
      <c r="A2547" s="36">
        <v>2545</v>
      </c>
      <c r="B2547" s="37">
        <v>108213170</v>
      </c>
      <c r="C2547" s="38">
        <v>5.0390684069316224E-2</v>
      </c>
      <c r="D2547" s="14" t="s">
        <v>2588</v>
      </c>
      <c r="E2547" s="14" t="s">
        <v>48</v>
      </c>
    </row>
    <row r="2548" spans="1:5" x14ac:dyDescent="0.25">
      <c r="A2548" s="36">
        <v>2546</v>
      </c>
      <c r="B2548" s="37">
        <v>54839054</v>
      </c>
      <c r="C2548" s="38">
        <v>2.5536424492269953E-2</v>
      </c>
      <c r="D2548" s="14" t="s">
        <v>2589</v>
      </c>
      <c r="E2548" s="14" t="s">
        <v>37</v>
      </c>
    </row>
    <row r="2549" spans="1:5" x14ac:dyDescent="0.25">
      <c r="A2549" s="36">
        <v>2547</v>
      </c>
      <c r="B2549" s="37">
        <v>1050364191</v>
      </c>
      <c r="C2549" s="38">
        <v>0.48911394155077353</v>
      </c>
      <c r="D2549" s="14" t="s">
        <v>2590</v>
      </c>
      <c r="E2549" s="14" t="s">
        <v>40</v>
      </c>
    </row>
    <row r="2550" spans="1:5" x14ac:dyDescent="0.25">
      <c r="A2550" s="36">
        <v>2548</v>
      </c>
      <c r="B2550" s="37">
        <v>1837592624</v>
      </c>
      <c r="C2550" s="38">
        <v>0.85569574723751085</v>
      </c>
      <c r="D2550" s="14" t="s">
        <v>2591</v>
      </c>
      <c r="E2550" s="14" t="s">
        <v>43</v>
      </c>
    </row>
    <row r="2551" spans="1:5" x14ac:dyDescent="0.25">
      <c r="A2551" s="36">
        <v>2549</v>
      </c>
      <c r="B2551" s="37">
        <v>935887254</v>
      </c>
      <c r="C2551" s="38">
        <v>0.43580646367548337</v>
      </c>
      <c r="D2551" s="14" t="s">
        <v>2592</v>
      </c>
      <c r="E2551" s="14" t="s">
        <v>46</v>
      </c>
    </row>
    <row r="2552" spans="1:5" x14ac:dyDescent="0.25">
      <c r="A2552" s="36">
        <v>2550</v>
      </c>
      <c r="B2552" s="37">
        <v>485514656</v>
      </c>
      <c r="C2552" s="38">
        <v>0.22608537982501339</v>
      </c>
      <c r="D2552" s="14" t="s">
        <v>2593</v>
      </c>
      <c r="E2552" s="14" t="s">
        <v>48</v>
      </c>
    </row>
    <row r="2553" spans="1:5" x14ac:dyDescent="0.25">
      <c r="A2553" s="36">
        <v>2551</v>
      </c>
      <c r="B2553" s="37">
        <v>513225348</v>
      </c>
      <c r="C2553" s="38">
        <v>0.23898917633993047</v>
      </c>
      <c r="D2553" s="14" t="s">
        <v>2594</v>
      </c>
      <c r="E2553" s="14" t="s">
        <v>37</v>
      </c>
    </row>
    <row r="2554" spans="1:5" x14ac:dyDescent="0.25">
      <c r="A2554" s="36">
        <v>2552</v>
      </c>
      <c r="B2554" s="37">
        <v>1999056382</v>
      </c>
      <c r="C2554" s="38">
        <v>0.93088316867634802</v>
      </c>
      <c r="D2554" s="14" t="s">
        <v>2595</v>
      </c>
      <c r="E2554" s="14" t="s">
        <v>40</v>
      </c>
    </row>
    <row r="2555" spans="1:5" x14ac:dyDescent="0.25">
      <c r="A2555" s="36">
        <v>2553</v>
      </c>
      <c r="B2555" s="37">
        <v>1671766507</v>
      </c>
      <c r="C2555" s="38">
        <v>0.77847694409008927</v>
      </c>
      <c r="D2555" s="14" t="s">
        <v>2596</v>
      </c>
      <c r="E2555" s="14" t="s">
        <v>43</v>
      </c>
    </row>
    <row r="2556" spans="1:5" x14ac:dyDescent="0.25">
      <c r="A2556" s="36">
        <v>2554</v>
      </c>
      <c r="B2556" s="37">
        <v>1734087680</v>
      </c>
      <c r="C2556" s="38">
        <v>0.80749750174931134</v>
      </c>
      <c r="D2556" s="14" t="s">
        <v>2597</v>
      </c>
      <c r="E2556" s="14" t="s">
        <v>46</v>
      </c>
    </row>
    <row r="2557" spans="1:5" x14ac:dyDescent="0.25">
      <c r="A2557" s="36">
        <v>2555</v>
      </c>
      <c r="B2557" s="37">
        <v>539523523</v>
      </c>
      <c r="C2557" s="38">
        <v>0.2512352183699772</v>
      </c>
      <c r="D2557" s="14" t="s">
        <v>2598</v>
      </c>
      <c r="E2557" s="14" t="s">
        <v>48</v>
      </c>
    </row>
    <row r="2558" spans="1:5" x14ac:dyDescent="0.25">
      <c r="A2558" s="36">
        <v>2556</v>
      </c>
      <c r="B2558" s="37">
        <v>1662137809</v>
      </c>
      <c r="C2558" s="38">
        <v>0.77399323218222393</v>
      </c>
      <c r="D2558" s="14" t="s">
        <v>2599</v>
      </c>
      <c r="E2558" s="14" t="s">
        <v>37</v>
      </c>
    </row>
    <row r="2559" spans="1:5" x14ac:dyDescent="0.25">
      <c r="A2559" s="36">
        <v>2557</v>
      </c>
      <c r="B2559" s="37">
        <v>1196006791</v>
      </c>
      <c r="C2559" s="38">
        <v>0.55693406218520092</v>
      </c>
      <c r="D2559" s="14" t="s">
        <v>2600</v>
      </c>
      <c r="E2559" s="14" t="s">
        <v>40</v>
      </c>
    </row>
    <row r="2560" spans="1:5" x14ac:dyDescent="0.25">
      <c r="A2560" s="36">
        <v>2558</v>
      </c>
      <c r="B2560" s="37">
        <v>304931441</v>
      </c>
      <c r="C2560" s="38">
        <v>0.14199476742278541</v>
      </c>
      <c r="D2560" s="14" t="s">
        <v>2601</v>
      </c>
      <c r="E2560" s="14" t="s">
        <v>43</v>
      </c>
    </row>
    <row r="2561" spans="1:5" x14ac:dyDescent="0.25">
      <c r="A2561" s="36">
        <v>2559</v>
      </c>
      <c r="B2561" s="37">
        <v>670831710</v>
      </c>
      <c r="C2561" s="38">
        <v>0.31238035779091544</v>
      </c>
      <c r="D2561" s="14" t="s">
        <v>2602</v>
      </c>
      <c r="E2561" s="14" t="s">
        <v>46</v>
      </c>
    </row>
    <row r="2562" spans="1:5" x14ac:dyDescent="0.25">
      <c r="A2562" s="36">
        <v>2560</v>
      </c>
      <c r="B2562" s="37">
        <v>831479618</v>
      </c>
      <c r="C2562" s="38">
        <v>0.38718786946832567</v>
      </c>
      <c r="D2562" s="14" t="s">
        <v>2603</v>
      </c>
      <c r="E2562" s="14" t="s">
        <v>48</v>
      </c>
    </row>
    <row r="2563" spans="1:5" x14ac:dyDescent="0.25">
      <c r="A2563" s="36">
        <v>2561</v>
      </c>
      <c r="B2563" s="37">
        <v>774302525</v>
      </c>
      <c r="C2563" s="38">
        <v>0.36056271072503304</v>
      </c>
      <c r="D2563" s="14" t="s">
        <v>2604</v>
      </c>
      <c r="E2563" s="14" t="s">
        <v>37</v>
      </c>
    </row>
    <row r="2564" spans="1:5" x14ac:dyDescent="0.25">
      <c r="A2564" s="36">
        <v>2562</v>
      </c>
      <c r="B2564" s="37">
        <v>253844446</v>
      </c>
      <c r="C2564" s="38">
        <v>0.11820553155532364</v>
      </c>
      <c r="D2564" s="14" t="s">
        <v>2605</v>
      </c>
      <c r="E2564" s="14" t="s">
        <v>40</v>
      </c>
    </row>
    <row r="2565" spans="1:5" x14ac:dyDescent="0.25">
      <c r="A2565" s="36">
        <v>2563</v>
      </c>
      <c r="B2565" s="37">
        <v>1147933241</v>
      </c>
      <c r="C2565" s="38">
        <v>0.53454807099632362</v>
      </c>
      <c r="D2565" s="14" t="s">
        <v>2606</v>
      </c>
      <c r="E2565" s="14" t="s">
        <v>43</v>
      </c>
    </row>
    <row r="2566" spans="1:5" x14ac:dyDescent="0.25">
      <c r="A2566" s="36">
        <v>2564</v>
      </c>
      <c r="B2566" s="37">
        <v>214772205</v>
      </c>
      <c r="C2566" s="38">
        <v>0.10001110150479298</v>
      </c>
      <c r="D2566" s="14" t="s">
        <v>2607</v>
      </c>
      <c r="E2566" s="14" t="s">
        <v>46</v>
      </c>
    </row>
    <row r="2567" spans="1:5" x14ac:dyDescent="0.25">
      <c r="A2567" s="36">
        <v>2565</v>
      </c>
      <c r="B2567" s="37">
        <v>968232111</v>
      </c>
      <c r="C2567" s="38">
        <v>0.45086821143090178</v>
      </c>
      <c r="D2567" s="14" t="s">
        <v>2608</v>
      </c>
      <c r="E2567" s="14" t="s">
        <v>48</v>
      </c>
    </row>
    <row r="2568" spans="1:5" x14ac:dyDescent="0.25">
      <c r="A2568" s="36">
        <v>2566</v>
      </c>
      <c r="B2568" s="37">
        <v>1893582291</v>
      </c>
      <c r="C2568" s="38">
        <v>0.88176796766080334</v>
      </c>
      <c r="D2568" s="14" t="s">
        <v>2609</v>
      </c>
      <c r="E2568" s="14" t="s">
        <v>37</v>
      </c>
    </row>
    <row r="2569" spans="1:5" x14ac:dyDescent="0.25">
      <c r="A2569" s="36">
        <v>2567</v>
      </c>
      <c r="B2569" s="37">
        <v>641037923</v>
      </c>
      <c r="C2569" s="38">
        <v>0.29850654457626236</v>
      </c>
      <c r="D2569" s="14" t="s">
        <v>2610</v>
      </c>
      <c r="E2569" s="14" t="s">
        <v>40</v>
      </c>
    </row>
    <row r="2570" spans="1:5" x14ac:dyDescent="0.25">
      <c r="A2570" s="36">
        <v>2568</v>
      </c>
      <c r="B2570" s="37">
        <v>168033614</v>
      </c>
      <c r="C2570" s="38">
        <v>7.8246749042648236E-2</v>
      </c>
      <c r="D2570" s="14" t="s">
        <v>2611</v>
      </c>
      <c r="E2570" s="14" t="s">
        <v>43</v>
      </c>
    </row>
    <row r="2571" spans="1:5" x14ac:dyDescent="0.25">
      <c r="A2571" s="36">
        <v>2569</v>
      </c>
      <c r="B2571" s="37">
        <v>305127705</v>
      </c>
      <c r="C2571" s="38">
        <v>0.14208615996972013</v>
      </c>
      <c r="D2571" s="14" t="s">
        <v>2612</v>
      </c>
      <c r="E2571" s="14" t="s">
        <v>46</v>
      </c>
    </row>
    <row r="2572" spans="1:5" x14ac:dyDescent="0.25">
      <c r="A2572" s="36">
        <v>2570</v>
      </c>
      <c r="B2572" s="37">
        <v>939651966</v>
      </c>
      <c r="C2572" s="38">
        <v>0.43755954431256255</v>
      </c>
      <c r="D2572" s="14" t="s">
        <v>2613</v>
      </c>
      <c r="E2572" s="14" t="s">
        <v>48</v>
      </c>
    </row>
    <row r="2573" spans="1:5" x14ac:dyDescent="0.25">
      <c r="A2573" s="36">
        <v>2571</v>
      </c>
      <c r="B2573" s="37">
        <v>585474510</v>
      </c>
      <c r="C2573" s="38">
        <v>0.27263281413942242</v>
      </c>
      <c r="D2573" s="14" t="s">
        <v>2614</v>
      </c>
      <c r="E2573" s="14" t="s">
        <v>37</v>
      </c>
    </row>
    <row r="2574" spans="1:5" x14ac:dyDescent="0.25">
      <c r="A2574" s="36">
        <v>2572</v>
      </c>
      <c r="B2574" s="37">
        <v>1303718785</v>
      </c>
      <c r="C2574" s="38">
        <v>0.60709136799308072</v>
      </c>
      <c r="D2574" s="14" t="s">
        <v>2615</v>
      </c>
      <c r="E2574" s="14" t="s">
        <v>40</v>
      </c>
    </row>
    <row r="2575" spans="1:5" x14ac:dyDescent="0.25">
      <c r="A2575" s="36">
        <v>2573</v>
      </c>
      <c r="B2575" s="37">
        <v>497023555</v>
      </c>
      <c r="C2575" s="38">
        <v>0.23144462855134376</v>
      </c>
      <c r="D2575" s="14" t="s">
        <v>2616</v>
      </c>
      <c r="E2575" s="14" t="s">
        <v>43</v>
      </c>
    </row>
    <row r="2576" spans="1:5" x14ac:dyDescent="0.25">
      <c r="A2576" s="36">
        <v>2574</v>
      </c>
      <c r="B2576" s="37">
        <v>1809202083</v>
      </c>
      <c r="C2576" s="38">
        <v>0.84247537136193151</v>
      </c>
      <c r="D2576" s="14" t="s">
        <v>2617</v>
      </c>
      <c r="E2576" s="14" t="s">
        <v>46</v>
      </c>
    </row>
    <row r="2577" spans="1:5" x14ac:dyDescent="0.25">
      <c r="A2577" s="36">
        <v>2575</v>
      </c>
      <c r="B2577" s="37">
        <v>1695765111</v>
      </c>
      <c r="C2577" s="38">
        <v>0.78965216492752177</v>
      </c>
      <c r="D2577" s="14" t="s">
        <v>2618</v>
      </c>
      <c r="E2577" s="14" t="s">
        <v>48</v>
      </c>
    </row>
    <row r="2578" spans="1:5" x14ac:dyDescent="0.25">
      <c r="A2578" s="36">
        <v>2576</v>
      </c>
      <c r="B2578" s="37">
        <v>519609286</v>
      </c>
      <c r="C2578" s="38">
        <v>0.24196192912848757</v>
      </c>
      <c r="D2578" s="14" t="s">
        <v>2619</v>
      </c>
      <c r="E2578" s="14" t="s">
        <v>37</v>
      </c>
    </row>
    <row r="2579" spans="1:5" x14ac:dyDescent="0.25">
      <c r="A2579" s="36">
        <v>2577</v>
      </c>
      <c r="B2579" s="37">
        <v>326886829</v>
      </c>
      <c r="C2579" s="38">
        <v>0.15221854166696711</v>
      </c>
      <c r="D2579" s="14" t="s">
        <v>2620</v>
      </c>
      <c r="E2579" s="14" t="s">
        <v>40</v>
      </c>
    </row>
    <row r="2580" spans="1:5" x14ac:dyDescent="0.25">
      <c r="A2580" s="36">
        <v>2578</v>
      </c>
      <c r="B2580" s="37">
        <v>86337764</v>
      </c>
      <c r="C2580" s="38">
        <v>4.0204154346233305E-2</v>
      </c>
      <c r="D2580" s="14" t="s">
        <v>2621</v>
      </c>
      <c r="E2580" s="14" t="s">
        <v>43</v>
      </c>
    </row>
    <row r="2581" spans="1:5" x14ac:dyDescent="0.25">
      <c r="A2581" s="36">
        <v>2579</v>
      </c>
      <c r="B2581" s="37">
        <v>627385436</v>
      </c>
      <c r="C2581" s="38">
        <v>0.29214910990192977</v>
      </c>
      <c r="D2581" s="14" t="s">
        <v>2622</v>
      </c>
      <c r="E2581" s="14" t="s">
        <v>46</v>
      </c>
    </row>
    <row r="2582" spans="1:5" x14ac:dyDescent="0.25">
      <c r="A2582" s="36">
        <v>2580</v>
      </c>
      <c r="B2582" s="37">
        <v>2081546140</v>
      </c>
      <c r="C2582" s="38">
        <v>0.96929545559421904</v>
      </c>
      <c r="D2582" s="14" t="s">
        <v>2623</v>
      </c>
      <c r="E2582" s="14" t="s">
        <v>48</v>
      </c>
    </row>
    <row r="2583" spans="1:5" x14ac:dyDescent="0.25">
      <c r="A2583" s="36">
        <v>2581</v>
      </c>
      <c r="B2583" s="37">
        <v>2126779571</v>
      </c>
      <c r="C2583" s="38">
        <v>0.99035891331283321</v>
      </c>
      <c r="D2583" s="14" t="s">
        <v>2624</v>
      </c>
      <c r="E2583" s="14" t="s">
        <v>37</v>
      </c>
    </row>
    <row r="2584" spans="1:5" x14ac:dyDescent="0.25">
      <c r="A2584" s="36">
        <v>2582</v>
      </c>
      <c r="B2584" s="37">
        <v>1379367379</v>
      </c>
      <c r="C2584" s="38">
        <v>0.6423179896745449</v>
      </c>
      <c r="D2584" s="14" t="s">
        <v>2625</v>
      </c>
      <c r="E2584" s="14" t="s">
        <v>40</v>
      </c>
    </row>
    <row r="2585" spans="1:5" x14ac:dyDescent="0.25">
      <c r="A2585" s="36">
        <v>2583</v>
      </c>
      <c r="B2585" s="37">
        <v>1769309560</v>
      </c>
      <c r="C2585" s="38">
        <v>0.82389896773914761</v>
      </c>
      <c r="D2585" s="14" t="s">
        <v>2626</v>
      </c>
      <c r="E2585" s="14" t="s">
        <v>43</v>
      </c>
    </row>
    <row r="2586" spans="1:5" x14ac:dyDescent="0.25">
      <c r="A2586" s="36">
        <v>2584</v>
      </c>
      <c r="B2586" s="37">
        <v>1935767423</v>
      </c>
      <c r="C2586" s="38">
        <v>0.90141195054231771</v>
      </c>
      <c r="D2586" s="14" t="s">
        <v>2627</v>
      </c>
      <c r="E2586" s="14" t="s">
        <v>46</v>
      </c>
    </row>
    <row r="2587" spans="1:5" x14ac:dyDescent="0.25">
      <c r="A2587" s="36">
        <v>2585</v>
      </c>
      <c r="B2587" s="37">
        <v>427590617</v>
      </c>
      <c r="C2587" s="38">
        <v>0.19911239724564944</v>
      </c>
      <c r="D2587" s="14" t="s">
        <v>2628</v>
      </c>
      <c r="E2587" s="14" t="s">
        <v>48</v>
      </c>
    </row>
    <row r="2588" spans="1:5" x14ac:dyDescent="0.25">
      <c r="A2588" s="36">
        <v>2586</v>
      </c>
      <c r="B2588" s="37">
        <v>75508232</v>
      </c>
      <c r="C2588" s="38">
        <v>3.5161260531824667E-2</v>
      </c>
      <c r="D2588" s="14" t="s">
        <v>2629</v>
      </c>
      <c r="E2588" s="14" t="s">
        <v>37</v>
      </c>
    </row>
    <row r="2589" spans="1:5" x14ac:dyDescent="0.25">
      <c r="A2589" s="36">
        <v>2587</v>
      </c>
      <c r="B2589" s="37">
        <v>578366054</v>
      </c>
      <c r="C2589" s="38">
        <v>0.26932268136615056</v>
      </c>
      <c r="D2589" s="14" t="s">
        <v>2630</v>
      </c>
      <c r="E2589" s="14" t="s">
        <v>40</v>
      </c>
    </row>
    <row r="2590" spans="1:5" x14ac:dyDescent="0.25">
      <c r="A2590" s="36">
        <v>2588</v>
      </c>
      <c r="B2590" s="37">
        <v>1735890355</v>
      </c>
      <c r="C2590" s="38">
        <v>0.80833693771079973</v>
      </c>
      <c r="D2590" s="14" t="s">
        <v>2631</v>
      </c>
      <c r="E2590" s="14" t="s">
        <v>43</v>
      </c>
    </row>
    <row r="2591" spans="1:5" x14ac:dyDescent="0.25">
      <c r="A2591" s="36">
        <v>2589</v>
      </c>
      <c r="B2591" s="37">
        <v>1102473039</v>
      </c>
      <c r="C2591" s="38">
        <v>0.5133790148018762</v>
      </c>
      <c r="D2591" s="14" t="s">
        <v>2632</v>
      </c>
      <c r="E2591" s="14" t="s">
        <v>46</v>
      </c>
    </row>
    <row r="2592" spans="1:5" x14ac:dyDescent="0.25">
      <c r="A2592" s="36">
        <v>2590</v>
      </c>
      <c r="B2592" s="37">
        <v>1453307494</v>
      </c>
      <c r="C2592" s="38">
        <v>0.67674903882516035</v>
      </c>
      <c r="D2592" s="14" t="s">
        <v>2633</v>
      </c>
      <c r="E2592" s="14" t="s">
        <v>48</v>
      </c>
    </row>
    <row r="2593" spans="1:5" x14ac:dyDescent="0.25">
      <c r="A2593" s="36">
        <v>2591</v>
      </c>
      <c r="B2593" s="37">
        <v>356453071</v>
      </c>
      <c r="C2593" s="38">
        <v>0.16598639598395043</v>
      </c>
      <c r="D2593" s="14" t="s">
        <v>2634</v>
      </c>
      <c r="E2593" s="14" t="s">
        <v>37</v>
      </c>
    </row>
    <row r="2594" spans="1:5" x14ac:dyDescent="0.25">
      <c r="A2594" s="36">
        <v>2592</v>
      </c>
      <c r="B2594" s="37">
        <v>2100048162</v>
      </c>
      <c r="C2594" s="38">
        <v>0.97791113098054716</v>
      </c>
      <c r="D2594" s="14" t="s">
        <v>2635</v>
      </c>
      <c r="E2594" s="14" t="s">
        <v>40</v>
      </c>
    </row>
    <row r="2595" spans="1:5" x14ac:dyDescent="0.25">
      <c r="A2595" s="36">
        <v>2593</v>
      </c>
      <c r="B2595" s="37">
        <v>2141967494</v>
      </c>
      <c r="C2595" s="38">
        <v>0.9974313410918374</v>
      </c>
      <c r="D2595" s="14" t="s">
        <v>2636</v>
      </c>
      <c r="E2595" s="14" t="s">
        <v>43</v>
      </c>
    </row>
    <row r="2596" spans="1:5" x14ac:dyDescent="0.25">
      <c r="A2596" s="36">
        <v>2594</v>
      </c>
      <c r="B2596" s="37">
        <v>1879406470</v>
      </c>
      <c r="C2596" s="38">
        <v>0.87516683660222538</v>
      </c>
      <c r="D2596" s="14" t="s">
        <v>2637</v>
      </c>
      <c r="E2596" s="14" t="s">
        <v>46</v>
      </c>
    </row>
    <row r="2597" spans="1:5" x14ac:dyDescent="0.25">
      <c r="A2597" s="36">
        <v>2595</v>
      </c>
      <c r="B2597" s="37">
        <v>1182901134</v>
      </c>
      <c r="C2597" s="38">
        <v>0.5508312650727254</v>
      </c>
      <c r="D2597" s="14" t="s">
        <v>2638</v>
      </c>
      <c r="E2597" s="14" t="s">
        <v>48</v>
      </c>
    </row>
    <row r="2598" spans="1:5" x14ac:dyDescent="0.25">
      <c r="A2598" s="36">
        <v>2596</v>
      </c>
      <c r="B2598" s="37">
        <v>1897583389</v>
      </c>
      <c r="C2598" s="38">
        <v>0.8836311241069954</v>
      </c>
      <c r="D2598" s="14" t="s">
        <v>2639</v>
      </c>
      <c r="E2598" s="14" t="s">
        <v>37</v>
      </c>
    </row>
    <row r="2599" spans="1:5" x14ac:dyDescent="0.25">
      <c r="A2599" s="36">
        <v>2597</v>
      </c>
      <c r="B2599" s="37">
        <v>1221897026</v>
      </c>
      <c r="C2599" s="38">
        <v>0.56899014234961487</v>
      </c>
      <c r="D2599" s="14" t="s">
        <v>2640</v>
      </c>
      <c r="E2599" s="14" t="s">
        <v>40</v>
      </c>
    </row>
    <row r="2600" spans="1:5" x14ac:dyDescent="0.25">
      <c r="A2600" s="36">
        <v>2598</v>
      </c>
      <c r="B2600" s="37">
        <v>1694000467</v>
      </c>
      <c r="C2600" s="38">
        <v>0.78883043853045931</v>
      </c>
      <c r="D2600" s="14" t="s">
        <v>2641</v>
      </c>
      <c r="E2600" s="14" t="s">
        <v>43</v>
      </c>
    </row>
    <row r="2601" spans="1:5" x14ac:dyDescent="0.25">
      <c r="A2601" s="36">
        <v>2599</v>
      </c>
      <c r="B2601" s="37">
        <v>983184282</v>
      </c>
      <c r="C2601" s="38">
        <v>0.45783085863004946</v>
      </c>
      <c r="D2601" s="14" t="s">
        <v>2642</v>
      </c>
      <c r="E2601" s="14" t="s">
        <v>46</v>
      </c>
    </row>
    <row r="2602" spans="1:5" x14ac:dyDescent="0.25">
      <c r="A2602" s="36">
        <v>2600</v>
      </c>
      <c r="B2602" s="37">
        <v>820547336</v>
      </c>
      <c r="C2602" s="38">
        <v>0.3820971289566239</v>
      </c>
      <c r="D2602" s="14" t="s">
        <v>2643</v>
      </c>
      <c r="E2602" s="14" t="s">
        <v>48</v>
      </c>
    </row>
    <row r="2603" spans="1:5" x14ac:dyDescent="0.25">
      <c r="A2603" s="36">
        <v>2601</v>
      </c>
      <c r="B2603" s="37">
        <v>1494031153</v>
      </c>
      <c r="C2603" s="38">
        <v>0.69571247030781236</v>
      </c>
      <c r="D2603" s="14" t="s">
        <v>2644</v>
      </c>
      <c r="E2603" s="14" t="s">
        <v>37</v>
      </c>
    </row>
    <row r="2604" spans="1:5" x14ac:dyDescent="0.25">
      <c r="A2604" s="36">
        <v>2602</v>
      </c>
      <c r="B2604" s="37">
        <v>583632491</v>
      </c>
      <c r="C2604" s="38">
        <v>0.27177505720023765</v>
      </c>
      <c r="D2604" s="14" t="s">
        <v>2645</v>
      </c>
      <c r="E2604" s="14" t="s">
        <v>40</v>
      </c>
    </row>
    <row r="2605" spans="1:5" x14ac:dyDescent="0.25">
      <c r="A2605" s="36">
        <v>2603</v>
      </c>
      <c r="B2605" s="37">
        <v>1823690726</v>
      </c>
      <c r="C2605" s="38">
        <v>0.84922217151579549</v>
      </c>
      <c r="D2605" s="14" t="s">
        <v>2646</v>
      </c>
      <c r="E2605" s="14" t="s">
        <v>43</v>
      </c>
    </row>
    <row r="2606" spans="1:5" x14ac:dyDescent="0.25">
      <c r="A2606" s="36">
        <v>2604</v>
      </c>
      <c r="B2606" s="37">
        <v>15415229</v>
      </c>
      <c r="C2606" s="38">
        <v>7.1782753836262389E-3</v>
      </c>
      <c r="D2606" s="14" t="s">
        <v>2647</v>
      </c>
      <c r="E2606" s="14" t="s">
        <v>46</v>
      </c>
    </row>
    <row r="2607" spans="1:5" x14ac:dyDescent="0.25">
      <c r="A2607" s="36">
        <v>2605</v>
      </c>
      <c r="B2607" s="37">
        <v>1913341092</v>
      </c>
      <c r="C2607" s="38">
        <v>0.89096887637440525</v>
      </c>
      <c r="D2607" s="14" t="s">
        <v>2648</v>
      </c>
      <c r="E2607" s="14" t="s">
        <v>48</v>
      </c>
    </row>
    <row r="2608" spans="1:5" x14ac:dyDescent="0.25">
      <c r="A2608" s="36">
        <v>2606</v>
      </c>
      <c r="B2608" s="37">
        <v>947218643</v>
      </c>
      <c r="C2608" s="38">
        <v>0.44108305286666522</v>
      </c>
      <c r="D2608" s="14" t="s">
        <v>2649</v>
      </c>
      <c r="E2608" s="14" t="s">
        <v>37</v>
      </c>
    </row>
    <row r="2609" spans="1:5" x14ac:dyDescent="0.25">
      <c r="A2609" s="36">
        <v>2607</v>
      </c>
      <c r="B2609" s="37">
        <v>516918280</v>
      </c>
      <c r="C2609" s="38">
        <v>0.24070883180979119</v>
      </c>
      <c r="D2609" s="14" t="s">
        <v>2650</v>
      </c>
      <c r="E2609" s="14" t="s">
        <v>40</v>
      </c>
    </row>
    <row r="2610" spans="1:5" x14ac:dyDescent="0.25">
      <c r="A2610" s="36">
        <v>2608</v>
      </c>
      <c r="B2610" s="37">
        <v>731012321</v>
      </c>
      <c r="C2610" s="38">
        <v>0.34040413859319135</v>
      </c>
      <c r="D2610" s="14" t="s">
        <v>2651</v>
      </c>
      <c r="E2610" s="14" t="s">
        <v>43</v>
      </c>
    </row>
    <row r="2611" spans="1:5" x14ac:dyDescent="0.25">
      <c r="A2611" s="36">
        <v>2609</v>
      </c>
      <c r="B2611" s="37">
        <v>1440806431</v>
      </c>
      <c r="C2611" s="38">
        <v>0.67092777773315448</v>
      </c>
      <c r="D2611" s="14" t="s">
        <v>2652</v>
      </c>
      <c r="E2611" s="14" t="s">
        <v>46</v>
      </c>
    </row>
    <row r="2612" spans="1:5" x14ac:dyDescent="0.25">
      <c r="A2612" s="36">
        <v>2610</v>
      </c>
      <c r="B2612" s="37">
        <v>1141102426</v>
      </c>
      <c r="C2612" s="38">
        <v>0.53136722488858146</v>
      </c>
      <c r="D2612" s="14" t="s">
        <v>2653</v>
      </c>
      <c r="E2612" s="14" t="s">
        <v>48</v>
      </c>
    </row>
    <row r="2613" spans="1:5" x14ac:dyDescent="0.25">
      <c r="A2613" s="36">
        <v>2611</v>
      </c>
      <c r="B2613" s="37">
        <v>1078345195</v>
      </c>
      <c r="C2613" s="38">
        <v>0.50214361189964396</v>
      </c>
      <c r="D2613" s="14" t="s">
        <v>2654</v>
      </c>
      <c r="E2613" s="14" t="s">
        <v>37</v>
      </c>
    </row>
    <row r="2614" spans="1:5" x14ac:dyDescent="0.25">
      <c r="A2614" s="36">
        <v>2612</v>
      </c>
      <c r="B2614" s="37">
        <v>145455941</v>
      </c>
      <c r="C2614" s="38">
        <v>6.7733200764159299E-2</v>
      </c>
      <c r="D2614" s="14" t="s">
        <v>2655</v>
      </c>
      <c r="E2614" s="14" t="s">
        <v>40</v>
      </c>
    </row>
    <row r="2615" spans="1:5" x14ac:dyDescent="0.25">
      <c r="A2615" s="36">
        <v>2613</v>
      </c>
      <c r="B2615" s="37">
        <v>167799880</v>
      </c>
      <c r="C2615" s="38">
        <v>7.8137908167269968E-2</v>
      </c>
      <c r="D2615" s="14" t="s">
        <v>2656</v>
      </c>
      <c r="E2615" s="14" t="s">
        <v>43</v>
      </c>
    </row>
    <row r="2616" spans="1:5" x14ac:dyDescent="0.25">
      <c r="A2616" s="36">
        <v>2614</v>
      </c>
      <c r="B2616" s="37">
        <v>2091065109</v>
      </c>
      <c r="C2616" s="38">
        <v>0.97372807095466563</v>
      </c>
      <c r="D2616" s="14" t="s">
        <v>2657</v>
      </c>
      <c r="E2616" s="14" t="s">
        <v>46</v>
      </c>
    </row>
    <row r="2617" spans="1:5" x14ac:dyDescent="0.25">
      <c r="A2617" s="36">
        <v>2615</v>
      </c>
      <c r="B2617" s="37">
        <v>406823083</v>
      </c>
      <c r="C2617" s="38">
        <v>0.18944176062449894</v>
      </c>
      <c r="D2617" s="14" t="s">
        <v>2658</v>
      </c>
      <c r="E2617" s="14" t="s">
        <v>48</v>
      </c>
    </row>
    <row r="2618" spans="1:5" x14ac:dyDescent="0.25">
      <c r="A2618" s="36">
        <v>2616</v>
      </c>
      <c r="B2618" s="37">
        <v>40242641</v>
      </c>
      <c r="C2618" s="38">
        <v>1.8739440021449439E-2</v>
      </c>
      <c r="D2618" s="14" t="s">
        <v>2659</v>
      </c>
      <c r="E2618" s="14" t="s">
        <v>37</v>
      </c>
    </row>
    <row r="2619" spans="1:5" x14ac:dyDescent="0.25">
      <c r="A2619" s="36">
        <v>2617</v>
      </c>
      <c r="B2619" s="37">
        <v>1585997524</v>
      </c>
      <c r="C2619" s="38">
        <v>0.73853764903663544</v>
      </c>
      <c r="D2619" s="14" t="s">
        <v>2660</v>
      </c>
      <c r="E2619" s="14" t="s">
        <v>40</v>
      </c>
    </row>
    <row r="2620" spans="1:5" x14ac:dyDescent="0.25">
      <c r="A2620" s="36">
        <v>2618</v>
      </c>
      <c r="B2620" s="37">
        <v>1830512165</v>
      </c>
      <c r="C2620" s="38">
        <v>0.85239865158330586</v>
      </c>
      <c r="D2620" s="14" t="s">
        <v>2661</v>
      </c>
      <c r="E2620" s="14" t="s">
        <v>43</v>
      </c>
    </row>
    <row r="2621" spans="1:5" x14ac:dyDescent="0.25">
      <c r="A2621" s="36">
        <v>2619</v>
      </c>
      <c r="B2621" s="37">
        <v>725125015</v>
      </c>
      <c r="C2621" s="38">
        <v>0.33766264810118019</v>
      </c>
      <c r="D2621" s="14" t="s">
        <v>2662</v>
      </c>
      <c r="E2621" s="14" t="s">
        <v>46</v>
      </c>
    </row>
    <row r="2622" spans="1:5" x14ac:dyDescent="0.25">
      <c r="A2622" s="36">
        <v>2620</v>
      </c>
      <c r="B2622" s="37">
        <v>840668042</v>
      </c>
      <c r="C2622" s="38">
        <v>0.39146656281848746</v>
      </c>
      <c r="D2622" s="14" t="s">
        <v>2663</v>
      </c>
      <c r="E2622" s="14" t="s">
        <v>48</v>
      </c>
    </row>
    <row r="2623" spans="1:5" x14ac:dyDescent="0.25">
      <c r="A2623" s="36">
        <v>2621</v>
      </c>
      <c r="B2623" s="37">
        <v>757227191</v>
      </c>
      <c r="C2623" s="38">
        <v>0.35261138870968084</v>
      </c>
      <c r="D2623" s="14" t="s">
        <v>2664</v>
      </c>
      <c r="E2623" s="14" t="s">
        <v>37</v>
      </c>
    </row>
    <row r="2624" spans="1:5" x14ac:dyDescent="0.25">
      <c r="A2624" s="36">
        <v>2622</v>
      </c>
      <c r="B2624" s="37">
        <v>2027069788</v>
      </c>
      <c r="C2624" s="38">
        <v>0.94392792738225684</v>
      </c>
      <c r="D2624" s="14" t="s">
        <v>2665</v>
      </c>
      <c r="E2624" s="14" t="s">
        <v>40</v>
      </c>
    </row>
    <row r="2625" spans="1:5" x14ac:dyDescent="0.25">
      <c r="A2625" s="36">
        <v>2623</v>
      </c>
      <c r="B2625" s="37">
        <v>226477699</v>
      </c>
      <c r="C2625" s="38">
        <v>0.10546189691194421</v>
      </c>
      <c r="D2625" s="14" t="s">
        <v>2666</v>
      </c>
      <c r="E2625" s="14" t="s">
        <v>43</v>
      </c>
    </row>
    <row r="2626" spans="1:5" x14ac:dyDescent="0.25">
      <c r="A2626" s="36">
        <v>2624</v>
      </c>
      <c r="B2626" s="37">
        <v>936503230</v>
      </c>
      <c r="C2626" s="38">
        <v>0.4360932998527276</v>
      </c>
      <c r="D2626" s="14" t="s">
        <v>2667</v>
      </c>
      <c r="E2626" s="14" t="s">
        <v>46</v>
      </c>
    </row>
    <row r="2627" spans="1:5" x14ac:dyDescent="0.25">
      <c r="A2627" s="36">
        <v>2625</v>
      </c>
      <c r="B2627" s="37">
        <v>1443266437</v>
      </c>
      <c r="C2627" s="38">
        <v>0.67207330729443271</v>
      </c>
      <c r="D2627" s="14" t="s">
        <v>2668</v>
      </c>
      <c r="E2627" s="14" t="s">
        <v>48</v>
      </c>
    </row>
    <row r="2628" spans="1:5" x14ac:dyDescent="0.25">
      <c r="A2628" s="36">
        <v>2626</v>
      </c>
      <c r="B2628" s="37">
        <v>631274747</v>
      </c>
      <c r="C2628" s="38">
        <v>0.2939602114697733</v>
      </c>
      <c r="D2628" s="14" t="s">
        <v>2669</v>
      </c>
      <c r="E2628" s="14" t="s">
        <v>37</v>
      </c>
    </row>
    <row r="2629" spans="1:5" x14ac:dyDescent="0.25">
      <c r="A2629" s="36">
        <v>2627</v>
      </c>
      <c r="B2629" s="37">
        <v>1273742710</v>
      </c>
      <c r="C2629" s="38">
        <v>0.59313267031364736</v>
      </c>
      <c r="D2629" s="14" t="s">
        <v>2670</v>
      </c>
      <c r="E2629" s="14" t="s">
        <v>40</v>
      </c>
    </row>
    <row r="2630" spans="1:5" x14ac:dyDescent="0.25">
      <c r="A2630" s="36">
        <v>2628</v>
      </c>
      <c r="B2630" s="37">
        <v>1353322225</v>
      </c>
      <c r="C2630" s="38">
        <v>0.63018976972912888</v>
      </c>
      <c r="D2630" s="14" t="s">
        <v>2671</v>
      </c>
      <c r="E2630" s="14" t="s">
        <v>43</v>
      </c>
    </row>
    <row r="2631" spans="1:5" x14ac:dyDescent="0.25">
      <c r="A2631" s="36">
        <v>2629</v>
      </c>
      <c r="B2631" s="37">
        <v>211729699</v>
      </c>
      <c r="C2631" s="38">
        <v>9.859432424353172E-2</v>
      </c>
      <c r="D2631" s="14" t="s">
        <v>2672</v>
      </c>
      <c r="E2631" s="14" t="s">
        <v>46</v>
      </c>
    </row>
    <row r="2632" spans="1:5" x14ac:dyDescent="0.25">
      <c r="A2632" s="36">
        <v>2630</v>
      </c>
      <c r="B2632" s="37">
        <v>407372087</v>
      </c>
      <c r="C2632" s="38">
        <v>0.18969741053399508</v>
      </c>
      <c r="D2632" s="14" t="s">
        <v>2673</v>
      </c>
      <c r="E2632" s="14" t="s">
        <v>48</v>
      </c>
    </row>
    <row r="2633" spans="1:5" x14ac:dyDescent="0.25">
      <c r="A2633" s="36">
        <v>2631</v>
      </c>
      <c r="B2633" s="37">
        <v>1190575766</v>
      </c>
      <c r="C2633" s="38">
        <v>0.55440504409112268</v>
      </c>
      <c r="D2633" s="14" t="s">
        <v>2674</v>
      </c>
      <c r="E2633" s="14" t="s">
        <v>37</v>
      </c>
    </row>
    <row r="2634" spans="1:5" x14ac:dyDescent="0.25">
      <c r="A2634" s="36">
        <v>2632</v>
      </c>
      <c r="B2634" s="37">
        <v>1134197186</v>
      </c>
      <c r="C2634" s="38">
        <v>0.52815172193951521</v>
      </c>
      <c r="D2634" s="14" t="s">
        <v>2675</v>
      </c>
      <c r="E2634" s="14" t="s">
        <v>40</v>
      </c>
    </row>
    <row r="2635" spans="1:5" x14ac:dyDescent="0.25">
      <c r="A2635" s="36">
        <v>2633</v>
      </c>
      <c r="B2635" s="37">
        <v>466212939</v>
      </c>
      <c r="C2635" s="38">
        <v>0.21709731743535834</v>
      </c>
      <c r="D2635" s="14" t="s">
        <v>2676</v>
      </c>
      <c r="E2635" s="14" t="s">
        <v>43</v>
      </c>
    </row>
    <row r="2636" spans="1:5" x14ac:dyDescent="0.25">
      <c r="A2636" s="36">
        <v>2634</v>
      </c>
      <c r="B2636" s="37">
        <v>825578690</v>
      </c>
      <c r="C2636" s="38">
        <v>0.38444003573825586</v>
      </c>
      <c r="D2636" s="14" t="s">
        <v>2677</v>
      </c>
      <c r="E2636" s="14" t="s">
        <v>46</v>
      </c>
    </row>
    <row r="2637" spans="1:5" x14ac:dyDescent="0.25">
      <c r="A2637" s="36">
        <v>2635</v>
      </c>
      <c r="B2637" s="37">
        <v>1122324703</v>
      </c>
      <c r="C2637" s="38">
        <v>0.52262316621962146</v>
      </c>
      <c r="D2637" s="14" t="s">
        <v>2678</v>
      </c>
      <c r="E2637" s="14" t="s">
        <v>48</v>
      </c>
    </row>
    <row r="2638" spans="1:5" x14ac:dyDescent="0.25">
      <c r="A2638" s="36">
        <v>2636</v>
      </c>
      <c r="B2638" s="37">
        <v>1713450705</v>
      </c>
      <c r="C2638" s="38">
        <v>0.79788766140019873</v>
      </c>
      <c r="D2638" s="14" t="s">
        <v>2679</v>
      </c>
      <c r="E2638" s="14" t="s">
        <v>37</v>
      </c>
    </row>
    <row r="2639" spans="1:5" x14ac:dyDescent="0.25">
      <c r="A2639" s="36">
        <v>2637</v>
      </c>
      <c r="B2639" s="37">
        <v>927129060</v>
      </c>
      <c r="C2639" s="38">
        <v>0.4317281117810533</v>
      </c>
      <c r="D2639" s="14" t="s">
        <v>2680</v>
      </c>
      <c r="E2639" s="14" t="s">
        <v>40</v>
      </c>
    </row>
    <row r="2640" spans="1:5" x14ac:dyDescent="0.25">
      <c r="A2640" s="36">
        <v>2638</v>
      </c>
      <c r="B2640" s="37">
        <v>1519126289</v>
      </c>
      <c r="C2640" s="38">
        <v>0.7073983036481768</v>
      </c>
      <c r="D2640" s="14" t="s">
        <v>2681</v>
      </c>
      <c r="E2640" s="14" t="s">
        <v>43</v>
      </c>
    </row>
    <row r="2641" spans="1:5" x14ac:dyDescent="0.25">
      <c r="A2641" s="36">
        <v>2639</v>
      </c>
      <c r="B2641" s="37">
        <v>1360465094</v>
      </c>
      <c r="C2641" s="38">
        <v>0.6335159273042883</v>
      </c>
      <c r="D2641" s="14" t="s">
        <v>2682</v>
      </c>
      <c r="E2641" s="14" t="s">
        <v>46</v>
      </c>
    </row>
    <row r="2642" spans="1:5" x14ac:dyDescent="0.25">
      <c r="A2642" s="36">
        <v>2640</v>
      </c>
      <c r="B2642" s="37">
        <v>1226282132</v>
      </c>
      <c r="C2642" s="38">
        <v>0.57103211645550656</v>
      </c>
      <c r="D2642" s="14" t="s">
        <v>2683</v>
      </c>
      <c r="E2642" s="14" t="s">
        <v>48</v>
      </c>
    </row>
    <row r="2643" spans="1:5" x14ac:dyDescent="0.25">
      <c r="A2643" s="36">
        <v>2641</v>
      </c>
      <c r="B2643" s="37">
        <v>1515648964</v>
      </c>
      <c r="C2643" s="38">
        <v>0.70577904801153535</v>
      </c>
      <c r="D2643" s="14" t="s">
        <v>2684</v>
      </c>
      <c r="E2643" s="14" t="s">
        <v>37</v>
      </c>
    </row>
    <row r="2644" spans="1:5" x14ac:dyDescent="0.25">
      <c r="A2644" s="36">
        <v>2642</v>
      </c>
      <c r="B2644" s="37">
        <v>734498134</v>
      </c>
      <c r="C2644" s="38">
        <v>0.34202734676284124</v>
      </c>
      <c r="D2644" s="14" t="s">
        <v>2685</v>
      </c>
      <c r="E2644" s="14" t="s">
        <v>40</v>
      </c>
    </row>
    <row r="2645" spans="1:5" x14ac:dyDescent="0.25">
      <c r="A2645" s="36">
        <v>2643</v>
      </c>
      <c r="B2645" s="37">
        <v>1162876062</v>
      </c>
      <c r="C2645" s="38">
        <v>0.54150636426243293</v>
      </c>
      <c r="D2645" s="14" t="s">
        <v>2686</v>
      </c>
      <c r="E2645" s="14" t="s">
        <v>43</v>
      </c>
    </row>
    <row r="2646" spans="1:5" x14ac:dyDescent="0.25">
      <c r="A2646" s="36">
        <v>2644</v>
      </c>
      <c r="B2646" s="37">
        <v>758297676</v>
      </c>
      <c r="C2646" s="38">
        <v>0.35310987213305656</v>
      </c>
      <c r="D2646" s="14" t="s">
        <v>2687</v>
      </c>
      <c r="E2646" s="14" t="s">
        <v>46</v>
      </c>
    </row>
    <row r="2647" spans="1:5" x14ac:dyDescent="0.25">
      <c r="A2647" s="36">
        <v>2645</v>
      </c>
      <c r="B2647" s="37">
        <v>1464687403</v>
      </c>
      <c r="C2647" s="38">
        <v>0.68204822190201297</v>
      </c>
      <c r="D2647" s="14" t="s">
        <v>2688</v>
      </c>
      <c r="E2647" s="14" t="s">
        <v>48</v>
      </c>
    </row>
    <row r="2648" spans="1:5" x14ac:dyDescent="0.25">
      <c r="A2648" s="36">
        <v>2646</v>
      </c>
      <c r="B2648" s="37">
        <v>1693714756</v>
      </c>
      <c r="C2648" s="38">
        <v>0.78869739397833938</v>
      </c>
      <c r="D2648" s="14" t="s">
        <v>2689</v>
      </c>
      <c r="E2648" s="14" t="s">
        <v>37</v>
      </c>
    </row>
    <row r="2649" spans="1:5" x14ac:dyDescent="0.25">
      <c r="A2649" s="36">
        <v>2647</v>
      </c>
      <c r="B2649" s="37">
        <v>3967994</v>
      </c>
      <c r="C2649" s="38">
        <v>1.8477411949298071E-3</v>
      </c>
      <c r="D2649" s="14" t="s">
        <v>2690</v>
      </c>
      <c r="E2649" s="14" t="s">
        <v>40</v>
      </c>
    </row>
    <row r="2650" spans="1:5" x14ac:dyDescent="0.25">
      <c r="A2650" s="36">
        <v>2648</v>
      </c>
      <c r="B2650" s="37">
        <v>179418901</v>
      </c>
      <c r="C2650" s="38">
        <v>8.3548436445905094E-2</v>
      </c>
      <c r="D2650" s="14" t="s">
        <v>2691</v>
      </c>
      <c r="E2650" s="14" t="s">
        <v>43</v>
      </c>
    </row>
    <row r="2651" spans="1:5" x14ac:dyDescent="0.25">
      <c r="A2651" s="36">
        <v>2649</v>
      </c>
      <c r="B2651" s="37">
        <v>2004270252</v>
      </c>
      <c r="C2651" s="38">
        <v>0.93331106609353376</v>
      </c>
      <c r="D2651" s="14" t="s">
        <v>2692</v>
      </c>
      <c r="E2651" s="14" t="s">
        <v>46</v>
      </c>
    </row>
    <row r="2652" spans="1:5" x14ac:dyDescent="0.25">
      <c r="A2652" s="36">
        <v>2650</v>
      </c>
      <c r="B2652" s="37">
        <v>159827083</v>
      </c>
      <c r="C2652" s="38">
        <v>7.4425285251077861E-2</v>
      </c>
      <c r="D2652" s="14" t="s">
        <v>2693</v>
      </c>
      <c r="E2652" s="14" t="s">
        <v>48</v>
      </c>
    </row>
    <row r="2653" spans="1:5" x14ac:dyDescent="0.25">
      <c r="A2653" s="36">
        <v>2651</v>
      </c>
      <c r="B2653" s="37">
        <v>472593497</v>
      </c>
      <c r="C2653" s="38">
        <v>0.2200684962887636</v>
      </c>
      <c r="D2653" s="14" t="s">
        <v>2694</v>
      </c>
      <c r="E2653" s="14" t="s">
        <v>37</v>
      </c>
    </row>
    <row r="2654" spans="1:5" x14ac:dyDescent="0.25">
      <c r="A2654" s="36">
        <v>2652</v>
      </c>
      <c r="B2654" s="37">
        <v>2117249225</v>
      </c>
      <c r="C2654" s="38">
        <v>0.98592100012391848</v>
      </c>
      <c r="D2654" s="14" t="s">
        <v>2695</v>
      </c>
      <c r="E2654" s="14" t="s">
        <v>40</v>
      </c>
    </row>
    <row r="2655" spans="1:5" x14ac:dyDescent="0.25">
      <c r="A2655" s="36">
        <v>2653</v>
      </c>
      <c r="B2655" s="37">
        <v>1341892118</v>
      </c>
      <c r="C2655" s="38">
        <v>0.62486721138696522</v>
      </c>
      <c r="D2655" s="14" t="s">
        <v>2696</v>
      </c>
      <c r="E2655" s="14" t="s">
        <v>43</v>
      </c>
    </row>
    <row r="2656" spans="1:5" x14ac:dyDescent="0.25">
      <c r="A2656" s="36">
        <v>2654</v>
      </c>
      <c r="B2656" s="37">
        <v>1217987944</v>
      </c>
      <c r="C2656" s="38">
        <v>0.5671698341924557</v>
      </c>
      <c r="D2656" s="14" t="s">
        <v>2697</v>
      </c>
      <c r="E2656" s="14" t="s">
        <v>46</v>
      </c>
    </row>
    <row r="2657" spans="1:5" x14ac:dyDescent="0.25">
      <c r="A2657" s="36">
        <v>2655</v>
      </c>
      <c r="B2657" s="37">
        <v>1804734827</v>
      </c>
      <c r="C2657" s="38">
        <v>0.84039514318126962</v>
      </c>
      <c r="D2657" s="14" t="s">
        <v>2698</v>
      </c>
      <c r="E2657" s="14" t="s">
        <v>48</v>
      </c>
    </row>
    <row r="2658" spans="1:5" x14ac:dyDescent="0.25">
      <c r="A2658" s="36">
        <v>2656</v>
      </c>
      <c r="B2658" s="37">
        <v>424857625</v>
      </c>
      <c r="C2658" s="38">
        <v>0.19783974867213505</v>
      </c>
      <c r="D2658" s="14" t="s">
        <v>2699</v>
      </c>
      <c r="E2658" s="14" t="s">
        <v>37</v>
      </c>
    </row>
    <row r="2659" spans="1:5" x14ac:dyDescent="0.25">
      <c r="A2659" s="36">
        <v>2657</v>
      </c>
      <c r="B2659" s="37">
        <v>1459847425</v>
      </c>
      <c r="C2659" s="38">
        <v>0.67979443151494234</v>
      </c>
      <c r="D2659" s="14" t="s">
        <v>2700</v>
      </c>
      <c r="E2659" s="14" t="s">
        <v>40</v>
      </c>
    </row>
    <row r="2660" spans="1:5" x14ac:dyDescent="0.25">
      <c r="A2660" s="36">
        <v>2658</v>
      </c>
      <c r="B2660" s="37">
        <v>640494203</v>
      </c>
      <c r="C2660" s="38">
        <v>0.29825335522100949</v>
      </c>
      <c r="D2660" s="14" t="s">
        <v>2701</v>
      </c>
      <c r="E2660" s="14" t="s">
        <v>43</v>
      </c>
    </row>
    <row r="2661" spans="1:5" x14ac:dyDescent="0.25">
      <c r="A2661" s="36">
        <v>2659</v>
      </c>
      <c r="B2661" s="37">
        <v>1370599648</v>
      </c>
      <c r="C2661" s="38">
        <v>0.63823519676841567</v>
      </c>
      <c r="D2661" s="14" t="s">
        <v>2702</v>
      </c>
      <c r="E2661" s="14" t="s">
        <v>46</v>
      </c>
    </row>
    <row r="2662" spans="1:5" x14ac:dyDescent="0.25">
      <c r="A2662" s="36">
        <v>2660</v>
      </c>
      <c r="B2662" s="37">
        <v>1960731797</v>
      </c>
      <c r="C2662" s="38">
        <v>0.91303689308140279</v>
      </c>
      <c r="D2662" s="14" t="s">
        <v>2703</v>
      </c>
      <c r="E2662" s="14" t="s">
        <v>48</v>
      </c>
    </row>
    <row r="2663" spans="1:5" x14ac:dyDescent="0.25">
      <c r="A2663" s="36">
        <v>2661</v>
      </c>
      <c r="B2663" s="37">
        <v>443653517</v>
      </c>
      <c r="C2663" s="38">
        <v>0.206592267941028</v>
      </c>
      <c r="D2663" s="14" t="s">
        <v>2704</v>
      </c>
      <c r="E2663" s="14" t="s">
        <v>37</v>
      </c>
    </row>
    <row r="2664" spans="1:5" x14ac:dyDescent="0.25">
      <c r="A2664" s="36">
        <v>2662</v>
      </c>
      <c r="B2664" s="37">
        <v>1002725582</v>
      </c>
      <c r="C2664" s="38">
        <v>0.46693048554795352</v>
      </c>
      <c r="D2664" s="14" t="s">
        <v>2705</v>
      </c>
      <c r="E2664" s="14" t="s">
        <v>40</v>
      </c>
    </row>
    <row r="2665" spans="1:5" x14ac:dyDescent="0.25">
      <c r="A2665" s="36">
        <v>2663</v>
      </c>
      <c r="B2665" s="37">
        <v>2015612374</v>
      </c>
      <c r="C2665" s="38">
        <v>0.93859265322731467</v>
      </c>
      <c r="D2665" s="14" t="s">
        <v>2706</v>
      </c>
      <c r="E2665" s="14" t="s">
        <v>43</v>
      </c>
    </row>
    <row r="2666" spans="1:5" x14ac:dyDescent="0.25">
      <c r="A2666" s="36">
        <v>2664</v>
      </c>
      <c r="B2666" s="37">
        <v>876708356</v>
      </c>
      <c r="C2666" s="38">
        <v>0.40824914183851757</v>
      </c>
      <c r="D2666" s="14" t="s">
        <v>2707</v>
      </c>
      <c r="E2666" s="14" t="s">
        <v>46</v>
      </c>
    </row>
    <row r="2667" spans="1:5" x14ac:dyDescent="0.25">
      <c r="A2667" s="36">
        <v>2665</v>
      </c>
      <c r="B2667" s="37">
        <v>805209096</v>
      </c>
      <c r="C2667" s="38">
        <v>0.37495470436986289</v>
      </c>
      <c r="D2667" s="14" t="s">
        <v>2708</v>
      </c>
      <c r="E2667" s="14" t="s">
        <v>48</v>
      </c>
    </row>
    <row r="2668" spans="1:5" x14ac:dyDescent="0.25">
      <c r="A2668" s="36">
        <v>2666</v>
      </c>
      <c r="B2668" s="37">
        <v>2043174336</v>
      </c>
      <c r="C2668" s="38">
        <v>0.95142719193893821</v>
      </c>
      <c r="D2668" s="14" t="s">
        <v>2709</v>
      </c>
      <c r="E2668" s="14" t="s">
        <v>37</v>
      </c>
    </row>
    <row r="2669" spans="1:5" x14ac:dyDescent="0.25">
      <c r="A2669" s="36">
        <v>2667</v>
      </c>
      <c r="B2669" s="37">
        <v>1758355545</v>
      </c>
      <c r="C2669" s="38">
        <v>0.81879810701068401</v>
      </c>
      <c r="D2669" s="14" t="s">
        <v>2710</v>
      </c>
      <c r="E2669" s="14" t="s">
        <v>40</v>
      </c>
    </row>
    <row r="2670" spans="1:5" x14ac:dyDescent="0.25">
      <c r="A2670" s="36">
        <v>2668</v>
      </c>
      <c r="B2670" s="37">
        <v>840112578</v>
      </c>
      <c r="C2670" s="38">
        <v>0.3912079047370739</v>
      </c>
      <c r="D2670" s="14" t="s">
        <v>2711</v>
      </c>
      <c r="E2670" s="14" t="s">
        <v>43</v>
      </c>
    </row>
    <row r="2671" spans="1:5" x14ac:dyDescent="0.25">
      <c r="A2671" s="36">
        <v>2669</v>
      </c>
      <c r="B2671" s="37">
        <v>1738964448</v>
      </c>
      <c r="C2671" s="38">
        <v>0.80976842381515002</v>
      </c>
      <c r="D2671" s="14" t="s">
        <v>2712</v>
      </c>
      <c r="E2671" s="14" t="s">
        <v>46</v>
      </c>
    </row>
    <row r="2672" spans="1:5" x14ac:dyDescent="0.25">
      <c r="A2672" s="36">
        <v>2670</v>
      </c>
      <c r="B2672" s="37">
        <v>553593063</v>
      </c>
      <c r="C2672" s="38">
        <v>0.25778685848125577</v>
      </c>
      <c r="D2672" s="14" t="s">
        <v>2713</v>
      </c>
      <c r="E2672" s="14" t="s">
        <v>48</v>
      </c>
    </row>
    <row r="2673" spans="1:5" x14ac:dyDescent="0.25">
      <c r="A2673" s="36">
        <v>2671</v>
      </c>
      <c r="B2673" s="37">
        <v>306552127</v>
      </c>
      <c r="C2673" s="38">
        <v>0.14274945815221846</v>
      </c>
      <c r="D2673" s="14" t="s">
        <v>2714</v>
      </c>
      <c r="E2673" s="14" t="s">
        <v>37</v>
      </c>
    </row>
    <row r="2674" spans="1:5" x14ac:dyDescent="0.25">
      <c r="A2674" s="36">
        <v>2672</v>
      </c>
      <c r="B2674" s="37">
        <v>1103735228</v>
      </c>
      <c r="C2674" s="38">
        <v>0.51396676735671554</v>
      </c>
      <c r="D2674" s="14" t="s">
        <v>2715</v>
      </c>
      <c r="E2674" s="14" t="s">
        <v>40</v>
      </c>
    </row>
    <row r="2675" spans="1:5" x14ac:dyDescent="0.25">
      <c r="A2675" s="36">
        <v>2673</v>
      </c>
      <c r="B2675" s="37">
        <v>11962306</v>
      </c>
      <c r="C2675" s="38">
        <v>5.5703828137230052E-3</v>
      </c>
      <c r="D2675" s="14" t="s">
        <v>2716</v>
      </c>
      <c r="E2675" s="14" t="s">
        <v>43</v>
      </c>
    </row>
    <row r="2676" spans="1:5" x14ac:dyDescent="0.25">
      <c r="A2676" s="36">
        <v>2674</v>
      </c>
      <c r="B2676" s="37">
        <v>1102923889</v>
      </c>
      <c r="C2676" s="38">
        <v>0.51358895819335659</v>
      </c>
      <c r="D2676" s="14" t="s">
        <v>2717</v>
      </c>
      <c r="E2676" s="14" t="s">
        <v>46</v>
      </c>
    </row>
    <row r="2677" spans="1:5" x14ac:dyDescent="0.25">
      <c r="A2677" s="36">
        <v>2675</v>
      </c>
      <c r="B2677" s="37">
        <v>285127294</v>
      </c>
      <c r="C2677" s="38">
        <v>0.13277274283243937</v>
      </c>
      <c r="D2677" s="14" t="s">
        <v>2718</v>
      </c>
      <c r="E2677" s="14" t="s">
        <v>48</v>
      </c>
    </row>
    <row r="2678" spans="1:5" x14ac:dyDescent="0.25">
      <c r="A2678" s="36">
        <v>2676</v>
      </c>
      <c r="B2678" s="37">
        <v>47027985</v>
      </c>
      <c r="C2678" s="38">
        <v>2.1899112044786621E-2</v>
      </c>
      <c r="D2678" s="14" t="s">
        <v>2719</v>
      </c>
      <c r="E2678" s="14" t="s">
        <v>37</v>
      </c>
    </row>
    <row r="2679" spans="1:5" x14ac:dyDescent="0.25">
      <c r="A2679" s="36">
        <v>2677</v>
      </c>
      <c r="B2679" s="37">
        <v>196735904</v>
      </c>
      <c r="C2679" s="38">
        <v>9.1612294358952115E-2</v>
      </c>
      <c r="D2679" s="14" t="s">
        <v>2720</v>
      </c>
      <c r="E2679" s="14" t="s">
        <v>40</v>
      </c>
    </row>
    <row r="2680" spans="1:5" x14ac:dyDescent="0.25">
      <c r="A2680" s="36">
        <v>2678</v>
      </c>
      <c r="B2680" s="37">
        <v>915695146</v>
      </c>
      <c r="C2680" s="38">
        <v>0.42640378066636797</v>
      </c>
      <c r="D2680" s="14" t="s">
        <v>2721</v>
      </c>
      <c r="E2680" s="14" t="s">
        <v>43</v>
      </c>
    </row>
    <row r="2681" spans="1:5" x14ac:dyDescent="0.25">
      <c r="A2681" s="36">
        <v>2679</v>
      </c>
      <c r="B2681" s="37">
        <v>483505153</v>
      </c>
      <c r="C2681" s="38">
        <v>0.2251496320707489</v>
      </c>
      <c r="D2681" s="14" t="s">
        <v>2722</v>
      </c>
      <c r="E2681" s="14" t="s">
        <v>46</v>
      </c>
    </row>
    <row r="2682" spans="1:5" x14ac:dyDescent="0.25">
      <c r="A2682" s="36">
        <v>2680</v>
      </c>
      <c r="B2682" s="37">
        <v>1424766299</v>
      </c>
      <c r="C2682" s="38">
        <v>0.66345850921397032</v>
      </c>
      <c r="D2682" s="14" t="s">
        <v>2723</v>
      </c>
      <c r="E2682" s="14" t="s">
        <v>48</v>
      </c>
    </row>
    <row r="2683" spans="1:5" x14ac:dyDescent="0.25">
      <c r="A2683" s="36">
        <v>2681</v>
      </c>
      <c r="B2683" s="37">
        <v>1604568277</v>
      </c>
      <c r="C2683" s="38">
        <v>0.74718532978891639</v>
      </c>
      <c r="D2683" s="14" t="s">
        <v>2724</v>
      </c>
      <c r="E2683" s="14" t="s">
        <v>37</v>
      </c>
    </row>
    <row r="2684" spans="1:5" x14ac:dyDescent="0.25">
      <c r="A2684" s="36">
        <v>2682</v>
      </c>
      <c r="B2684" s="37">
        <v>286050925</v>
      </c>
      <c r="C2684" s="38">
        <v>0.13320284203309699</v>
      </c>
      <c r="D2684" s="14" t="s">
        <v>2725</v>
      </c>
      <c r="E2684" s="14" t="s">
        <v>40</v>
      </c>
    </row>
    <row r="2685" spans="1:5" x14ac:dyDescent="0.25">
      <c r="A2685" s="36">
        <v>2683</v>
      </c>
      <c r="B2685" s="37">
        <v>2003110655</v>
      </c>
      <c r="C2685" s="38">
        <v>0.9327710866615041</v>
      </c>
      <c r="D2685" s="14" t="s">
        <v>2726</v>
      </c>
      <c r="E2685" s="14" t="s">
        <v>43</v>
      </c>
    </row>
    <row r="2686" spans="1:5" x14ac:dyDescent="0.25">
      <c r="A2686" s="36">
        <v>2684</v>
      </c>
      <c r="B2686" s="37">
        <v>569429311</v>
      </c>
      <c r="C2686" s="38">
        <v>0.2651611861144943</v>
      </c>
      <c r="D2686" s="14" t="s">
        <v>2727</v>
      </c>
      <c r="E2686" s="14" t="s">
        <v>46</v>
      </c>
    </row>
    <row r="2687" spans="1:5" x14ac:dyDescent="0.25">
      <c r="A2687" s="36">
        <v>2685</v>
      </c>
      <c r="B2687" s="37">
        <v>1922971049</v>
      </c>
      <c r="C2687" s="38">
        <v>0.89545317454983164</v>
      </c>
      <c r="D2687" s="14" t="s">
        <v>2728</v>
      </c>
      <c r="E2687" s="14" t="s">
        <v>48</v>
      </c>
    </row>
    <row r="2688" spans="1:5" x14ac:dyDescent="0.25">
      <c r="A2688" s="36">
        <v>2686</v>
      </c>
      <c r="B2688" s="37">
        <v>1433452860</v>
      </c>
      <c r="C2688" s="38">
        <v>0.66750350439339112</v>
      </c>
      <c r="D2688" s="14" t="s">
        <v>2729</v>
      </c>
      <c r="E2688" s="14" t="s">
        <v>37</v>
      </c>
    </row>
    <row r="2689" spans="1:5" x14ac:dyDescent="0.25">
      <c r="A2689" s="36">
        <v>2687</v>
      </c>
      <c r="B2689" s="37">
        <v>1595121551</v>
      </c>
      <c r="C2689" s="38">
        <v>0.74278635519686453</v>
      </c>
      <c r="D2689" s="14" t="s">
        <v>2730</v>
      </c>
      <c r="E2689" s="14" t="s">
        <v>40</v>
      </c>
    </row>
    <row r="2690" spans="1:5" x14ac:dyDescent="0.25">
      <c r="A2690" s="36">
        <v>2688</v>
      </c>
      <c r="B2690" s="37">
        <v>1997202756</v>
      </c>
      <c r="C2690" s="38">
        <v>0.93002000680659902</v>
      </c>
      <c r="D2690" s="14" t="s">
        <v>2731</v>
      </c>
      <c r="E2690" s="14" t="s">
        <v>43</v>
      </c>
    </row>
    <row r="2691" spans="1:5" x14ac:dyDescent="0.25">
      <c r="A2691" s="36">
        <v>2689</v>
      </c>
      <c r="B2691" s="37">
        <v>51465949</v>
      </c>
      <c r="C2691" s="38">
        <v>2.3965700075014355E-2</v>
      </c>
      <c r="D2691" s="14" t="s">
        <v>2732</v>
      </c>
      <c r="E2691" s="14" t="s">
        <v>46</v>
      </c>
    </row>
    <row r="2692" spans="1:5" x14ac:dyDescent="0.25">
      <c r="A2692" s="36">
        <v>2690</v>
      </c>
      <c r="B2692" s="37">
        <v>2102500971</v>
      </c>
      <c r="C2692" s="38">
        <v>0.97905330917753897</v>
      </c>
      <c r="D2692" s="14" t="s">
        <v>2733</v>
      </c>
      <c r="E2692" s="14" t="s">
        <v>48</v>
      </c>
    </row>
    <row r="2693" spans="1:5" x14ac:dyDescent="0.25">
      <c r="A2693" s="36">
        <v>2691</v>
      </c>
      <c r="B2693" s="37">
        <v>389971625</v>
      </c>
      <c r="C2693" s="38">
        <v>0.18159468899555256</v>
      </c>
      <c r="D2693" s="14" t="s">
        <v>2734</v>
      </c>
      <c r="E2693" s="14" t="s">
        <v>37</v>
      </c>
    </row>
    <row r="2694" spans="1:5" x14ac:dyDescent="0.25">
      <c r="A2694" s="36">
        <v>2692</v>
      </c>
      <c r="B2694" s="37">
        <v>798512305</v>
      </c>
      <c r="C2694" s="38">
        <v>0.37183626805051989</v>
      </c>
      <c r="D2694" s="14" t="s">
        <v>2735</v>
      </c>
      <c r="E2694" s="14" t="s">
        <v>40</v>
      </c>
    </row>
    <row r="2695" spans="1:5" x14ac:dyDescent="0.25">
      <c r="A2695" s="36">
        <v>2693</v>
      </c>
      <c r="B2695" s="37">
        <v>507262991</v>
      </c>
      <c r="C2695" s="38">
        <v>0.23621273750262928</v>
      </c>
      <c r="D2695" s="14" t="s">
        <v>2736</v>
      </c>
      <c r="E2695" s="14" t="s">
        <v>43</v>
      </c>
    </row>
    <row r="2696" spans="1:5" x14ac:dyDescent="0.25">
      <c r="A2696" s="36">
        <v>2694</v>
      </c>
      <c r="B2696" s="37">
        <v>1028703744</v>
      </c>
      <c r="C2696" s="38">
        <v>0.47902750991239562</v>
      </c>
      <c r="D2696" s="14" t="s">
        <v>2737</v>
      </c>
      <c r="E2696" s="14" t="s">
        <v>46</v>
      </c>
    </row>
    <row r="2697" spans="1:5" x14ac:dyDescent="0.25">
      <c r="A2697" s="36">
        <v>2695</v>
      </c>
      <c r="B2697" s="37">
        <v>1584999432</v>
      </c>
      <c r="C2697" s="38">
        <v>0.7380728762308475</v>
      </c>
      <c r="D2697" s="14" t="s">
        <v>2738</v>
      </c>
      <c r="E2697" s="14" t="s">
        <v>48</v>
      </c>
    </row>
    <row r="2698" spans="1:5" x14ac:dyDescent="0.25">
      <c r="A2698" s="36">
        <v>2696</v>
      </c>
      <c r="B2698" s="37">
        <v>486284996</v>
      </c>
      <c r="C2698" s="38">
        <v>0.2264440973412451</v>
      </c>
      <c r="D2698" s="14" t="s">
        <v>2739</v>
      </c>
      <c r="E2698" s="14" t="s">
        <v>37</v>
      </c>
    </row>
    <row r="2699" spans="1:5" x14ac:dyDescent="0.25">
      <c r="A2699" s="36">
        <v>2697</v>
      </c>
      <c r="B2699" s="37">
        <v>715676589</v>
      </c>
      <c r="C2699" s="38">
        <v>0.33326288188493947</v>
      </c>
      <c r="D2699" s="14" t="s">
        <v>2740</v>
      </c>
      <c r="E2699" s="14" t="s">
        <v>40</v>
      </c>
    </row>
    <row r="2700" spans="1:5" x14ac:dyDescent="0.25">
      <c r="A2700" s="36">
        <v>2698</v>
      </c>
      <c r="B2700" s="37">
        <v>1869611020</v>
      </c>
      <c r="C2700" s="38">
        <v>0.87060547474334271</v>
      </c>
      <c r="D2700" s="14" t="s">
        <v>2741</v>
      </c>
      <c r="E2700" s="14" t="s">
        <v>43</v>
      </c>
    </row>
    <row r="2701" spans="1:5" x14ac:dyDescent="0.25">
      <c r="A2701" s="36">
        <v>2699</v>
      </c>
      <c r="B2701" s="37">
        <v>107337908</v>
      </c>
      <c r="C2701" s="38">
        <v>4.9983108439474885E-2</v>
      </c>
      <c r="D2701" s="14" t="s">
        <v>2742</v>
      </c>
      <c r="E2701" s="14" t="s">
        <v>46</v>
      </c>
    </row>
    <row r="2702" spans="1:5" x14ac:dyDescent="0.25">
      <c r="A2702" s="36">
        <v>2700</v>
      </c>
      <c r="B2702" s="37">
        <v>1300754817</v>
      </c>
      <c r="C2702" s="38">
        <v>0.60571116283801907</v>
      </c>
      <c r="D2702" s="14" t="s">
        <v>2743</v>
      </c>
      <c r="E2702" s="14" t="s">
        <v>48</v>
      </c>
    </row>
    <row r="2703" spans="1:5" x14ac:dyDescent="0.25">
      <c r="A2703" s="36">
        <v>2701</v>
      </c>
      <c r="B2703" s="37">
        <v>1815609161</v>
      </c>
      <c r="C2703" s="38">
        <v>0.84545889955268194</v>
      </c>
      <c r="D2703" s="14" t="s">
        <v>2744</v>
      </c>
      <c r="E2703" s="14" t="s">
        <v>37</v>
      </c>
    </row>
    <row r="2704" spans="1:5" x14ac:dyDescent="0.25">
      <c r="A2704" s="36">
        <v>2702</v>
      </c>
      <c r="B2704" s="37">
        <v>2033482059</v>
      </c>
      <c r="C2704" s="38">
        <v>0.94691387375207337</v>
      </c>
      <c r="D2704" s="14" t="s">
        <v>2745</v>
      </c>
      <c r="E2704" s="14" t="s">
        <v>40</v>
      </c>
    </row>
    <row r="2705" spans="1:5" x14ac:dyDescent="0.25">
      <c r="A2705" s="36">
        <v>2703</v>
      </c>
      <c r="B2705" s="37">
        <v>618138384</v>
      </c>
      <c r="C2705" s="38">
        <v>0.28784311576180305</v>
      </c>
      <c r="D2705" s="14" t="s">
        <v>2746</v>
      </c>
      <c r="E2705" s="14" t="s">
        <v>43</v>
      </c>
    </row>
    <row r="2706" spans="1:5" x14ac:dyDescent="0.25">
      <c r="A2706" s="36">
        <v>2704</v>
      </c>
      <c r="B2706" s="37">
        <v>1147613889</v>
      </c>
      <c r="C2706" s="38">
        <v>0.53439936113283004</v>
      </c>
      <c r="D2706" s="14" t="s">
        <v>2747</v>
      </c>
      <c r="E2706" s="14" t="s">
        <v>46</v>
      </c>
    </row>
    <row r="2707" spans="1:5" x14ac:dyDescent="0.25">
      <c r="A2707" s="36">
        <v>2705</v>
      </c>
      <c r="B2707" s="37">
        <v>1221328861</v>
      </c>
      <c r="C2707" s="38">
        <v>0.56872556990418843</v>
      </c>
      <c r="D2707" s="14" t="s">
        <v>2748</v>
      </c>
      <c r="E2707" s="14" t="s">
        <v>48</v>
      </c>
    </row>
    <row r="2708" spans="1:5" x14ac:dyDescent="0.25">
      <c r="A2708" s="36">
        <v>2706</v>
      </c>
      <c r="B2708" s="37">
        <v>861958522</v>
      </c>
      <c r="C2708" s="38">
        <v>0.40138071514730372</v>
      </c>
      <c r="D2708" s="14" t="s">
        <v>2749</v>
      </c>
      <c r="E2708" s="14" t="s">
        <v>37</v>
      </c>
    </row>
    <row r="2709" spans="1:5" x14ac:dyDescent="0.25">
      <c r="A2709" s="36">
        <v>2707</v>
      </c>
      <c r="B2709" s="37">
        <v>1518306397</v>
      </c>
      <c r="C2709" s="38">
        <v>0.70701651168382562</v>
      </c>
      <c r="D2709" s="14" t="s">
        <v>2750</v>
      </c>
      <c r="E2709" s="14" t="s">
        <v>40</v>
      </c>
    </row>
    <row r="2710" spans="1:5" x14ac:dyDescent="0.25">
      <c r="A2710" s="36">
        <v>2708</v>
      </c>
      <c r="B2710" s="37">
        <v>281849639</v>
      </c>
      <c r="C2710" s="38">
        <v>0.13124646578507798</v>
      </c>
      <c r="D2710" s="14" t="s">
        <v>2751</v>
      </c>
      <c r="E2710" s="14" t="s">
        <v>43</v>
      </c>
    </row>
    <row r="2711" spans="1:5" x14ac:dyDescent="0.25">
      <c r="A2711" s="36">
        <v>2709</v>
      </c>
      <c r="B2711" s="37">
        <v>1064286137</v>
      </c>
      <c r="C2711" s="38">
        <v>0.49559685284998123</v>
      </c>
      <c r="D2711" s="14" t="s">
        <v>2752</v>
      </c>
      <c r="E2711" s="14" t="s">
        <v>46</v>
      </c>
    </row>
    <row r="2712" spans="1:5" x14ac:dyDescent="0.25">
      <c r="A2712" s="36">
        <v>2710</v>
      </c>
      <c r="B2712" s="37">
        <v>1768723497</v>
      </c>
      <c r="C2712" s="38">
        <v>0.82362606088799706</v>
      </c>
      <c r="D2712" s="14" t="s">
        <v>2753</v>
      </c>
      <c r="E2712" s="14" t="s">
        <v>48</v>
      </c>
    </row>
    <row r="2713" spans="1:5" x14ac:dyDescent="0.25">
      <c r="A2713" s="36">
        <v>2711</v>
      </c>
      <c r="B2713" s="37">
        <v>1376828086</v>
      </c>
      <c r="C2713" s="38">
        <v>0.6411355392267627</v>
      </c>
      <c r="D2713" s="14" t="s">
        <v>2754</v>
      </c>
      <c r="E2713" s="14" t="s">
        <v>37</v>
      </c>
    </row>
    <row r="2714" spans="1:5" x14ac:dyDescent="0.25">
      <c r="A2714" s="36">
        <v>2712</v>
      </c>
      <c r="B2714" s="37">
        <v>1300446031</v>
      </c>
      <c r="C2714" s="38">
        <v>0.60556737315168951</v>
      </c>
      <c r="D2714" s="14" t="s">
        <v>2755</v>
      </c>
      <c r="E2714" s="14" t="s">
        <v>40</v>
      </c>
    </row>
    <row r="2715" spans="1:5" x14ac:dyDescent="0.25">
      <c r="A2715" s="36">
        <v>2713</v>
      </c>
      <c r="B2715" s="37">
        <v>1082184144</v>
      </c>
      <c r="C2715" s="38">
        <v>0.50393126183372516</v>
      </c>
      <c r="D2715" s="14" t="s">
        <v>2756</v>
      </c>
      <c r="E2715" s="14" t="s">
        <v>43</v>
      </c>
    </row>
    <row r="2716" spans="1:5" x14ac:dyDescent="0.25">
      <c r="A2716" s="36">
        <v>2714</v>
      </c>
      <c r="B2716" s="37">
        <v>1408190341</v>
      </c>
      <c r="C2716" s="38">
        <v>0.65573972726973695</v>
      </c>
      <c r="D2716" s="14" t="s">
        <v>2757</v>
      </c>
      <c r="E2716" s="14" t="s">
        <v>46</v>
      </c>
    </row>
    <row r="2717" spans="1:5" x14ac:dyDescent="0.25">
      <c r="A2717" s="36">
        <v>2715</v>
      </c>
      <c r="B2717" s="37">
        <v>1377974983</v>
      </c>
      <c r="C2717" s="38">
        <v>0.64166960476044077</v>
      </c>
      <c r="D2717" s="14" t="s">
        <v>2758</v>
      </c>
      <c r="E2717" s="14" t="s">
        <v>48</v>
      </c>
    </row>
    <row r="2718" spans="1:5" x14ac:dyDescent="0.25">
      <c r="A2718" s="36">
        <v>2716</v>
      </c>
      <c r="B2718" s="37">
        <v>1226212773</v>
      </c>
      <c r="C2718" s="38">
        <v>0.57099981865426519</v>
      </c>
      <c r="D2718" s="14" t="s">
        <v>2759</v>
      </c>
      <c r="E2718" s="14" t="s">
        <v>37</v>
      </c>
    </row>
    <row r="2719" spans="1:5" x14ac:dyDescent="0.25">
      <c r="A2719" s="36">
        <v>2717</v>
      </c>
      <c r="B2719" s="37">
        <v>2029976427</v>
      </c>
      <c r="C2719" s="38">
        <v>0.94528143664136599</v>
      </c>
      <c r="D2719" s="14" t="s">
        <v>2760</v>
      </c>
      <c r="E2719" s="14" t="s">
        <v>40</v>
      </c>
    </row>
    <row r="2720" spans="1:5" x14ac:dyDescent="0.25">
      <c r="A2720" s="36">
        <v>2718</v>
      </c>
      <c r="B2720" s="37">
        <v>119102483</v>
      </c>
      <c r="C2720" s="38">
        <v>5.5461415581154368E-2</v>
      </c>
      <c r="D2720" s="14" t="s">
        <v>2761</v>
      </c>
      <c r="E2720" s="14" t="s">
        <v>43</v>
      </c>
    </row>
    <row r="2721" spans="1:5" x14ac:dyDescent="0.25">
      <c r="A2721" s="36">
        <v>2719</v>
      </c>
      <c r="B2721" s="37">
        <v>826579699</v>
      </c>
      <c r="C2721" s="38">
        <v>0.38490616687801954</v>
      </c>
      <c r="D2721" s="14" t="s">
        <v>2762</v>
      </c>
      <c r="E2721" s="14" t="s">
        <v>46</v>
      </c>
    </row>
    <row r="2722" spans="1:5" x14ac:dyDescent="0.25">
      <c r="A2722" s="36">
        <v>2720</v>
      </c>
      <c r="B2722" s="37">
        <v>879520356</v>
      </c>
      <c r="C2722" s="38">
        <v>0.40955858137903667</v>
      </c>
      <c r="D2722" s="14" t="s">
        <v>2763</v>
      </c>
      <c r="E2722" s="14" t="s">
        <v>48</v>
      </c>
    </row>
    <row r="2723" spans="1:5" x14ac:dyDescent="0.25">
      <c r="A2723" s="36">
        <v>2721</v>
      </c>
      <c r="B2723" s="37">
        <v>2082642283</v>
      </c>
      <c r="C2723" s="38">
        <v>0.9698058869549101</v>
      </c>
      <c r="D2723" s="14" t="s">
        <v>2764</v>
      </c>
      <c r="E2723" s="14" t="s">
        <v>37</v>
      </c>
    </row>
    <row r="2724" spans="1:5" x14ac:dyDescent="0.25">
      <c r="A2724" s="36">
        <v>2722</v>
      </c>
      <c r="B2724" s="37">
        <v>1323106696</v>
      </c>
      <c r="C2724" s="38">
        <v>0.61611956759175268</v>
      </c>
      <c r="D2724" s="14" t="s">
        <v>2765</v>
      </c>
      <c r="E2724" s="14" t="s">
        <v>40</v>
      </c>
    </row>
    <row r="2725" spans="1:5" x14ac:dyDescent="0.25">
      <c r="A2725" s="36">
        <v>2723</v>
      </c>
      <c r="B2725" s="37">
        <v>1922817361</v>
      </c>
      <c r="C2725" s="38">
        <v>0.89538160799787458</v>
      </c>
      <c r="D2725" s="14" t="s">
        <v>2766</v>
      </c>
      <c r="E2725" s="14" t="s">
        <v>43</v>
      </c>
    </row>
    <row r="2726" spans="1:5" x14ac:dyDescent="0.25">
      <c r="A2726" s="36">
        <v>2724</v>
      </c>
      <c r="B2726" s="37">
        <v>1166488653</v>
      </c>
      <c r="C2726" s="38">
        <v>0.54318860803879265</v>
      </c>
      <c r="D2726" s="14" t="s">
        <v>2767</v>
      </c>
      <c r="E2726" s="14" t="s">
        <v>46</v>
      </c>
    </row>
    <row r="2727" spans="1:5" x14ac:dyDescent="0.25">
      <c r="A2727" s="36">
        <v>2725</v>
      </c>
      <c r="B2727" s="37">
        <v>1052120351</v>
      </c>
      <c r="C2727" s="38">
        <v>0.4899317172774727</v>
      </c>
      <c r="D2727" s="14" t="s">
        <v>2768</v>
      </c>
      <c r="E2727" s="14" t="s">
        <v>48</v>
      </c>
    </row>
    <row r="2728" spans="1:5" x14ac:dyDescent="0.25">
      <c r="A2728" s="36">
        <v>2726</v>
      </c>
      <c r="B2728" s="37">
        <v>137089410</v>
      </c>
      <c r="C2728" s="38">
        <v>6.383723116658499E-2</v>
      </c>
      <c r="D2728" s="14" t="s">
        <v>2769</v>
      </c>
      <c r="E2728" s="14" t="s">
        <v>37</v>
      </c>
    </row>
    <row r="2729" spans="1:5" x14ac:dyDescent="0.25">
      <c r="A2729" s="36">
        <v>2727</v>
      </c>
      <c r="B2729" s="37">
        <v>299237900</v>
      </c>
      <c r="C2729" s="38">
        <v>0.13934350579015142</v>
      </c>
      <c r="D2729" s="14" t="s">
        <v>2770</v>
      </c>
      <c r="E2729" s="14" t="s">
        <v>40</v>
      </c>
    </row>
    <row r="2730" spans="1:5" x14ac:dyDescent="0.25">
      <c r="A2730" s="36">
        <v>2728</v>
      </c>
      <c r="B2730" s="37">
        <v>474832896</v>
      </c>
      <c r="C2730" s="38">
        <v>0.22111129771038485</v>
      </c>
      <c r="D2730" s="14" t="s">
        <v>2771</v>
      </c>
      <c r="E2730" s="14" t="s">
        <v>43</v>
      </c>
    </row>
    <row r="2731" spans="1:5" x14ac:dyDescent="0.25">
      <c r="A2731" s="36">
        <v>2729</v>
      </c>
      <c r="B2731" s="37">
        <v>1621258508</v>
      </c>
      <c r="C2731" s="38">
        <v>0.75495732424545914</v>
      </c>
      <c r="D2731" s="14" t="s">
        <v>2772</v>
      </c>
      <c r="E2731" s="14" t="s">
        <v>46</v>
      </c>
    </row>
    <row r="2732" spans="1:5" x14ac:dyDescent="0.25">
      <c r="A2732" s="36">
        <v>2730</v>
      </c>
      <c r="B2732" s="37">
        <v>1744348608</v>
      </c>
      <c r="C2732" s="38">
        <v>0.81227561869298837</v>
      </c>
      <c r="D2732" s="14" t="s">
        <v>2773</v>
      </c>
      <c r="E2732" s="14" t="s">
        <v>48</v>
      </c>
    </row>
    <row r="2733" spans="1:5" x14ac:dyDescent="0.25">
      <c r="A2733" s="36">
        <v>2731</v>
      </c>
      <c r="B2733" s="37">
        <v>1173258132</v>
      </c>
      <c r="C2733" s="38">
        <v>0.5463408923458033</v>
      </c>
      <c r="D2733" s="14" t="s">
        <v>2774</v>
      </c>
      <c r="E2733" s="14" t="s">
        <v>37</v>
      </c>
    </row>
    <row r="2734" spans="1:5" x14ac:dyDescent="0.25">
      <c r="A2734" s="36">
        <v>2732</v>
      </c>
      <c r="B2734" s="37">
        <v>1172457017</v>
      </c>
      <c r="C2734" s="38">
        <v>0.54596784410344801</v>
      </c>
      <c r="D2734" s="14" t="s">
        <v>2775</v>
      </c>
      <c r="E2734" s="14" t="s">
        <v>40</v>
      </c>
    </row>
    <row r="2735" spans="1:5" x14ac:dyDescent="0.25">
      <c r="A2735" s="36">
        <v>2733</v>
      </c>
      <c r="B2735" s="37">
        <v>1283856429</v>
      </c>
      <c r="C2735" s="38">
        <v>0.59784223772484912</v>
      </c>
      <c r="D2735" s="14" t="s">
        <v>2776</v>
      </c>
      <c r="E2735" s="14" t="s">
        <v>43</v>
      </c>
    </row>
    <row r="2736" spans="1:5" x14ac:dyDescent="0.25">
      <c r="A2736" s="36">
        <v>2734</v>
      </c>
      <c r="B2736" s="37">
        <v>1767131867</v>
      </c>
      <c r="C2736" s="38">
        <v>0.82288490041293427</v>
      </c>
      <c r="D2736" s="14" t="s">
        <v>2777</v>
      </c>
      <c r="E2736" s="14" t="s">
        <v>46</v>
      </c>
    </row>
    <row r="2737" spans="1:5" x14ac:dyDescent="0.25">
      <c r="A2737" s="36">
        <v>2735</v>
      </c>
      <c r="B2737" s="37">
        <v>2063722734</v>
      </c>
      <c r="C2737" s="38">
        <v>0.96099578540818564</v>
      </c>
      <c r="D2737" s="14" t="s">
        <v>2778</v>
      </c>
      <c r="E2737" s="14" t="s">
        <v>48</v>
      </c>
    </row>
    <row r="2738" spans="1:5" x14ac:dyDescent="0.25">
      <c r="A2738" s="36">
        <v>2736</v>
      </c>
      <c r="B2738" s="37">
        <v>2108490726</v>
      </c>
      <c r="C2738" s="38">
        <v>0.98184250620279578</v>
      </c>
      <c r="D2738" s="14" t="s">
        <v>2779</v>
      </c>
      <c r="E2738" s="14" t="s">
        <v>37</v>
      </c>
    </row>
    <row r="2739" spans="1:5" x14ac:dyDescent="0.25">
      <c r="A2739" s="36">
        <v>2737</v>
      </c>
      <c r="B2739" s="37">
        <v>1867823626</v>
      </c>
      <c r="C2739" s="38">
        <v>0.869773154551989</v>
      </c>
      <c r="D2739" s="14" t="s">
        <v>2780</v>
      </c>
      <c r="E2739" s="14" t="s">
        <v>40</v>
      </c>
    </row>
    <row r="2740" spans="1:5" x14ac:dyDescent="0.25">
      <c r="A2740" s="36">
        <v>2738</v>
      </c>
      <c r="B2740" s="37">
        <v>1357674800</v>
      </c>
      <c r="C2740" s="38">
        <v>0.63221659540767627</v>
      </c>
      <c r="D2740" s="14" t="s">
        <v>2781</v>
      </c>
      <c r="E2740" s="14" t="s">
        <v>43</v>
      </c>
    </row>
    <row r="2741" spans="1:5" x14ac:dyDescent="0.25">
      <c r="A2741" s="36">
        <v>2739</v>
      </c>
      <c r="B2741" s="37">
        <v>1719290243</v>
      </c>
      <c r="C2741" s="38">
        <v>0.80060690818382751</v>
      </c>
      <c r="D2741" s="14" t="s">
        <v>2782</v>
      </c>
      <c r="E2741" s="14" t="s">
        <v>46</v>
      </c>
    </row>
    <row r="2742" spans="1:5" x14ac:dyDescent="0.25">
      <c r="A2742" s="36">
        <v>2740</v>
      </c>
      <c r="B2742" s="37">
        <v>1473132188</v>
      </c>
      <c r="C2742" s="38">
        <v>0.68598063135798115</v>
      </c>
      <c r="D2742" s="14" t="s">
        <v>2783</v>
      </c>
      <c r="E2742" s="14" t="s">
        <v>48</v>
      </c>
    </row>
    <row r="2743" spans="1:5" x14ac:dyDescent="0.25">
      <c r="A2743" s="36">
        <v>2741</v>
      </c>
      <c r="B2743" s="37">
        <v>821513619</v>
      </c>
      <c r="C2743" s="38">
        <v>0.38254708954251704</v>
      </c>
      <c r="D2743" s="14" t="s">
        <v>2784</v>
      </c>
      <c r="E2743" s="14" t="s">
        <v>37</v>
      </c>
    </row>
    <row r="2744" spans="1:5" x14ac:dyDescent="0.25">
      <c r="A2744" s="36">
        <v>2742</v>
      </c>
      <c r="B2744" s="37">
        <v>1430990125</v>
      </c>
      <c r="C2744" s="38">
        <v>0.66635670404245928</v>
      </c>
      <c r="D2744" s="14" t="s">
        <v>2785</v>
      </c>
      <c r="E2744" s="14" t="s">
        <v>40</v>
      </c>
    </row>
    <row r="2745" spans="1:5" x14ac:dyDescent="0.25">
      <c r="A2745" s="36">
        <v>2743</v>
      </c>
      <c r="B2745" s="37">
        <v>1857427799</v>
      </c>
      <c r="C2745" s="38">
        <v>0.86493222036628625</v>
      </c>
      <c r="D2745" s="14" t="s">
        <v>2786</v>
      </c>
      <c r="E2745" s="14" t="s">
        <v>43</v>
      </c>
    </row>
    <row r="2746" spans="1:5" x14ac:dyDescent="0.25">
      <c r="A2746" s="36">
        <v>2744</v>
      </c>
      <c r="B2746" s="37">
        <v>1666965151</v>
      </c>
      <c r="C2746" s="38">
        <v>0.77624113847326537</v>
      </c>
      <c r="D2746" s="14" t="s">
        <v>2787</v>
      </c>
      <c r="E2746" s="14" t="s">
        <v>46</v>
      </c>
    </row>
    <row r="2747" spans="1:5" x14ac:dyDescent="0.25">
      <c r="A2747" s="36">
        <v>2745</v>
      </c>
      <c r="B2747" s="37">
        <v>543642267</v>
      </c>
      <c r="C2747" s="38">
        <v>0.25315315800400134</v>
      </c>
      <c r="D2747" s="14" t="s">
        <v>2788</v>
      </c>
      <c r="E2747" s="14" t="s">
        <v>48</v>
      </c>
    </row>
    <row r="2748" spans="1:5" x14ac:dyDescent="0.25">
      <c r="A2748" s="36">
        <v>2746</v>
      </c>
      <c r="B2748" s="37">
        <v>499209538</v>
      </c>
      <c r="C2748" s="38">
        <v>0.23246255620963061</v>
      </c>
      <c r="D2748" s="14" t="s">
        <v>2789</v>
      </c>
      <c r="E2748" s="14" t="s">
        <v>37</v>
      </c>
    </row>
    <row r="2749" spans="1:5" x14ac:dyDescent="0.25">
      <c r="A2749" s="36">
        <v>2747</v>
      </c>
      <c r="B2749" s="37">
        <v>447773493</v>
      </c>
      <c r="C2749" s="38">
        <v>0.20851078126975836</v>
      </c>
      <c r="D2749" s="14" t="s">
        <v>2790</v>
      </c>
      <c r="E2749" s="14" t="s">
        <v>40</v>
      </c>
    </row>
    <row r="2750" spans="1:5" x14ac:dyDescent="0.25">
      <c r="A2750" s="36">
        <v>2748</v>
      </c>
      <c r="B2750" s="37">
        <v>1890492111</v>
      </c>
      <c r="C2750" s="38">
        <v>0.88032899046332058</v>
      </c>
      <c r="D2750" s="14" t="s">
        <v>2791</v>
      </c>
      <c r="E2750" s="14" t="s">
        <v>43</v>
      </c>
    </row>
    <row r="2751" spans="1:5" x14ac:dyDescent="0.25">
      <c r="A2751" s="36">
        <v>2749</v>
      </c>
      <c r="B2751" s="37">
        <v>182507988</v>
      </c>
      <c r="C2751" s="38">
        <v>8.4986904675600536E-2</v>
      </c>
      <c r="D2751" s="14" t="s">
        <v>2792</v>
      </c>
      <c r="E2751" s="14" t="s">
        <v>46</v>
      </c>
    </row>
    <row r="2752" spans="1:5" x14ac:dyDescent="0.25">
      <c r="A2752" s="36">
        <v>2750</v>
      </c>
      <c r="B2752" s="37">
        <v>643474362</v>
      </c>
      <c r="C2752" s="38">
        <v>0.29964109989797749</v>
      </c>
      <c r="D2752" s="14" t="s">
        <v>2793</v>
      </c>
      <c r="E2752" s="14" t="s">
        <v>48</v>
      </c>
    </row>
    <row r="2753" spans="1:5" x14ac:dyDescent="0.25">
      <c r="A2753" s="36">
        <v>2751</v>
      </c>
      <c r="B2753" s="37">
        <v>1232534553</v>
      </c>
      <c r="C2753" s="38">
        <v>0.5739436268685123</v>
      </c>
      <c r="D2753" s="14" t="s">
        <v>2794</v>
      </c>
      <c r="E2753" s="14" t="s">
        <v>37</v>
      </c>
    </row>
    <row r="2754" spans="1:5" x14ac:dyDescent="0.25">
      <c r="A2754" s="36">
        <v>2752</v>
      </c>
      <c r="B2754" s="37">
        <v>2120960627</v>
      </c>
      <c r="C2754" s="38">
        <v>0.9876492563577598</v>
      </c>
      <c r="D2754" s="14" t="s">
        <v>2795</v>
      </c>
      <c r="E2754" s="14" t="s">
        <v>40</v>
      </c>
    </row>
    <row r="2755" spans="1:5" x14ac:dyDescent="0.25">
      <c r="A2755" s="36">
        <v>2753</v>
      </c>
      <c r="B2755" s="37">
        <v>752853749</v>
      </c>
      <c r="C2755" s="38">
        <v>0.35057484607704675</v>
      </c>
      <c r="D2755" s="14" t="s">
        <v>2796</v>
      </c>
      <c r="E2755" s="14" t="s">
        <v>43</v>
      </c>
    </row>
    <row r="2756" spans="1:5" x14ac:dyDescent="0.25">
      <c r="A2756" s="36">
        <v>2754</v>
      </c>
      <c r="B2756" s="37">
        <v>145604421</v>
      </c>
      <c r="C2756" s="38">
        <v>6.7802342152130948E-2</v>
      </c>
      <c r="D2756" s="14" t="s">
        <v>2797</v>
      </c>
      <c r="E2756" s="14" t="s">
        <v>46</v>
      </c>
    </row>
    <row r="2757" spans="1:5" x14ac:dyDescent="0.25">
      <c r="A2757" s="36">
        <v>2755</v>
      </c>
      <c r="B2757" s="37">
        <v>355852475</v>
      </c>
      <c r="C2757" s="38">
        <v>0.16570672167730829</v>
      </c>
      <c r="D2757" s="14" t="s">
        <v>2798</v>
      </c>
      <c r="E2757" s="14" t="s">
        <v>48</v>
      </c>
    </row>
    <row r="2758" spans="1:5" x14ac:dyDescent="0.25">
      <c r="A2758" s="36">
        <v>2756</v>
      </c>
      <c r="B2758" s="37">
        <v>972887117</v>
      </c>
      <c r="C2758" s="38">
        <v>0.45303586751829639</v>
      </c>
      <c r="D2758" s="14" t="s">
        <v>2799</v>
      </c>
      <c r="E2758" s="14" t="s">
        <v>37</v>
      </c>
    </row>
    <row r="2759" spans="1:5" x14ac:dyDescent="0.25">
      <c r="A2759" s="36">
        <v>2757</v>
      </c>
      <c r="B2759" s="37">
        <v>2146446065</v>
      </c>
      <c r="C2759" s="38">
        <v>0.99951683822996762</v>
      </c>
      <c r="D2759" s="14" t="s">
        <v>2800</v>
      </c>
      <c r="E2759" s="14" t="s">
        <v>40</v>
      </c>
    </row>
    <row r="2760" spans="1:5" x14ac:dyDescent="0.25">
      <c r="A2760" s="36">
        <v>2758</v>
      </c>
      <c r="B2760" s="37">
        <v>509577861</v>
      </c>
      <c r="C2760" s="38">
        <v>0.2372906828472813</v>
      </c>
      <c r="D2760" s="14" t="s">
        <v>2801</v>
      </c>
      <c r="E2760" s="14" t="s">
        <v>43</v>
      </c>
    </row>
    <row r="2761" spans="1:5" x14ac:dyDescent="0.25">
      <c r="A2761" s="36">
        <v>2759</v>
      </c>
      <c r="B2761" s="37">
        <v>1602027776</v>
      </c>
      <c r="C2761" s="38">
        <v>0.74600231682229901</v>
      </c>
      <c r="D2761" s="14" t="s">
        <v>2802</v>
      </c>
      <c r="E2761" s="14" t="s">
        <v>46</v>
      </c>
    </row>
    <row r="2762" spans="1:5" x14ac:dyDescent="0.25">
      <c r="A2762" s="36">
        <v>2760</v>
      </c>
      <c r="B2762" s="37">
        <v>2101408490</v>
      </c>
      <c r="C2762" s="38">
        <v>0.9785445830684828</v>
      </c>
      <c r="D2762" s="14" t="s">
        <v>2803</v>
      </c>
      <c r="E2762" s="14" t="s">
        <v>48</v>
      </c>
    </row>
    <row r="2763" spans="1:5" x14ac:dyDescent="0.25">
      <c r="A2763" s="36">
        <v>2761</v>
      </c>
      <c r="B2763" s="37">
        <v>846684109</v>
      </c>
      <c r="C2763" s="38">
        <v>0.39426801232354158</v>
      </c>
      <c r="D2763" s="14" t="s">
        <v>2804</v>
      </c>
      <c r="E2763" s="14" t="s">
        <v>37</v>
      </c>
    </row>
    <row r="2764" spans="1:5" x14ac:dyDescent="0.25">
      <c r="A2764" s="36">
        <v>2762</v>
      </c>
      <c r="B2764" s="37">
        <v>934904405</v>
      </c>
      <c r="C2764" s="38">
        <v>0.43534878894470108</v>
      </c>
      <c r="D2764" s="14" t="s">
        <v>2805</v>
      </c>
      <c r="E2764" s="14" t="s">
        <v>40</v>
      </c>
    </row>
    <row r="2765" spans="1:5" x14ac:dyDescent="0.25">
      <c r="A2765" s="36">
        <v>2763</v>
      </c>
      <c r="B2765" s="37">
        <v>891321945</v>
      </c>
      <c r="C2765" s="38">
        <v>0.41505412450761259</v>
      </c>
      <c r="D2765" s="14" t="s">
        <v>2806</v>
      </c>
      <c r="E2765" s="14" t="s">
        <v>43</v>
      </c>
    </row>
    <row r="2766" spans="1:5" x14ac:dyDescent="0.25">
      <c r="A2766" s="36">
        <v>2764</v>
      </c>
      <c r="B2766" s="37">
        <v>942169752</v>
      </c>
      <c r="C2766" s="38">
        <v>0.43873197978303397</v>
      </c>
      <c r="D2766" s="14" t="s">
        <v>2807</v>
      </c>
      <c r="E2766" s="14" t="s">
        <v>46</v>
      </c>
    </row>
    <row r="2767" spans="1:5" x14ac:dyDescent="0.25">
      <c r="A2767" s="36">
        <v>2765</v>
      </c>
      <c r="B2767" s="37">
        <v>1762620863</v>
      </c>
      <c r="C2767" s="38">
        <v>0.82078430048226581</v>
      </c>
      <c r="D2767" s="14" t="s">
        <v>2808</v>
      </c>
      <c r="E2767" s="14" t="s">
        <v>48</v>
      </c>
    </row>
    <row r="2768" spans="1:5" x14ac:dyDescent="0.25">
      <c r="A2768" s="36">
        <v>2766</v>
      </c>
      <c r="B2768" s="37">
        <v>987619546</v>
      </c>
      <c r="C2768" s="38">
        <v>0.45989618937480087</v>
      </c>
      <c r="D2768" s="14" t="s">
        <v>2809</v>
      </c>
      <c r="E2768" s="14" t="s">
        <v>37</v>
      </c>
    </row>
    <row r="2769" spans="1:5" x14ac:dyDescent="0.25">
      <c r="A2769" s="36">
        <v>2767</v>
      </c>
      <c r="B2769" s="37">
        <v>379578550</v>
      </c>
      <c r="C2769" s="38">
        <v>0.17675503630971304</v>
      </c>
      <c r="D2769" s="14" t="s">
        <v>2810</v>
      </c>
      <c r="E2769" s="14" t="s">
        <v>40</v>
      </c>
    </row>
    <row r="2770" spans="1:5" x14ac:dyDescent="0.25">
      <c r="A2770" s="36">
        <v>2768</v>
      </c>
      <c r="B2770" s="37">
        <v>1393608162</v>
      </c>
      <c r="C2770" s="38">
        <v>0.64894937102168304</v>
      </c>
      <c r="D2770" s="14" t="s">
        <v>2811</v>
      </c>
      <c r="E2770" s="14" t="s">
        <v>43</v>
      </c>
    </row>
    <row r="2771" spans="1:5" x14ac:dyDescent="0.25">
      <c r="A2771" s="36">
        <v>2769</v>
      </c>
      <c r="B2771" s="37">
        <v>1984137049</v>
      </c>
      <c r="C2771" s="38">
        <v>0.9239358128625601</v>
      </c>
      <c r="D2771" s="14" t="s">
        <v>2812</v>
      </c>
      <c r="E2771" s="14" t="s">
        <v>46</v>
      </c>
    </row>
    <row r="2772" spans="1:5" x14ac:dyDescent="0.25">
      <c r="A2772" s="36">
        <v>2770</v>
      </c>
      <c r="B2772" s="37">
        <v>1569898590</v>
      </c>
      <c r="C2772" s="38">
        <v>0.73104099870242223</v>
      </c>
      <c r="D2772" s="14" t="s">
        <v>2813</v>
      </c>
      <c r="E2772" s="14" t="s">
        <v>48</v>
      </c>
    </row>
    <row r="2773" spans="1:5" x14ac:dyDescent="0.25">
      <c r="A2773" s="36">
        <v>2771</v>
      </c>
      <c r="B2773" s="37">
        <v>1053343081</v>
      </c>
      <c r="C2773" s="38">
        <v>0.49050109530356761</v>
      </c>
      <c r="D2773" s="14" t="s">
        <v>2814</v>
      </c>
      <c r="E2773" s="14" t="s">
        <v>37</v>
      </c>
    </row>
    <row r="2774" spans="1:5" x14ac:dyDescent="0.25">
      <c r="A2774" s="36">
        <v>2772</v>
      </c>
      <c r="B2774" s="37">
        <v>1734728951</v>
      </c>
      <c r="C2774" s="38">
        <v>0.80779611682882346</v>
      </c>
      <c r="D2774" s="14" t="s">
        <v>2815</v>
      </c>
      <c r="E2774" s="14" t="s">
        <v>40</v>
      </c>
    </row>
    <row r="2775" spans="1:5" x14ac:dyDescent="0.25">
      <c r="A2775" s="36">
        <v>2773</v>
      </c>
      <c r="B2775" s="37">
        <v>651762239</v>
      </c>
      <c r="C2775" s="38">
        <v>0.30350044337264281</v>
      </c>
      <c r="D2775" s="14" t="s">
        <v>2816</v>
      </c>
      <c r="E2775" s="14" t="s">
        <v>43</v>
      </c>
    </row>
    <row r="2776" spans="1:5" x14ac:dyDescent="0.25">
      <c r="A2776" s="36">
        <v>2774</v>
      </c>
      <c r="B2776" s="37">
        <v>1176049650</v>
      </c>
      <c r="C2776" s="38">
        <v>0.54764079421183132</v>
      </c>
      <c r="D2776" s="14" t="s">
        <v>2817</v>
      </c>
      <c r="E2776" s="14" t="s">
        <v>46</v>
      </c>
    </row>
    <row r="2777" spans="1:5" x14ac:dyDescent="0.25">
      <c r="A2777" s="36">
        <v>2775</v>
      </c>
      <c r="B2777" s="37">
        <v>569343859</v>
      </c>
      <c r="C2777" s="38">
        <v>0.26512139442615273</v>
      </c>
      <c r="D2777" s="14" t="s">
        <v>2818</v>
      </c>
      <c r="E2777" s="14" t="s">
        <v>48</v>
      </c>
    </row>
    <row r="2778" spans="1:5" x14ac:dyDescent="0.25">
      <c r="A2778" s="36">
        <v>2776</v>
      </c>
      <c r="B2778" s="37">
        <v>1419901451</v>
      </c>
      <c r="C2778" s="38">
        <v>0.6611931378306789</v>
      </c>
      <c r="D2778" s="14" t="s">
        <v>2819</v>
      </c>
      <c r="E2778" s="14" t="s">
        <v>37</v>
      </c>
    </row>
    <row r="2779" spans="1:5" x14ac:dyDescent="0.25">
      <c r="A2779" s="36">
        <v>2777</v>
      </c>
      <c r="B2779" s="37">
        <v>2104283914</v>
      </c>
      <c r="C2779" s="38">
        <v>0.97988355671050198</v>
      </c>
      <c r="D2779" s="14" t="s">
        <v>2820</v>
      </c>
      <c r="E2779" s="14" t="s">
        <v>40</v>
      </c>
    </row>
    <row r="2780" spans="1:5" x14ac:dyDescent="0.25">
      <c r="A2780" s="36">
        <v>2778</v>
      </c>
      <c r="B2780" s="37">
        <v>320768546</v>
      </c>
      <c r="C2780" s="38">
        <v>0.14936949412774736</v>
      </c>
      <c r="D2780" s="14" t="s">
        <v>2821</v>
      </c>
      <c r="E2780" s="14" t="s">
        <v>43</v>
      </c>
    </row>
    <row r="2781" spans="1:5" x14ac:dyDescent="0.25">
      <c r="A2781" s="36">
        <v>2779</v>
      </c>
      <c r="B2781" s="37">
        <v>1566264910</v>
      </c>
      <c r="C2781" s="38">
        <v>0.72934893459516992</v>
      </c>
      <c r="D2781" s="14" t="s">
        <v>2822</v>
      </c>
      <c r="E2781" s="14" t="s">
        <v>46</v>
      </c>
    </row>
    <row r="2782" spans="1:5" x14ac:dyDescent="0.25">
      <c r="A2782" s="36">
        <v>2780</v>
      </c>
      <c r="B2782" s="37">
        <v>16091033</v>
      </c>
      <c r="C2782" s="38">
        <v>7.4929711443804999E-3</v>
      </c>
      <c r="D2782" s="14" t="s">
        <v>2823</v>
      </c>
      <c r="E2782" s="14" t="s">
        <v>48</v>
      </c>
    </row>
    <row r="2783" spans="1:5" x14ac:dyDescent="0.25">
      <c r="A2783" s="36">
        <v>2781</v>
      </c>
      <c r="B2783" s="37">
        <v>1524563164</v>
      </c>
      <c r="C2783" s="38">
        <v>0.7099300458607869</v>
      </c>
      <c r="D2783" s="14" t="s">
        <v>2824</v>
      </c>
      <c r="E2783" s="14" t="s">
        <v>37</v>
      </c>
    </row>
    <row r="2784" spans="1:5" x14ac:dyDescent="0.25">
      <c r="A2784" s="36">
        <v>2782</v>
      </c>
      <c r="B2784" s="37">
        <v>1678736011</v>
      </c>
      <c r="C2784" s="38">
        <v>0.78172237229613695</v>
      </c>
      <c r="D2784" s="14" t="s">
        <v>2825</v>
      </c>
      <c r="E2784" s="14" t="s">
        <v>40</v>
      </c>
    </row>
    <row r="2785" spans="1:5" x14ac:dyDescent="0.25">
      <c r="A2785" s="36">
        <v>2783</v>
      </c>
      <c r="B2785" s="37">
        <v>1941072186</v>
      </c>
      <c r="C2785" s="38">
        <v>0.90388217331091048</v>
      </c>
      <c r="D2785" s="14" t="s">
        <v>2826</v>
      </c>
      <c r="E2785" s="14" t="s">
        <v>43</v>
      </c>
    </row>
    <row r="2786" spans="1:5" x14ac:dyDescent="0.25">
      <c r="A2786" s="36">
        <v>2784</v>
      </c>
      <c r="B2786" s="37">
        <v>2032950375</v>
      </c>
      <c r="C2786" s="38">
        <v>0.94666628909607708</v>
      </c>
      <c r="D2786" s="14" t="s">
        <v>2827</v>
      </c>
      <c r="E2786" s="14" t="s">
        <v>46</v>
      </c>
    </row>
    <row r="2787" spans="1:5" x14ac:dyDescent="0.25">
      <c r="A2787" s="36">
        <v>2785</v>
      </c>
      <c r="B2787" s="37">
        <v>380090848</v>
      </c>
      <c r="C2787" s="38">
        <v>0.17699359365598932</v>
      </c>
      <c r="D2787" s="14" t="s">
        <v>2828</v>
      </c>
      <c r="E2787" s="14" t="s">
        <v>48</v>
      </c>
    </row>
    <row r="2788" spans="1:5" x14ac:dyDescent="0.25">
      <c r="A2788" s="36">
        <v>2786</v>
      </c>
      <c r="B2788" s="37">
        <v>1575428753</v>
      </c>
      <c r="C2788" s="38">
        <v>0.73361618152522301</v>
      </c>
      <c r="D2788" s="14" t="s">
        <v>2829</v>
      </c>
      <c r="E2788" s="14" t="s">
        <v>37</v>
      </c>
    </row>
    <row r="2789" spans="1:5" x14ac:dyDescent="0.25">
      <c r="A2789" s="36">
        <v>2787</v>
      </c>
      <c r="B2789" s="37">
        <v>2032999614</v>
      </c>
      <c r="C2789" s="38">
        <v>0.94668921779221349</v>
      </c>
      <c r="D2789" s="14" t="s">
        <v>2830</v>
      </c>
      <c r="E2789" s="14" t="s">
        <v>40</v>
      </c>
    </row>
    <row r="2790" spans="1:5" x14ac:dyDescent="0.25">
      <c r="A2790" s="36">
        <v>2788</v>
      </c>
      <c r="B2790" s="37">
        <v>735258737</v>
      </c>
      <c r="C2790" s="38">
        <v>0.3423815301351163</v>
      </c>
      <c r="D2790" s="14" t="s">
        <v>2831</v>
      </c>
      <c r="E2790" s="14" t="s">
        <v>43</v>
      </c>
    </row>
    <row r="2791" spans="1:5" x14ac:dyDescent="0.25">
      <c r="A2791" s="36">
        <v>2789</v>
      </c>
      <c r="B2791" s="37">
        <v>190232907</v>
      </c>
      <c r="C2791" s="38">
        <v>8.8584100403163626E-2</v>
      </c>
      <c r="D2791" s="14" t="s">
        <v>2832</v>
      </c>
      <c r="E2791" s="14" t="s">
        <v>46</v>
      </c>
    </row>
    <row r="2792" spans="1:5" x14ac:dyDescent="0.25">
      <c r="A2792" s="36">
        <v>2790</v>
      </c>
      <c r="B2792" s="37">
        <v>1979678248</v>
      </c>
      <c r="C2792" s="38">
        <v>0.92185952184808417</v>
      </c>
      <c r="D2792" s="14" t="s">
        <v>2833</v>
      </c>
      <c r="E2792" s="14" t="s">
        <v>48</v>
      </c>
    </row>
    <row r="2793" spans="1:5" x14ac:dyDescent="0.25">
      <c r="A2793" s="36">
        <v>2791</v>
      </c>
      <c r="B2793" s="37">
        <v>1487648097</v>
      </c>
      <c r="C2793" s="38">
        <v>0.69274012823251085</v>
      </c>
      <c r="D2793" s="14" t="s">
        <v>2834</v>
      </c>
      <c r="E2793" s="14" t="s">
        <v>37</v>
      </c>
    </row>
    <row r="2794" spans="1:5" x14ac:dyDescent="0.25">
      <c r="A2794" s="36">
        <v>2792</v>
      </c>
      <c r="B2794" s="37">
        <v>1576429447</v>
      </c>
      <c r="C2794" s="38">
        <v>0.73408216598168119</v>
      </c>
      <c r="D2794" s="14" t="s">
        <v>2835</v>
      </c>
      <c r="E2794" s="14" t="s">
        <v>40</v>
      </c>
    </row>
    <row r="2795" spans="1:5" x14ac:dyDescent="0.25">
      <c r="A2795" s="36">
        <v>2793</v>
      </c>
      <c r="B2795" s="37">
        <v>1265869892</v>
      </c>
      <c r="C2795" s="38">
        <v>0.58946660374732063</v>
      </c>
      <c r="D2795" s="14" t="s">
        <v>2836</v>
      </c>
      <c r="E2795" s="14" t="s">
        <v>43</v>
      </c>
    </row>
    <row r="2796" spans="1:5" x14ac:dyDescent="0.25">
      <c r="A2796" s="36">
        <v>2794</v>
      </c>
      <c r="B2796" s="37">
        <v>796154769</v>
      </c>
      <c r="C2796" s="38">
        <v>0.37073845480137435</v>
      </c>
      <c r="D2796" s="14" t="s">
        <v>2837</v>
      </c>
      <c r="E2796" s="14" t="s">
        <v>46</v>
      </c>
    </row>
    <row r="2797" spans="1:5" x14ac:dyDescent="0.25">
      <c r="A2797" s="36">
        <v>2795</v>
      </c>
      <c r="B2797" s="37">
        <v>1929759307</v>
      </c>
      <c r="C2797" s="38">
        <v>0.89861420351016064</v>
      </c>
      <c r="D2797" s="14" t="s">
        <v>2838</v>
      </c>
      <c r="E2797" s="14" t="s">
        <v>48</v>
      </c>
    </row>
    <row r="2798" spans="1:5" x14ac:dyDescent="0.25">
      <c r="A2798" s="36">
        <v>2796</v>
      </c>
      <c r="B2798" s="37">
        <v>599649796</v>
      </c>
      <c r="C2798" s="38">
        <v>0.27923369606921156</v>
      </c>
      <c r="D2798" s="14" t="s">
        <v>2839</v>
      </c>
      <c r="E2798" s="14" t="s">
        <v>37</v>
      </c>
    </row>
    <row r="2799" spans="1:5" x14ac:dyDescent="0.25">
      <c r="A2799" s="36">
        <v>2797</v>
      </c>
      <c r="B2799" s="37">
        <v>2018818346</v>
      </c>
      <c r="C2799" s="38">
        <v>0.94008555027660246</v>
      </c>
      <c r="D2799" s="14" t="s">
        <v>2840</v>
      </c>
      <c r="E2799" s="14" t="s">
        <v>40</v>
      </c>
    </row>
    <row r="2800" spans="1:5" x14ac:dyDescent="0.25">
      <c r="A2800" s="36">
        <v>2798</v>
      </c>
      <c r="B2800" s="37">
        <v>800388861</v>
      </c>
      <c r="C2800" s="38">
        <v>0.37271010753359185</v>
      </c>
      <c r="D2800" s="14" t="s">
        <v>2841</v>
      </c>
      <c r="E2800" s="14" t="s">
        <v>43</v>
      </c>
    </row>
    <row r="2801" spans="1:5" x14ac:dyDescent="0.25">
      <c r="A2801" s="36">
        <v>2799</v>
      </c>
      <c r="B2801" s="37">
        <v>1640416153</v>
      </c>
      <c r="C2801" s="38">
        <v>0.76387829788209793</v>
      </c>
      <c r="D2801" s="14" t="s">
        <v>2842</v>
      </c>
      <c r="E2801" s="14" t="s">
        <v>46</v>
      </c>
    </row>
    <row r="2802" spans="1:5" x14ac:dyDescent="0.25">
      <c r="A2802" s="36">
        <v>2800</v>
      </c>
      <c r="B2802" s="37">
        <v>2138717930</v>
      </c>
      <c r="C2802" s="38">
        <v>0.99591814493570385</v>
      </c>
      <c r="D2802" s="14" t="s">
        <v>2843</v>
      </c>
      <c r="E2802" s="14" t="s">
        <v>48</v>
      </c>
    </row>
    <row r="2803" spans="1:5" x14ac:dyDescent="0.25">
      <c r="A2803" s="36">
        <v>2801</v>
      </c>
      <c r="B2803" s="37">
        <v>262712516</v>
      </c>
      <c r="C2803" s="38">
        <v>0.12233504844938174</v>
      </c>
      <c r="D2803" s="14" t="s">
        <v>2844</v>
      </c>
      <c r="E2803" s="14" t="s">
        <v>37</v>
      </c>
    </row>
    <row r="2804" spans="1:5" x14ac:dyDescent="0.25">
      <c r="A2804" s="36">
        <v>2802</v>
      </c>
      <c r="B2804" s="37">
        <v>469560513</v>
      </c>
      <c r="C2804" s="38">
        <v>0.21865615305428215</v>
      </c>
      <c r="D2804" s="14" t="s">
        <v>2845</v>
      </c>
      <c r="E2804" s="14" t="s">
        <v>40</v>
      </c>
    </row>
    <row r="2805" spans="1:5" x14ac:dyDescent="0.25">
      <c r="A2805" s="36">
        <v>2803</v>
      </c>
      <c r="B2805" s="37">
        <v>226127075</v>
      </c>
      <c r="C2805" s="38">
        <v>0.1052986248886672</v>
      </c>
      <c r="D2805" s="14" t="s">
        <v>2846</v>
      </c>
      <c r="E2805" s="14" t="s">
        <v>43</v>
      </c>
    </row>
    <row r="2806" spans="1:5" x14ac:dyDescent="0.25">
      <c r="A2806" s="36">
        <v>2804</v>
      </c>
      <c r="B2806" s="37">
        <v>1429641614</v>
      </c>
      <c r="C2806" s="38">
        <v>0.6657287546739582</v>
      </c>
      <c r="D2806" s="14" t="s">
        <v>2847</v>
      </c>
      <c r="E2806" s="14" t="s">
        <v>46</v>
      </c>
    </row>
    <row r="2807" spans="1:5" x14ac:dyDescent="0.25">
      <c r="A2807" s="36">
        <v>2805</v>
      </c>
      <c r="B2807" s="37">
        <v>1347566639</v>
      </c>
      <c r="C2807" s="38">
        <v>0.62750961614191048</v>
      </c>
      <c r="D2807" s="14" t="s">
        <v>2848</v>
      </c>
      <c r="E2807" s="14" t="s">
        <v>48</v>
      </c>
    </row>
    <row r="2808" spans="1:5" x14ac:dyDescent="0.25">
      <c r="A2808" s="36">
        <v>2806</v>
      </c>
      <c r="B2808" s="37">
        <v>1966975963</v>
      </c>
      <c r="C2808" s="38">
        <v>0.91594455946048003</v>
      </c>
      <c r="D2808" s="14" t="s">
        <v>2849</v>
      </c>
      <c r="E2808" s="14" t="s">
        <v>37</v>
      </c>
    </row>
    <row r="2809" spans="1:5" x14ac:dyDescent="0.25">
      <c r="A2809" s="36">
        <v>2807</v>
      </c>
      <c r="B2809" s="37">
        <v>193213187</v>
      </c>
      <c r="C2809" s="38">
        <v>8.9971901425147383E-2</v>
      </c>
      <c r="D2809" s="14" t="s">
        <v>2850</v>
      </c>
      <c r="E2809" s="14" t="s">
        <v>40</v>
      </c>
    </row>
    <row r="2810" spans="1:5" x14ac:dyDescent="0.25">
      <c r="A2810" s="36">
        <v>2808</v>
      </c>
      <c r="B2810" s="37">
        <v>2043020678</v>
      </c>
      <c r="C2810" s="38">
        <v>0.95135563935681977</v>
      </c>
      <c r="D2810" s="14" t="s">
        <v>2851</v>
      </c>
      <c r="E2810" s="14" t="s">
        <v>43</v>
      </c>
    </row>
    <row r="2811" spans="1:5" x14ac:dyDescent="0.25">
      <c r="A2811" s="36">
        <v>2809</v>
      </c>
      <c r="B2811" s="37">
        <v>1541327088</v>
      </c>
      <c r="C2811" s="38">
        <v>0.71773635629459109</v>
      </c>
      <c r="D2811" s="14" t="s">
        <v>2852</v>
      </c>
      <c r="E2811" s="14" t="s">
        <v>46</v>
      </c>
    </row>
    <row r="2812" spans="1:5" x14ac:dyDescent="0.25">
      <c r="A2812" s="36">
        <v>2810</v>
      </c>
      <c r="B2812" s="37">
        <v>1246822993</v>
      </c>
      <c r="C2812" s="38">
        <v>0.58059720023563</v>
      </c>
      <c r="D2812" s="14" t="s">
        <v>2853</v>
      </c>
      <c r="E2812" s="14" t="s">
        <v>48</v>
      </c>
    </row>
    <row r="2813" spans="1:5" x14ac:dyDescent="0.25">
      <c r="A2813" s="36">
        <v>2811</v>
      </c>
      <c r="B2813" s="37">
        <v>57677455</v>
      </c>
      <c r="C2813" s="38">
        <v>2.6858157956441007E-2</v>
      </c>
      <c r="D2813" s="14" t="s">
        <v>2854</v>
      </c>
      <c r="E2813" s="14" t="s">
        <v>37</v>
      </c>
    </row>
    <row r="2814" spans="1:5" x14ac:dyDescent="0.25">
      <c r="A2814" s="36">
        <v>2812</v>
      </c>
      <c r="B2814" s="37">
        <v>1175765316</v>
      </c>
      <c r="C2814" s="38">
        <v>0.54750839087530434</v>
      </c>
      <c r="D2814" s="14" t="s">
        <v>2855</v>
      </c>
      <c r="E2814" s="14" t="s">
        <v>40</v>
      </c>
    </row>
    <row r="2815" spans="1:5" x14ac:dyDescent="0.25">
      <c r="A2815" s="36">
        <v>2813</v>
      </c>
      <c r="B2815" s="37">
        <v>1882178496</v>
      </c>
      <c r="C2815" s="38">
        <v>0.87645766179843698</v>
      </c>
      <c r="D2815" s="14" t="s">
        <v>2856</v>
      </c>
      <c r="E2815" s="14" t="s">
        <v>43</v>
      </c>
    </row>
    <row r="2816" spans="1:5" x14ac:dyDescent="0.25">
      <c r="A2816" s="36">
        <v>2814</v>
      </c>
      <c r="B2816" s="37">
        <v>347121381</v>
      </c>
      <c r="C2816" s="38">
        <v>0.16164098920377018</v>
      </c>
      <c r="D2816" s="14" t="s">
        <v>2857</v>
      </c>
      <c r="E2816" s="14" t="s">
        <v>46</v>
      </c>
    </row>
    <row r="2817" spans="1:5" x14ac:dyDescent="0.25">
      <c r="A2817" s="36">
        <v>2815</v>
      </c>
      <c r="B2817" s="37">
        <v>2017969663</v>
      </c>
      <c r="C2817" s="38">
        <v>0.93969035145812219</v>
      </c>
      <c r="D2817" s="14" t="s">
        <v>2858</v>
      </c>
      <c r="E2817" s="14" t="s">
        <v>48</v>
      </c>
    </row>
    <row r="2818" spans="1:5" x14ac:dyDescent="0.25">
      <c r="A2818" s="36">
        <v>2816</v>
      </c>
      <c r="B2818" s="37">
        <v>1190558012</v>
      </c>
      <c r="C2818" s="38">
        <v>0.55439677674062404</v>
      </c>
      <c r="D2818" s="14" t="s">
        <v>2859</v>
      </c>
      <c r="E2818" s="14" t="s">
        <v>37</v>
      </c>
    </row>
    <row r="2819" spans="1:5" x14ac:dyDescent="0.25">
      <c r="A2819" s="36">
        <v>2817</v>
      </c>
      <c r="B2819" s="37">
        <v>1646991394</v>
      </c>
      <c r="C2819" s="38">
        <v>0.76694013307194231</v>
      </c>
      <c r="D2819" s="14" t="s">
        <v>2860</v>
      </c>
      <c r="E2819" s="14" t="s">
        <v>40</v>
      </c>
    </row>
    <row r="2820" spans="1:5" x14ac:dyDescent="0.25">
      <c r="A2820" s="36">
        <v>2818</v>
      </c>
      <c r="B2820" s="37">
        <v>1067594696</v>
      </c>
      <c r="C2820" s="38">
        <v>0.49713752069377226</v>
      </c>
      <c r="D2820" s="14" t="s">
        <v>2861</v>
      </c>
      <c r="E2820" s="14" t="s">
        <v>43</v>
      </c>
    </row>
    <row r="2821" spans="1:5" x14ac:dyDescent="0.25">
      <c r="A2821" s="36">
        <v>2819</v>
      </c>
      <c r="B2821" s="37">
        <v>652338417</v>
      </c>
      <c r="C2821" s="38">
        <v>0.30376874716196617</v>
      </c>
      <c r="D2821" s="14" t="s">
        <v>2862</v>
      </c>
      <c r="E2821" s="14" t="s">
        <v>46</v>
      </c>
    </row>
    <row r="2822" spans="1:5" x14ac:dyDescent="0.25">
      <c r="A2822" s="36">
        <v>2820</v>
      </c>
      <c r="B2822" s="37">
        <v>313544891</v>
      </c>
      <c r="C2822" s="38">
        <v>0.14600571763981399</v>
      </c>
      <c r="D2822" s="14" t="s">
        <v>2863</v>
      </c>
      <c r="E2822" s="14" t="s">
        <v>48</v>
      </c>
    </row>
    <row r="2823" spans="1:5" x14ac:dyDescent="0.25">
      <c r="A2823" s="36">
        <v>2821</v>
      </c>
      <c r="B2823" s="37">
        <v>1372865588</v>
      </c>
      <c r="C2823" s="38">
        <v>0.63929035730626915</v>
      </c>
      <c r="D2823" s="14" t="s">
        <v>2864</v>
      </c>
      <c r="E2823" s="14" t="s">
        <v>37</v>
      </c>
    </row>
    <row r="2824" spans="1:5" x14ac:dyDescent="0.25">
      <c r="A2824" s="36">
        <v>2822</v>
      </c>
      <c r="B2824" s="37">
        <v>545742518</v>
      </c>
      <c r="C2824" s="38">
        <v>0.25413116358878612</v>
      </c>
      <c r="D2824" s="14" t="s">
        <v>2865</v>
      </c>
      <c r="E2824" s="14" t="s">
        <v>40</v>
      </c>
    </row>
    <row r="2825" spans="1:5" x14ac:dyDescent="0.25">
      <c r="A2825" s="36">
        <v>2823</v>
      </c>
      <c r="B2825" s="37">
        <v>316127997</v>
      </c>
      <c r="C2825" s="38">
        <v>0.14720857010558647</v>
      </c>
      <c r="D2825" s="14" t="s">
        <v>2866</v>
      </c>
      <c r="E2825" s="14" t="s">
        <v>43</v>
      </c>
    </row>
    <row r="2826" spans="1:5" x14ac:dyDescent="0.25">
      <c r="A2826" s="36">
        <v>2824</v>
      </c>
      <c r="B2826" s="37">
        <v>1755118944</v>
      </c>
      <c r="C2826" s="38">
        <v>0.81729094722182072</v>
      </c>
      <c r="D2826" s="14" t="s">
        <v>2867</v>
      </c>
      <c r="E2826" s="14" t="s">
        <v>46</v>
      </c>
    </row>
    <row r="2827" spans="1:5" x14ac:dyDescent="0.25">
      <c r="A2827" s="36">
        <v>2825</v>
      </c>
      <c r="B2827" s="37">
        <v>1473303376</v>
      </c>
      <c r="C2827" s="38">
        <v>0.68606034698246998</v>
      </c>
      <c r="D2827" s="14" t="s">
        <v>2868</v>
      </c>
      <c r="E2827" s="14" t="s">
        <v>48</v>
      </c>
    </row>
    <row r="2828" spans="1:5" x14ac:dyDescent="0.25">
      <c r="A2828" s="36">
        <v>2826</v>
      </c>
      <c r="B2828" s="37">
        <v>152894268</v>
      </c>
      <c r="C2828" s="38">
        <v>7.1196941692008145E-2</v>
      </c>
      <c r="D2828" s="14" t="s">
        <v>2869</v>
      </c>
      <c r="E2828" s="14" t="s">
        <v>37</v>
      </c>
    </row>
    <row r="2829" spans="1:5" x14ac:dyDescent="0.25">
      <c r="A2829" s="36">
        <v>2827</v>
      </c>
      <c r="B2829" s="37">
        <v>1205824600</v>
      </c>
      <c r="C2829" s="38">
        <v>0.56150583576481128</v>
      </c>
      <c r="D2829" s="14" t="s">
        <v>2870</v>
      </c>
      <c r="E2829" s="14" t="s">
        <v>40</v>
      </c>
    </row>
    <row r="2830" spans="1:5" x14ac:dyDescent="0.25">
      <c r="A2830" s="36">
        <v>2828</v>
      </c>
      <c r="B2830" s="37">
        <v>2090387143</v>
      </c>
      <c r="C2830" s="38">
        <v>0.97341236843420764</v>
      </c>
      <c r="D2830" s="14" t="s">
        <v>2871</v>
      </c>
      <c r="E2830" s="14" t="s">
        <v>43</v>
      </c>
    </row>
    <row r="2831" spans="1:5" x14ac:dyDescent="0.25">
      <c r="A2831" s="36">
        <v>2829</v>
      </c>
      <c r="B2831" s="37">
        <v>1491865255</v>
      </c>
      <c r="C2831" s="38">
        <v>0.69470389545648537</v>
      </c>
      <c r="D2831" s="14" t="s">
        <v>2872</v>
      </c>
      <c r="E2831" s="14" t="s">
        <v>46</v>
      </c>
    </row>
    <row r="2832" spans="1:5" x14ac:dyDescent="0.25">
      <c r="A2832" s="36">
        <v>2830</v>
      </c>
      <c r="B2832" s="37">
        <v>1017307354</v>
      </c>
      <c r="C2832" s="38">
        <v>0.47372065227186338</v>
      </c>
      <c r="D2832" s="14" t="s">
        <v>2873</v>
      </c>
      <c r="E2832" s="14" t="s">
        <v>48</v>
      </c>
    </row>
    <row r="2833" spans="1:5" x14ac:dyDescent="0.25">
      <c r="A2833" s="36">
        <v>2831</v>
      </c>
      <c r="B2833" s="37">
        <v>731988633</v>
      </c>
      <c r="C2833" s="38">
        <v>0.34085876929613707</v>
      </c>
      <c r="D2833" s="14" t="s">
        <v>2874</v>
      </c>
      <c r="E2833" s="14" t="s">
        <v>37</v>
      </c>
    </row>
    <row r="2834" spans="1:5" x14ac:dyDescent="0.25">
      <c r="A2834" s="36">
        <v>2832</v>
      </c>
      <c r="B2834" s="37">
        <v>891417452</v>
      </c>
      <c r="C2834" s="38">
        <v>0.41509859842020019</v>
      </c>
      <c r="D2834" s="14" t="s">
        <v>2875</v>
      </c>
      <c r="E2834" s="14" t="s">
        <v>40</v>
      </c>
    </row>
    <row r="2835" spans="1:5" x14ac:dyDescent="0.25">
      <c r="A2835" s="36">
        <v>2833</v>
      </c>
      <c r="B2835" s="37">
        <v>1002169049</v>
      </c>
      <c r="C2835" s="38">
        <v>0.4666713296746236</v>
      </c>
      <c r="D2835" s="14" t="s">
        <v>2876</v>
      </c>
      <c r="E2835" s="14" t="s">
        <v>43</v>
      </c>
    </row>
    <row r="2836" spans="1:5" x14ac:dyDescent="0.25">
      <c r="A2836" s="36">
        <v>2834</v>
      </c>
      <c r="B2836" s="37">
        <v>1217972406</v>
      </c>
      <c r="C2836" s="38">
        <v>0.56716259874737007</v>
      </c>
      <c r="D2836" s="14" t="s">
        <v>2877</v>
      </c>
      <c r="E2836" s="14" t="s">
        <v>46</v>
      </c>
    </row>
    <row r="2837" spans="1:5" x14ac:dyDescent="0.25">
      <c r="A2837" s="36">
        <v>2835</v>
      </c>
      <c r="B2837" s="37">
        <v>1711149141</v>
      </c>
      <c r="C2837" s="38">
        <v>0.79681591214463854</v>
      </c>
      <c r="D2837" s="14" t="s">
        <v>2878</v>
      </c>
      <c r="E2837" s="14" t="s">
        <v>48</v>
      </c>
    </row>
    <row r="2838" spans="1:5" x14ac:dyDescent="0.25">
      <c r="A2838" s="36">
        <v>2836</v>
      </c>
      <c r="B2838" s="37">
        <v>1027138208</v>
      </c>
      <c r="C2838" s="38">
        <v>0.47829850040296956</v>
      </c>
      <c r="D2838" s="14" t="s">
        <v>2879</v>
      </c>
      <c r="E2838" s="14" t="s">
        <v>37</v>
      </c>
    </row>
    <row r="2839" spans="1:5" x14ac:dyDescent="0.25">
      <c r="A2839" s="36">
        <v>2837</v>
      </c>
      <c r="B2839" s="37">
        <v>608852843</v>
      </c>
      <c r="C2839" s="38">
        <v>0.28351919878438075</v>
      </c>
      <c r="D2839" s="14" t="s">
        <v>2880</v>
      </c>
      <c r="E2839" s="14" t="s">
        <v>40</v>
      </c>
    </row>
    <row r="2840" spans="1:5" x14ac:dyDescent="0.25">
      <c r="A2840" s="36">
        <v>2838</v>
      </c>
      <c r="B2840" s="37">
        <v>572288323</v>
      </c>
      <c r="C2840" s="38">
        <v>0.26649251732346252</v>
      </c>
      <c r="D2840" s="14" t="s">
        <v>2881</v>
      </c>
      <c r="E2840" s="14" t="s">
        <v>43</v>
      </c>
    </row>
    <row r="2841" spans="1:5" x14ac:dyDescent="0.25">
      <c r="A2841" s="36">
        <v>2839</v>
      </c>
      <c r="B2841" s="37">
        <v>1996158597</v>
      </c>
      <c r="C2841" s="38">
        <v>0.92953378238227857</v>
      </c>
      <c r="D2841" s="14" t="s">
        <v>2882</v>
      </c>
      <c r="E2841" s="14" t="s">
        <v>46</v>
      </c>
    </row>
    <row r="2842" spans="1:5" x14ac:dyDescent="0.25">
      <c r="A2842" s="36">
        <v>2840</v>
      </c>
      <c r="B2842" s="37">
        <v>1484460544</v>
      </c>
      <c r="C2842" s="38">
        <v>0.69125580819847798</v>
      </c>
      <c r="D2842" s="14" t="s">
        <v>2883</v>
      </c>
      <c r="E2842" s="14" t="s">
        <v>48</v>
      </c>
    </row>
    <row r="2843" spans="1:5" x14ac:dyDescent="0.25">
      <c r="A2843" s="36">
        <v>2841</v>
      </c>
      <c r="B2843" s="37">
        <v>99380212</v>
      </c>
      <c r="C2843" s="38">
        <v>4.6277517474385688E-2</v>
      </c>
      <c r="D2843" s="14" t="s">
        <v>2884</v>
      </c>
      <c r="E2843" s="14" t="s">
        <v>37</v>
      </c>
    </row>
    <row r="2844" spans="1:5" x14ac:dyDescent="0.25">
      <c r="A2844" s="36">
        <v>2842</v>
      </c>
      <c r="B2844" s="37">
        <v>1195955113</v>
      </c>
      <c r="C2844" s="38">
        <v>0.55690999774118422</v>
      </c>
      <c r="D2844" s="14" t="s">
        <v>2885</v>
      </c>
      <c r="E2844" s="14" t="s">
        <v>40</v>
      </c>
    </row>
    <row r="2845" spans="1:5" x14ac:dyDescent="0.25">
      <c r="A2845" s="36">
        <v>2843</v>
      </c>
      <c r="B2845" s="37">
        <v>184954371</v>
      </c>
      <c r="C2845" s="38">
        <v>8.6126090533158783E-2</v>
      </c>
      <c r="D2845" s="14" t="s">
        <v>2886</v>
      </c>
      <c r="E2845" s="14" t="s">
        <v>43</v>
      </c>
    </row>
    <row r="2846" spans="1:5" x14ac:dyDescent="0.25">
      <c r="A2846" s="36">
        <v>2844</v>
      </c>
      <c r="B2846" s="37">
        <v>1080142725</v>
      </c>
      <c r="C2846" s="38">
        <v>0.50298065203380804</v>
      </c>
      <c r="D2846" s="14" t="s">
        <v>2887</v>
      </c>
      <c r="E2846" s="14" t="s">
        <v>46</v>
      </c>
    </row>
    <row r="2847" spans="1:5" x14ac:dyDescent="0.25">
      <c r="A2847" s="36">
        <v>2845</v>
      </c>
      <c r="B2847" s="37">
        <v>734358920</v>
      </c>
      <c r="C2847" s="38">
        <v>0.34196252019235984</v>
      </c>
      <c r="D2847" s="14" t="s">
        <v>2888</v>
      </c>
      <c r="E2847" s="14" t="s">
        <v>48</v>
      </c>
    </row>
    <row r="2848" spans="1:5" x14ac:dyDescent="0.25">
      <c r="A2848" s="36">
        <v>2846</v>
      </c>
      <c r="B2848" s="37">
        <v>1365926588</v>
      </c>
      <c r="C2848" s="38">
        <v>0.63605913363213606</v>
      </c>
      <c r="D2848" s="14" t="s">
        <v>2889</v>
      </c>
      <c r="E2848" s="14" t="s">
        <v>37</v>
      </c>
    </row>
    <row r="2849" spans="1:5" x14ac:dyDescent="0.25">
      <c r="A2849" s="36">
        <v>2847</v>
      </c>
      <c r="B2849" s="37">
        <v>1721304731</v>
      </c>
      <c r="C2849" s="38">
        <v>0.80154497725961027</v>
      </c>
      <c r="D2849" s="14" t="s">
        <v>2890</v>
      </c>
      <c r="E2849" s="14" t="s">
        <v>40</v>
      </c>
    </row>
    <row r="2850" spans="1:5" x14ac:dyDescent="0.25">
      <c r="A2850" s="36">
        <v>2848</v>
      </c>
      <c r="B2850" s="37">
        <v>269313774</v>
      </c>
      <c r="C2850" s="38">
        <v>0.12540899874894368</v>
      </c>
      <c r="D2850" s="14" t="s">
        <v>2891</v>
      </c>
      <c r="E2850" s="14" t="s">
        <v>43</v>
      </c>
    </row>
    <row r="2851" spans="1:5" x14ac:dyDescent="0.25">
      <c r="A2851" s="36">
        <v>2849</v>
      </c>
      <c r="B2851" s="37">
        <v>1902194911</v>
      </c>
      <c r="C2851" s="38">
        <v>0.88577853137896323</v>
      </c>
      <c r="D2851" s="14" t="s">
        <v>2892</v>
      </c>
      <c r="E2851" s="14" t="s">
        <v>46</v>
      </c>
    </row>
    <row r="2852" spans="1:5" x14ac:dyDescent="0.25">
      <c r="A2852" s="36">
        <v>2850</v>
      </c>
      <c r="B2852" s="37">
        <v>2108999698</v>
      </c>
      <c r="C2852" s="38">
        <v>0.98207951475962973</v>
      </c>
      <c r="D2852" s="14" t="s">
        <v>2893</v>
      </c>
      <c r="E2852" s="14" t="s">
        <v>48</v>
      </c>
    </row>
    <row r="2853" spans="1:5" x14ac:dyDescent="0.25">
      <c r="A2853" s="36">
        <v>2851</v>
      </c>
      <c r="B2853" s="37">
        <v>808401361</v>
      </c>
      <c r="C2853" s="38">
        <v>0.37644121859988255</v>
      </c>
      <c r="D2853" s="14" t="s">
        <v>2894</v>
      </c>
      <c r="E2853" s="14" t="s">
        <v>37</v>
      </c>
    </row>
    <row r="2854" spans="1:5" x14ac:dyDescent="0.25">
      <c r="A2854" s="36">
        <v>2852</v>
      </c>
      <c r="B2854" s="37">
        <v>626047136</v>
      </c>
      <c r="C2854" s="38">
        <v>0.29152591540083567</v>
      </c>
      <c r="D2854" s="14" t="s">
        <v>2895</v>
      </c>
      <c r="E2854" s="14" t="s">
        <v>40</v>
      </c>
    </row>
    <row r="2855" spans="1:5" x14ac:dyDescent="0.25">
      <c r="A2855" s="36">
        <v>2853</v>
      </c>
      <c r="B2855" s="37">
        <v>1388280579</v>
      </c>
      <c r="C2855" s="38">
        <v>0.64646852186250903</v>
      </c>
      <c r="D2855" s="14" t="s">
        <v>2896</v>
      </c>
      <c r="E2855" s="14" t="s">
        <v>43</v>
      </c>
    </row>
    <row r="2856" spans="1:5" x14ac:dyDescent="0.25">
      <c r="A2856" s="36">
        <v>2854</v>
      </c>
      <c r="B2856" s="37">
        <v>1049022437</v>
      </c>
      <c r="C2856" s="38">
        <v>0.48848913865559229</v>
      </c>
      <c r="D2856" s="14" t="s">
        <v>2897</v>
      </c>
      <c r="E2856" s="14" t="s">
        <v>46</v>
      </c>
    </row>
    <row r="2857" spans="1:5" x14ac:dyDescent="0.25">
      <c r="A2857" s="36">
        <v>2855</v>
      </c>
      <c r="B2857" s="37">
        <v>1837508654</v>
      </c>
      <c r="C2857" s="38">
        <v>0.85565664565919741</v>
      </c>
      <c r="D2857" s="14" t="s">
        <v>2898</v>
      </c>
      <c r="E2857" s="14" t="s">
        <v>48</v>
      </c>
    </row>
    <row r="2858" spans="1:5" x14ac:dyDescent="0.25">
      <c r="A2858" s="36">
        <v>2856</v>
      </c>
      <c r="B2858" s="37">
        <v>752160059</v>
      </c>
      <c r="C2858" s="38">
        <v>0.35025182149850381</v>
      </c>
      <c r="D2858" s="14" t="s">
        <v>2899</v>
      </c>
      <c r="E2858" s="14" t="s">
        <v>37</v>
      </c>
    </row>
    <row r="2859" spans="1:5" x14ac:dyDescent="0.25">
      <c r="A2859" s="36">
        <v>2857</v>
      </c>
      <c r="B2859" s="37">
        <v>827459257</v>
      </c>
      <c r="C2859" s="38">
        <v>0.3853157429887521</v>
      </c>
      <c r="D2859" s="14" t="s">
        <v>2900</v>
      </c>
      <c r="E2859" s="14" t="s">
        <v>40</v>
      </c>
    </row>
    <row r="2860" spans="1:5" x14ac:dyDescent="0.25">
      <c r="A2860" s="36">
        <v>2858</v>
      </c>
      <c r="B2860" s="37">
        <v>341953052</v>
      </c>
      <c r="C2860" s="38">
        <v>0.15923429846727954</v>
      </c>
      <c r="D2860" s="14" t="s">
        <v>2901</v>
      </c>
      <c r="E2860" s="14" t="s">
        <v>43</v>
      </c>
    </row>
    <row r="2861" spans="1:5" x14ac:dyDescent="0.25">
      <c r="A2861" s="36">
        <v>2859</v>
      </c>
      <c r="B2861" s="37">
        <v>2024630820</v>
      </c>
      <c r="C2861" s="38">
        <v>0.94279219440314554</v>
      </c>
      <c r="D2861" s="14" t="s">
        <v>2902</v>
      </c>
      <c r="E2861" s="14" t="s">
        <v>46</v>
      </c>
    </row>
    <row r="2862" spans="1:5" x14ac:dyDescent="0.25">
      <c r="A2862" s="36">
        <v>2860</v>
      </c>
      <c r="B2862" s="37">
        <v>1394843976</v>
      </c>
      <c r="C2862" s="38">
        <v>0.64952484176006398</v>
      </c>
      <c r="D2862" s="14" t="s">
        <v>2903</v>
      </c>
      <c r="E2862" s="14" t="s">
        <v>48</v>
      </c>
    </row>
    <row r="2863" spans="1:5" x14ac:dyDescent="0.25">
      <c r="A2863" s="36">
        <v>2861</v>
      </c>
      <c r="B2863" s="37">
        <v>1738101573</v>
      </c>
      <c r="C2863" s="38">
        <v>0.80936661633167728</v>
      </c>
      <c r="D2863" s="14" t="s">
        <v>2904</v>
      </c>
      <c r="E2863" s="14" t="s">
        <v>37</v>
      </c>
    </row>
    <row r="2864" spans="1:5" x14ac:dyDescent="0.25">
      <c r="A2864" s="36">
        <v>2862</v>
      </c>
      <c r="B2864" s="37">
        <v>943143531</v>
      </c>
      <c r="C2864" s="38">
        <v>0.43918543096593832</v>
      </c>
      <c r="D2864" s="14" t="s">
        <v>2905</v>
      </c>
      <c r="E2864" s="14" t="s">
        <v>40</v>
      </c>
    </row>
    <row r="2865" spans="1:5" x14ac:dyDescent="0.25">
      <c r="A2865" s="36">
        <v>2863</v>
      </c>
      <c r="B2865" s="37">
        <v>1291957353</v>
      </c>
      <c r="C2865" s="38">
        <v>0.60161452442482788</v>
      </c>
      <c r="D2865" s="14" t="s">
        <v>2906</v>
      </c>
      <c r="E2865" s="14" t="s">
        <v>43</v>
      </c>
    </row>
    <row r="2866" spans="1:5" x14ac:dyDescent="0.25">
      <c r="A2866" s="36">
        <v>2864</v>
      </c>
      <c r="B2866" s="37">
        <v>1907833454</v>
      </c>
      <c r="C2866" s="38">
        <v>0.88840418257210596</v>
      </c>
      <c r="D2866" s="14" t="s">
        <v>2907</v>
      </c>
      <c r="E2866" s="14" t="s">
        <v>46</v>
      </c>
    </row>
    <row r="2867" spans="1:5" x14ac:dyDescent="0.25">
      <c r="A2867" s="36">
        <v>2865</v>
      </c>
      <c r="B2867" s="37">
        <v>953765736</v>
      </c>
      <c r="C2867" s="38">
        <v>0.44413178062258835</v>
      </c>
      <c r="D2867" s="14" t="s">
        <v>2908</v>
      </c>
      <c r="E2867" s="14" t="s">
        <v>48</v>
      </c>
    </row>
    <row r="2868" spans="1:5" x14ac:dyDescent="0.25">
      <c r="A2868" s="36">
        <v>2866</v>
      </c>
      <c r="B2868" s="37">
        <v>1984869227</v>
      </c>
      <c r="C2868" s="38">
        <v>0.92427675981273727</v>
      </c>
      <c r="D2868" s="14" t="s">
        <v>2909</v>
      </c>
      <c r="E2868" s="14" t="s">
        <v>37</v>
      </c>
    </row>
    <row r="2869" spans="1:5" x14ac:dyDescent="0.25">
      <c r="A2869" s="36">
        <v>2867</v>
      </c>
      <c r="B2869" s="37">
        <v>527772544</v>
      </c>
      <c r="C2869" s="38">
        <v>0.24576324235916289</v>
      </c>
      <c r="D2869" s="14" t="s">
        <v>2910</v>
      </c>
      <c r="E2869" s="14" t="s">
        <v>40</v>
      </c>
    </row>
    <row r="2870" spans="1:5" x14ac:dyDescent="0.25">
      <c r="A2870" s="36">
        <v>2868</v>
      </c>
      <c r="B2870" s="37">
        <v>1144874710</v>
      </c>
      <c r="C2870" s="38">
        <v>0.53312383151292975</v>
      </c>
      <c r="D2870" s="14" t="s">
        <v>2911</v>
      </c>
      <c r="E2870" s="14" t="s">
        <v>43</v>
      </c>
    </row>
    <row r="2871" spans="1:5" x14ac:dyDescent="0.25">
      <c r="A2871" s="36">
        <v>2869</v>
      </c>
      <c r="B2871" s="37">
        <v>897186467</v>
      </c>
      <c r="C2871" s="38">
        <v>0.41778500537284885</v>
      </c>
      <c r="D2871" s="14" t="s">
        <v>2912</v>
      </c>
      <c r="E2871" s="14" t="s">
        <v>46</v>
      </c>
    </row>
    <row r="2872" spans="1:5" x14ac:dyDescent="0.25">
      <c r="A2872" s="36">
        <v>2870</v>
      </c>
      <c r="B2872" s="37">
        <v>124992540</v>
      </c>
      <c r="C2872" s="38">
        <v>5.8204187107367529E-2</v>
      </c>
      <c r="D2872" s="14" t="s">
        <v>2913</v>
      </c>
      <c r="E2872" s="14" t="s">
        <v>48</v>
      </c>
    </row>
    <row r="2873" spans="1:5" x14ac:dyDescent="0.25">
      <c r="A2873" s="36">
        <v>2871</v>
      </c>
      <c r="B2873" s="37">
        <v>1710859069</v>
      </c>
      <c r="C2873" s="38">
        <v>0.79668083684364377</v>
      </c>
      <c r="D2873" s="14" t="s">
        <v>2914</v>
      </c>
      <c r="E2873" s="14" t="s">
        <v>37</v>
      </c>
    </row>
    <row r="2874" spans="1:5" x14ac:dyDescent="0.25">
      <c r="A2874" s="36">
        <v>2872</v>
      </c>
      <c r="B2874" s="37">
        <v>1378862983</v>
      </c>
      <c r="C2874" s="38">
        <v>0.64208311198376267</v>
      </c>
      <c r="D2874" s="14" t="s">
        <v>2915</v>
      </c>
      <c r="E2874" s="14" t="s">
        <v>40</v>
      </c>
    </row>
    <row r="2875" spans="1:5" x14ac:dyDescent="0.25">
      <c r="A2875" s="36">
        <v>2873</v>
      </c>
      <c r="B2875" s="37">
        <v>1855663637</v>
      </c>
      <c r="C2875" s="38">
        <v>0.86411071841796427</v>
      </c>
      <c r="D2875" s="14" t="s">
        <v>2916</v>
      </c>
      <c r="E2875" s="14" t="s">
        <v>43</v>
      </c>
    </row>
    <row r="2876" spans="1:5" x14ac:dyDescent="0.25">
      <c r="A2876" s="36">
        <v>2874</v>
      </c>
      <c r="B2876" s="37">
        <v>785357550</v>
      </c>
      <c r="C2876" s="38">
        <v>0.36571060790014948</v>
      </c>
      <c r="D2876" s="14" t="s">
        <v>2917</v>
      </c>
      <c r="E2876" s="14" t="s">
        <v>46</v>
      </c>
    </row>
    <row r="2877" spans="1:5" x14ac:dyDescent="0.25">
      <c r="A2877" s="36">
        <v>2875</v>
      </c>
      <c r="B2877" s="37">
        <v>1979445075</v>
      </c>
      <c r="C2877" s="38">
        <v>0.92175094220868825</v>
      </c>
      <c r="D2877" s="14" t="s">
        <v>2918</v>
      </c>
      <c r="E2877" s="14" t="s">
        <v>48</v>
      </c>
    </row>
    <row r="2878" spans="1:5" x14ac:dyDescent="0.25">
      <c r="A2878" s="36">
        <v>2876</v>
      </c>
      <c r="B2878" s="37">
        <v>2059900379</v>
      </c>
      <c r="C2878" s="38">
        <v>0.95921586265750969</v>
      </c>
      <c r="D2878" s="14" t="s">
        <v>2919</v>
      </c>
      <c r="E2878" s="14" t="s">
        <v>37</v>
      </c>
    </row>
    <row r="2879" spans="1:5" x14ac:dyDescent="0.25">
      <c r="A2879" s="36">
        <v>2877</v>
      </c>
      <c r="B2879" s="37">
        <v>549596765</v>
      </c>
      <c r="C2879" s="38">
        <v>0.25592593720924384</v>
      </c>
      <c r="D2879" s="14" t="s">
        <v>2920</v>
      </c>
      <c r="E2879" s="14" t="s">
        <v>40</v>
      </c>
    </row>
    <row r="2880" spans="1:5" x14ac:dyDescent="0.25">
      <c r="A2880" s="36">
        <v>2878</v>
      </c>
      <c r="B2880" s="37">
        <v>1272962083</v>
      </c>
      <c r="C2880" s="38">
        <v>0.59276916253975087</v>
      </c>
      <c r="D2880" s="14" t="s">
        <v>2921</v>
      </c>
      <c r="E2880" s="14" t="s">
        <v>43</v>
      </c>
    </row>
    <row r="2881" spans="1:5" x14ac:dyDescent="0.25">
      <c r="A2881" s="36">
        <v>2879</v>
      </c>
      <c r="B2881" s="37">
        <v>1207771485</v>
      </c>
      <c r="C2881" s="38">
        <v>0.56241242474057362</v>
      </c>
      <c r="D2881" s="14" t="s">
        <v>2922</v>
      </c>
      <c r="E2881" s="14" t="s">
        <v>46</v>
      </c>
    </row>
    <row r="2882" spans="1:5" x14ac:dyDescent="0.25">
      <c r="A2882" s="36">
        <v>2880</v>
      </c>
      <c r="B2882" s="37">
        <v>28834798</v>
      </c>
      <c r="C2882" s="38">
        <v>1.3427249162191176E-2</v>
      </c>
      <c r="D2882" s="14" t="s">
        <v>2923</v>
      </c>
      <c r="E2882" s="14" t="s">
        <v>48</v>
      </c>
    </row>
    <row r="2883" spans="1:5" x14ac:dyDescent="0.25">
      <c r="A2883" s="36">
        <v>2881</v>
      </c>
      <c r="B2883" s="37">
        <v>996534723</v>
      </c>
      <c r="C2883" s="38">
        <v>0.46404764217513039</v>
      </c>
      <c r="D2883" s="14" t="s">
        <v>2924</v>
      </c>
      <c r="E2883" s="14" t="s">
        <v>37</v>
      </c>
    </row>
    <row r="2884" spans="1:5" x14ac:dyDescent="0.25">
      <c r="A2884" s="36">
        <v>2882</v>
      </c>
      <c r="B2884" s="37">
        <v>802573705</v>
      </c>
      <c r="C2884" s="38">
        <v>0.37372750480367223</v>
      </c>
      <c r="D2884" s="14" t="s">
        <v>2925</v>
      </c>
      <c r="E2884" s="14" t="s">
        <v>40</v>
      </c>
    </row>
    <row r="2885" spans="1:5" x14ac:dyDescent="0.25">
      <c r="A2885" s="36">
        <v>2883</v>
      </c>
      <c r="B2885" s="37">
        <v>530577235</v>
      </c>
      <c r="C2885" s="38">
        <v>0.2470692783813315</v>
      </c>
      <c r="D2885" s="14" t="s">
        <v>2926</v>
      </c>
      <c r="E2885" s="14" t="s">
        <v>43</v>
      </c>
    </row>
    <row r="2886" spans="1:5" x14ac:dyDescent="0.25">
      <c r="A2886" s="36">
        <v>2884</v>
      </c>
      <c r="B2886" s="37">
        <v>993712907</v>
      </c>
      <c r="C2886" s="38">
        <v>0.46273363170341292</v>
      </c>
      <c r="D2886" s="14" t="s">
        <v>2927</v>
      </c>
      <c r="E2886" s="14" t="s">
        <v>46</v>
      </c>
    </row>
    <row r="2887" spans="1:5" x14ac:dyDescent="0.25">
      <c r="A2887" s="36">
        <v>2885</v>
      </c>
      <c r="B2887" s="37">
        <v>366032294</v>
      </c>
      <c r="C2887" s="38">
        <v>0.17044706929961548</v>
      </c>
      <c r="D2887" s="14" t="s">
        <v>2928</v>
      </c>
      <c r="E2887" s="14" t="s">
        <v>48</v>
      </c>
    </row>
    <row r="2888" spans="1:5" x14ac:dyDescent="0.25">
      <c r="A2888" s="36">
        <v>2886</v>
      </c>
      <c r="B2888" s="37">
        <v>1890133262</v>
      </c>
      <c r="C2888" s="38">
        <v>0.88016188837595377</v>
      </c>
      <c r="D2888" s="14" t="s">
        <v>2929</v>
      </c>
      <c r="E2888" s="14" t="s">
        <v>37</v>
      </c>
    </row>
    <row r="2889" spans="1:5" x14ac:dyDescent="0.25">
      <c r="A2889" s="36">
        <v>2887</v>
      </c>
      <c r="B2889" s="37">
        <v>2017313776</v>
      </c>
      <c r="C2889" s="38">
        <v>0.93938493027323156</v>
      </c>
      <c r="D2889" s="14" t="s">
        <v>2930</v>
      </c>
      <c r="E2889" s="14" t="s">
        <v>40</v>
      </c>
    </row>
    <row r="2890" spans="1:5" x14ac:dyDescent="0.25">
      <c r="A2890" s="36">
        <v>2888</v>
      </c>
      <c r="B2890" s="37">
        <v>371942013</v>
      </c>
      <c r="C2890" s="38">
        <v>0.17319899665806396</v>
      </c>
      <c r="D2890" s="14" t="s">
        <v>2931</v>
      </c>
      <c r="E2890" s="14" t="s">
        <v>43</v>
      </c>
    </row>
    <row r="2891" spans="1:5" x14ac:dyDescent="0.25">
      <c r="A2891" s="36">
        <v>2889</v>
      </c>
      <c r="B2891" s="37">
        <v>1142564830</v>
      </c>
      <c r="C2891" s="38">
        <v>0.53204820981810252</v>
      </c>
      <c r="D2891" s="14" t="s">
        <v>2932</v>
      </c>
      <c r="E2891" s="14" t="s">
        <v>46</v>
      </c>
    </row>
    <row r="2892" spans="1:5" x14ac:dyDescent="0.25">
      <c r="A2892" s="36">
        <v>2890</v>
      </c>
      <c r="B2892" s="37">
        <v>39907597</v>
      </c>
      <c r="C2892" s="38">
        <v>1.8583423001032055E-2</v>
      </c>
      <c r="D2892" s="14" t="s">
        <v>2933</v>
      </c>
      <c r="E2892" s="14" t="s">
        <v>48</v>
      </c>
    </row>
    <row r="2893" spans="1:5" x14ac:dyDescent="0.25">
      <c r="A2893" s="36">
        <v>2891</v>
      </c>
      <c r="B2893" s="37">
        <v>95147997</v>
      </c>
      <c r="C2893" s="38">
        <v>4.4306738788404847E-2</v>
      </c>
      <c r="D2893" s="14" t="s">
        <v>2934</v>
      </c>
      <c r="E2893" s="14" t="s">
        <v>37</v>
      </c>
    </row>
    <row r="2894" spans="1:5" x14ac:dyDescent="0.25">
      <c r="A2894" s="36">
        <v>2892</v>
      </c>
      <c r="B2894" s="37">
        <v>314644398</v>
      </c>
      <c r="C2894" s="38">
        <v>0.14651771548507628</v>
      </c>
      <c r="D2894" s="14" t="s">
        <v>2935</v>
      </c>
      <c r="E2894" s="14" t="s">
        <v>40</v>
      </c>
    </row>
    <row r="2895" spans="1:5" x14ac:dyDescent="0.25">
      <c r="A2895" s="36">
        <v>2893</v>
      </c>
      <c r="B2895" s="37">
        <v>1873687519</v>
      </c>
      <c r="C2895" s="38">
        <v>0.87250374251627538</v>
      </c>
      <c r="D2895" s="14" t="s">
        <v>2936</v>
      </c>
      <c r="E2895" s="14" t="s">
        <v>43</v>
      </c>
    </row>
    <row r="2896" spans="1:5" x14ac:dyDescent="0.25">
      <c r="A2896" s="36">
        <v>2894</v>
      </c>
      <c r="B2896" s="37">
        <v>1640995010</v>
      </c>
      <c r="C2896" s="38">
        <v>0.76414784917801049</v>
      </c>
      <c r="D2896" s="14" t="s">
        <v>2937</v>
      </c>
      <c r="E2896" s="14" t="s">
        <v>46</v>
      </c>
    </row>
    <row r="2897" spans="1:5" x14ac:dyDescent="0.25">
      <c r="A2897" s="36">
        <v>2895</v>
      </c>
      <c r="B2897" s="37">
        <v>1440508352</v>
      </c>
      <c r="C2897" s="38">
        <v>0.67078897388223047</v>
      </c>
      <c r="D2897" s="14" t="s">
        <v>2938</v>
      </c>
      <c r="E2897" s="14" t="s">
        <v>48</v>
      </c>
    </row>
    <row r="2898" spans="1:5" x14ac:dyDescent="0.25">
      <c r="A2898" s="36">
        <v>2896</v>
      </c>
      <c r="B2898" s="37">
        <v>1049877408</v>
      </c>
      <c r="C2898" s="38">
        <v>0.48888726555224848</v>
      </c>
      <c r="D2898" s="14" t="s">
        <v>2939</v>
      </c>
      <c r="E2898" s="14" t="s">
        <v>37</v>
      </c>
    </row>
    <row r="2899" spans="1:5" x14ac:dyDescent="0.25">
      <c r="A2899" s="36">
        <v>2897</v>
      </c>
      <c r="B2899" s="37">
        <v>1176454468</v>
      </c>
      <c r="C2899" s="38">
        <v>0.54782930228292448</v>
      </c>
      <c r="D2899" s="14" t="s">
        <v>2940</v>
      </c>
      <c r="E2899" s="14" t="s">
        <v>40</v>
      </c>
    </row>
    <row r="2900" spans="1:5" x14ac:dyDescent="0.25">
      <c r="A2900" s="36">
        <v>2898</v>
      </c>
      <c r="B2900" s="37">
        <v>89160151</v>
      </c>
      <c r="C2900" s="38">
        <v>4.1518430710545944E-2</v>
      </c>
      <c r="D2900" s="14" t="s">
        <v>2941</v>
      </c>
      <c r="E2900" s="14" t="s">
        <v>43</v>
      </c>
    </row>
    <row r="2901" spans="1:5" x14ac:dyDescent="0.25">
      <c r="A2901" s="36">
        <v>2899</v>
      </c>
      <c r="B2901" s="37">
        <v>2014370622</v>
      </c>
      <c r="C2901" s="38">
        <v>0.93801441739220848</v>
      </c>
      <c r="D2901" s="14" t="s">
        <v>2942</v>
      </c>
      <c r="E2901" s="14" t="s">
        <v>46</v>
      </c>
    </row>
    <row r="2902" spans="1:5" x14ac:dyDescent="0.25">
      <c r="A2902" s="36">
        <v>2900</v>
      </c>
      <c r="B2902" s="37">
        <v>1976212617</v>
      </c>
      <c r="C2902" s="38">
        <v>0.92024571165453906</v>
      </c>
      <c r="D2902" s="14" t="s">
        <v>2943</v>
      </c>
      <c r="E2902" s="14" t="s">
        <v>48</v>
      </c>
    </row>
    <row r="2903" spans="1:5" x14ac:dyDescent="0.25">
      <c r="A2903" s="36">
        <v>2901</v>
      </c>
      <c r="B2903" s="37">
        <v>999283664</v>
      </c>
      <c r="C2903" s="38">
        <v>0.4653277175805195</v>
      </c>
      <c r="D2903" s="14" t="s">
        <v>2944</v>
      </c>
      <c r="E2903" s="14" t="s">
        <v>37</v>
      </c>
    </row>
    <row r="2904" spans="1:5" x14ac:dyDescent="0.25">
      <c r="A2904" s="36">
        <v>2902</v>
      </c>
      <c r="B2904" s="37">
        <v>195939973</v>
      </c>
      <c r="C2904" s="38">
        <v>9.1241660104711381E-2</v>
      </c>
      <c r="D2904" s="14" t="s">
        <v>2945</v>
      </c>
      <c r="E2904" s="14" t="s">
        <v>40</v>
      </c>
    </row>
    <row r="2905" spans="1:5" x14ac:dyDescent="0.25">
      <c r="A2905" s="36">
        <v>2903</v>
      </c>
      <c r="B2905" s="37">
        <v>1066057570</v>
      </c>
      <c r="C2905" s="38">
        <v>0.49642174062152472</v>
      </c>
      <c r="D2905" s="14" t="s">
        <v>2946</v>
      </c>
      <c r="E2905" s="14" t="s">
        <v>43</v>
      </c>
    </row>
    <row r="2906" spans="1:5" x14ac:dyDescent="0.25">
      <c r="A2906" s="36">
        <v>2904</v>
      </c>
      <c r="B2906" s="37">
        <v>1868190491</v>
      </c>
      <c r="C2906" s="38">
        <v>0.86994398938023676</v>
      </c>
      <c r="D2906" s="14" t="s">
        <v>2947</v>
      </c>
      <c r="E2906" s="14" t="s">
        <v>46</v>
      </c>
    </row>
    <row r="2907" spans="1:5" x14ac:dyDescent="0.25">
      <c r="A2907" s="36">
        <v>2905</v>
      </c>
      <c r="B2907" s="37">
        <v>2128283177</v>
      </c>
      <c r="C2907" s="38">
        <v>0.99105908441872292</v>
      </c>
      <c r="D2907" s="14" t="s">
        <v>2948</v>
      </c>
      <c r="E2907" s="14" t="s">
        <v>48</v>
      </c>
    </row>
    <row r="2908" spans="1:5" x14ac:dyDescent="0.25">
      <c r="A2908" s="36">
        <v>2906</v>
      </c>
      <c r="B2908" s="37">
        <v>203212127</v>
      </c>
      <c r="C2908" s="38">
        <v>9.4628020699428397E-2</v>
      </c>
      <c r="D2908" s="14" t="s">
        <v>2949</v>
      </c>
      <c r="E2908" s="14" t="s">
        <v>37</v>
      </c>
    </row>
    <row r="2909" spans="1:5" x14ac:dyDescent="0.25">
      <c r="A2909" s="36">
        <v>2907</v>
      </c>
      <c r="B2909" s="37">
        <v>382876281</v>
      </c>
      <c r="C2909" s="38">
        <v>0.17829066197308277</v>
      </c>
      <c r="D2909" s="14" t="s">
        <v>2950</v>
      </c>
      <c r="E2909" s="14" t="s">
        <v>40</v>
      </c>
    </row>
    <row r="2910" spans="1:5" x14ac:dyDescent="0.25">
      <c r="A2910" s="36">
        <v>2908</v>
      </c>
      <c r="B2910" s="37">
        <v>1581099205</v>
      </c>
      <c r="C2910" s="38">
        <v>0.73625669150438933</v>
      </c>
      <c r="D2910" s="14" t="s">
        <v>2951</v>
      </c>
      <c r="E2910" s="14" t="s">
        <v>43</v>
      </c>
    </row>
    <row r="2911" spans="1:5" x14ac:dyDescent="0.25">
      <c r="A2911" s="36">
        <v>2909</v>
      </c>
      <c r="B2911" s="37">
        <v>304002702</v>
      </c>
      <c r="C2911" s="38">
        <v>0.14156228962427111</v>
      </c>
      <c r="D2911" s="14" t="s">
        <v>2952</v>
      </c>
      <c r="E2911" s="14" t="s">
        <v>46</v>
      </c>
    </row>
    <row r="2912" spans="1:5" x14ac:dyDescent="0.25">
      <c r="A2912" s="36">
        <v>2910</v>
      </c>
      <c r="B2912" s="37">
        <v>949773575</v>
      </c>
      <c r="C2912" s="38">
        <v>0.44227278579132295</v>
      </c>
      <c r="D2912" s="14" t="s">
        <v>2953</v>
      </c>
      <c r="E2912" s="14" t="s">
        <v>48</v>
      </c>
    </row>
    <row r="2913" spans="1:5" x14ac:dyDescent="0.25">
      <c r="A2913" s="36">
        <v>2911</v>
      </c>
      <c r="B2913" s="37">
        <v>1247484520</v>
      </c>
      <c r="C2913" s="38">
        <v>0.58090524775018226</v>
      </c>
      <c r="D2913" s="14" t="s">
        <v>2954</v>
      </c>
      <c r="E2913" s="14" t="s">
        <v>37</v>
      </c>
    </row>
    <row r="2914" spans="1:5" x14ac:dyDescent="0.25">
      <c r="A2914" s="36">
        <v>2912</v>
      </c>
      <c r="B2914" s="37">
        <v>1674279866</v>
      </c>
      <c r="C2914" s="38">
        <v>0.77964731807804077</v>
      </c>
      <c r="D2914" s="14" t="s">
        <v>2955</v>
      </c>
      <c r="E2914" s="14" t="s">
        <v>40</v>
      </c>
    </row>
    <row r="2915" spans="1:5" x14ac:dyDescent="0.25">
      <c r="A2915" s="36">
        <v>2913</v>
      </c>
      <c r="B2915" s="37">
        <v>1984832799</v>
      </c>
      <c r="C2915" s="38">
        <v>0.92425979670335534</v>
      </c>
      <c r="D2915" s="14" t="s">
        <v>2956</v>
      </c>
      <c r="E2915" s="14" t="s">
        <v>43</v>
      </c>
    </row>
    <row r="2916" spans="1:5" x14ac:dyDescent="0.25">
      <c r="A2916" s="36">
        <v>2914</v>
      </c>
      <c r="B2916" s="37">
        <v>21997960</v>
      </c>
      <c r="C2916" s="38">
        <v>1.0243598376514203E-2</v>
      </c>
      <c r="D2916" s="14" t="s">
        <v>2957</v>
      </c>
      <c r="E2916" s="14" t="s">
        <v>46</v>
      </c>
    </row>
    <row r="2917" spans="1:5" x14ac:dyDescent="0.25">
      <c r="A2917" s="36">
        <v>2915</v>
      </c>
      <c r="B2917" s="37">
        <v>424608226</v>
      </c>
      <c r="C2917" s="38">
        <v>0.19772361321268772</v>
      </c>
      <c r="D2917" s="14" t="s">
        <v>2958</v>
      </c>
      <c r="E2917" s="14" t="s">
        <v>48</v>
      </c>
    </row>
    <row r="2918" spans="1:5" x14ac:dyDescent="0.25">
      <c r="A2918" s="36">
        <v>2916</v>
      </c>
      <c r="B2918" s="37">
        <v>793320821</v>
      </c>
      <c r="C2918" s="38">
        <v>0.36941879492691659</v>
      </c>
      <c r="D2918" s="14" t="s">
        <v>2959</v>
      </c>
      <c r="E2918" s="14" t="s">
        <v>37</v>
      </c>
    </row>
    <row r="2919" spans="1:5" x14ac:dyDescent="0.25">
      <c r="A2919" s="36">
        <v>2917</v>
      </c>
      <c r="B2919" s="37">
        <v>626553419</v>
      </c>
      <c r="C2919" s="38">
        <v>0.29176167179446744</v>
      </c>
      <c r="D2919" s="14" t="s">
        <v>2960</v>
      </c>
      <c r="E2919" s="14" t="s">
        <v>40</v>
      </c>
    </row>
    <row r="2920" spans="1:5" x14ac:dyDescent="0.25">
      <c r="A2920" s="36">
        <v>2918</v>
      </c>
      <c r="B2920" s="37">
        <v>147917883</v>
      </c>
      <c r="C2920" s="38">
        <v>6.887963184569014E-2</v>
      </c>
      <c r="D2920" s="14" t="s">
        <v>2961</v>
      </c>
      <c r="E2920" s="14" t="s">
        <v>43</v>
      </c>
    </row>
    <row r="2921" spans="1:5" x14ac:dyDescent="0.25">
      <c r="A2921" s="36">
        <v>2919</v>
      </c>
      <c r="B2921" s="37">
        <v>733008954</v>
      </c>
      <c r="C2921" s="38">
        <v>0.3413338932866854</v>
      </c>
      <c r="D2921" s="14" t="s">
        <v>2962</v>
      </c>
      <c r="E2921" s="14" t="s">
        <v>46</v>
      </c>
    </row>
    <row r="2922" spans="1:5" x14ac:dyDescent="0.25">
      <c r="A2922" s="36">
        <v>2920</v>
      </c>
      <c r="B2922" s="37">
        <v>581665200</v>
      </c>
      <c r="C2922" s="38">
        <v>0.27085896594024217</v>
      </c>
      <c r="D2922" s="14" t="s">
        <v>2963</v>
      </c>
      <c r="E2922" s="14" t="s">
        <v>48</v>
      </c>
    </row>
    <row r="2923" spans="1:5" x14ac:dyDescent="0.25">
      <c r="A2923" s="36">
        <v>2921</v>
      </c>
      <c r="B2923" s="37">
        <v>2131200626</v>
      </c>
      <c r="C2923" s="38">
        <v>0.99241762747635021</v>
      </c>
      <c r="D2923" s="14" t="s">
        <v>2964</v>
      </c>
      <c r="E2923" s="14" t="s">
        <v>37</v>
      </c>
    </row>
    <row r="2924" spans="1:5" x14ac:dyDescent="0.25">
      <c r="A2924" s="36">
        <v>2922</v>
      </c>
      <c r="B2924" s="37">
        <v>909482985</v>
      </c>
      <c r="C2924" s="38">
        <v>0.423511017776798</v>
      </c>
      <c r="D2924" s="14" t="s">
        <v>2965</v>
      </c>
      <c r="E2924" s="14" t="s">
        <v>40</v>
      </c>
    </row>
    <row r="2925" spans="1:5" x14ac:dyDescent="0.25">
      <c r="A2925" s="36">
        <v>2923</v>
      </c>
      <c r="B2925" s="37">
        <v>319976933</v>
      </c>
      <c r="C2925" s="38">
        <v>0.14900087059894618</v>
      </c>
      <c r="D2925" s="14" t="s">
        <v>2966</v>
      </c>
      <c r="E2925" s="14" t="s">
        <v>43</v>
      </c>
    </row>
    <row r="2926" spans="1:5" x14ac:dyDescent="0.25">
      <c r="A2926" s="36">
        <v>2924</v>
      </c>
      <c r="B2926" s="37">
        <v>314111696</v>
      </c>
      <c r="C2926" s="38">
        <v>0.14626965678588938</v>
      </c>
      <c r="D2926" s="14" t="s">
        <v>2967</v>
      </c>
      <c r="E2926" s="14" t="s">
        <v>46</v>
      </c>
    </row>
    <row r="2927" spans="1:5" x14ac:dyDescent="0.25">
      <c r="A2927" s="36">
        <v>2925</v>
      </c>
      <c r="B2927" s="37">
        <v>2088637180</v>
      </c>
      <c r="C2927" s="38">
        <v>0.97259747841050725</v>
      </c>
      <c r="D2927" s="14" t="s">
        <v>2968</v>
      </c>
      <c r="E2927" s="14" t="s">
        <v>48</v>
      </c>
    </row>
    <row r="2928" spans="1:5" x14ac:dyDescent="0.25">
      <c r="A2928" s="36">
        <v>2926</v>
      </c>
      <c r="B2928" s="37">
        <v>622528012</v>
      </c>
      <c r="C2928" s="38">
        <v>0.28988719558803699</v>
      </c>
      <c r="D2928" s="14" t="s">
        <v>2969</v>
      </c>
      <c r="E2928" s="14" t="s">
        <v>37</v>
      </c>
    </row>
    <row r="2929" spans="1:5" x14ac:dyDescent="0.25">
      <c r="A2929" s="36">
        <v>2927</v>
      </c>
      <c r="B2929" s="37">
        <v>2053793495</v>
      </c>
      <c r="C2929" s="38">
        <v>0.95637212319130638</v>
      </c>
      <c r="D2929" s="14" t="s">
        <v>2970</v>
      </c>
      <c r="E2929" s="14" t="s">
        <v>40</v>
      </c>
    </row>
    <row r="2930" spans="1:5" x14ac:dyDescent="0.25">
      <c r="A2930" s="36">
        <v>2928</v>
      </c>
      <c r="B2930" s="37">
        <v>1676091563</v>
      </c>
      <c r="C2930" s="38">
        <v>0.78049095523566514</v>
      </c>
      <c r="D2930" s="14" t="s">
        <v>2971</v>
      </c>
      <c r="E2930" s="14" t="s">
        <v>43</v>
      </c>
    </row>
    <row r="2931" spans="1:5" x14ac:dyDescent="0.25">
      <c r="A2931" s="36">
        <v>2929</v>
      </c>
      <c r="B2931" s="37">
        <v>385257689</v>
      </c>
      <c r="C2931" s="38">
        <v>0.17939959148848411</v>
      </c>
      <c r="D2931" s="14" t="s">
        <v>2972</v>
      </c>
      <c r="E2931" s="14" t="s">
        <v>46</v>
      </c>
    </row>
    <row r="2932" spans="1:5" x14ac:dyDescent="0.25">
      <c r="A2932" s="36">
        <v>2930</v>
      </c>
      <c r="B2932" s="37">
        <v>1239438043</v>
      </c>
      <c r="C2932" s="38">
        <v>0.57715831491032532</v>
      </c>
      <c r="D2932" s="14" t="s">
        <v>2973</v>
      </c>
      <c r="E2932" s="14" t="s">
        <v>48</v>
      </c>
    </row>
    <row r="2933" spans="1:5" x14ac:dyDescent="0.25">
      <c r="A2933" s="36">
        <v>2931</v>
      </c>
      <c r="B2933" s="37">
        <v>1967657780</v>
      </c>
      <c r="C2933" s="38">
        <v>0.91626205524255622</v>
      </c>
      <c r="D2933" s="14" t="s">
        <v>2974</v>
      </c>
      <c r="E2933" s="14" t="s">
        <v>37</v>
      </c>
    </row>
    <row r="2934" spans="1:5" x14ac:dyDescent="0.25">
      <c r="A2934" s="36">
        <v>2932</v>
      </c>
      <c r="B2934" s="37">
        <v>1223289496</v>
      </c>
      <c r="C2934" s="38">
        <v>0.56963856172265415</v>
      </c>
      <c r="D2934" s="14" t="s">
        <v>2975</v>
      </c>
      <c r="E2934" s="14" t="s">
        <v>40</v>
      </c>
    </row>
    <row r="2935" spans="1:5" x14ac:dyDescent="0.25">
      <c r="A2935" s="36">
        <v>2933</v>
      </c>
      <c r="B2935" s="37">
        <v>212788457</v>
      </c>
      <c r="C2935" s="38">
        <v>9.9087346856988667E-2</v>
      </c>
      <c r="D2935" s="14" t="s">
        <v>2976</v>
      </c>
      <c r="E2935" s="14" t="s">
        <v>43</v>
      </c>
    </row>
    <row r="2936" spans="1:5" x14ac:dyDescent="0.25">
      <c r="A2936" s="36">
        <v>2934</v>
      </c>
      <c r="B2936" s="37">
        <v>1799941497</v>
      </c>
      <c r="C2936" s="38">
        <v>0.83816307496193942</v>
      </c>
      <c r="D2936" s="14" t="s">
        <v>2977</v>
      </c>
      <c r="E2936" s="14" t="s">
        <v>46</v>
      </c>
    </row>
    <row r="2937" spans="1:5" x14ac:dyDescent="0.25">
      <c r="A2937" s="36">
        <v>2935</v>
      </c>
      <c r="B2937" s="37">
        <v>1856471627</v>
      </c>
      <c r="C2937" s="38">
        <v>0.86448696808167125</v>
      </c>
      <c r="D2937" s="14" t="s">
        <v>2978</v>
      </c>
      <c r="E2937" s="14" t="s">
        <v>48</v>
      </c>
    </row>
    <row r="2938" spans="1:5" x14ac:dyDescent="0.25">
      <c r="A2938" s="36">
        <v>2936</v>
      </c>
      <c r="B2938" s="37">
        <v>1380149278</v>
      </c>
      <c r="C2938" s="38">
        <v>0.64268208976959906</v>
      </c>
      <c r="D2938" s="14" t="s">
        <v>2979</v>
      </c>
      <c r="E2938" s="14" t="s">
        <v>37</v>
      </c>
    </row>
    <row r="2939" spans="1:5" x14ac:dyDescent="0.25">
      <c r="A2939" s="36">
        <v>2937</v>
      </c>
      <c r="B2939" s="37">
        <v>1884652453</v>
      </c>
      <c r="C2939" s="38">
        <v>0.87760968780033743</v>
      </c>
      <c r="D2939" s="14" t="s">
        <v>2980</v>
      </c>
      <c r="E2939" s="14" t="s">
        <v>40</v>
      </c>
    </row>
    <row r="2940" spans="1:5" x14ac:dyDescent="0.25">
      <c r="A2940" s="36">
        <v>2938</v>
      </c>
      <c r="B2940" s="37">
        <v>1584245507</v>
      </c>
      <c r="C2940" s="38">
        <v>0.73772180254465058</v>
      </c>
      <c r="D2940" s="14" t="s">
        <v>2981</v>
      </c>
      <c r="E2940" s="14" t="s">
        <v>43</v>
      </c>
    </row>
    <row r="2941" spans="1:5" x14ac:dyDescent="0.25">
      <c r="A2941" s="36">
        <v>2939</v>
      </c>
      <c r="B2941" s="37">
        <v>1837207866</v>
      </c>
      <c r="C2941" s="38">
        <v>0.85551658033184552</v>
      </c>
      <c r="D2941" s="14" t="s">
        <v>2982</v>
      </c>
      <c r="E2941" s="14" t="s">
        <v>46</v>
      </c>
    </row>
    <row r="2942" spans="1:5" x14ac:dyDescent="0.25">
      <c r="A2942" s="36">
        <v>2940</v>
      </c>
      <c r="B2942" s="37">
        <v>446704110</v>
      </c>
      <c r="C2942" s="38">
        <v>0.20801281100512148</v>
      </c>
      <c r="D2942" s="14" t="s">
        <v>2983</v>
      </c>
      <c r="E2942" s="14" t="s">
        <v>48</v>
      </c>
    </row>
    <row r="2943" spans="1:5" x14ac:dyDescent="0.25">
      <c r="A2943" s="36">
        <v>2941</v>
      </c>
      <c r="B2943" s="37">
        <v>2139697399</v>
      </c>
      <c r="C2943" s="38">
        <v>0.99637424573133426</v>
      </c>
      <c r="D2943" s="14" t="s">
        <v>2984</v>
      </c>
      <c r="E2943" s="14" t="s">
        <v>37</v>
      </c>
    </row>
    <row r="2944" spans="1:5" x14ac:dyDescent="0.25">
      <c r="A2944" s="36">
        <v>2942</v>
      </c>
      <c r="B2944" s="37">
        <v>673261668</v>
      </c>
      <c r="C2944" s="38">
        <v>0.31351189516182609</v>
      </c>
      <c r="D2944" s="14" t="s">
        <v>2985</v>
      </c>
      <c r="E2944" s="14" t="s">
        <v>40</v>
      </c>
    </row>
    <row r="2945" spans="1:5" x14ac:dyDescent="0.25">
      <c r="A2945" s="36">
        <v>2943</v>
      </c>
      <c r="B2945" s="37">
        <v>1845612267</v>
      </c>
      <c r="C2945" s="38">
        <v>0.85943018452237829</v>
      </c>
      <c r="D2945" s="14" t="s">
        <v>2986</v>
      </c>
      <c r="E2945" s="14" t="s">
        <v>43</v>
      </c>
    </row>
    <row r="2946" spans="1:5" x14ac:dyDescent="0.25">
      <c r="A2946" s="36">
        <v>2944</v>
      </c>
      <c r="B2946" s="37">
        <v>1073802077</v>
      </c>
      <c r="C2946" s="38">
        <v>0.5000280577223879</v>
      </c>
      <c r="D2946" s="14" t="s">
        <v>2987</v>
      </c>
      <c r="E2946" s="14" t="s">
        <v>46</v>
      </c>
    </row>
    <row r="2947" spans="1:5" x14ac:dyDescent="0.25">
      <c r="A2947" s="36">
        <v>2945</v>
      </c>
      <c r="B2947" s="37">
        <v>1449371725</v>
      </c>
      <c r="C2947" s="38">
        <v>0.67491630356522103</v>
      </c>
      <c r="D2947" s="14" t="s">
        <v>2988</v>
      </c>
      <c r="E2947" s="14" t="s">
        <v>48</v>
      </c>
    </row>
    <row r="2948" spans="1:5" x14ac:dyDescent="0.25">
      <c r="A2948" s="36">
        <v>2946</v>
      </c>
      <c r="B2948" s="37">
        <v>1143165343</v>
      </c>
      <c r="C2948" s="38">
        <v>0.53232784547485779</v>
      </c>
      <c r="D2948" s="14" t="s">
        <v>2989</v>
      </c>
      <c r="E2948" s="14" t="s">
        <v>37</v>
      </c>
    </row>
    <row r="2949" spans="1:5" x14ac:dyDescent="0.25">
      <c r="A2949" s="36">
        <v>2947</v>
      </c>
      <c r="B2949" s="37">
        <v>1028913067</v>
      </c>
      <c r="C2949" s="38">
        <v>0.47912498353008415</v>
      </c>
      <c r="D2949" s="14" t="s">
        <v>2990</v>
      </c>
      <c r="E2949" s="14" t="s">
        <v>40</v>
      </c>
    </row>
    <row r="2950" spans="1:5" x14ac:dyDescent="0.25">
      <c r="A2950" s="36">
        <v>2948</v>
      </c>
      <c r="B2950" s="37">
        <v>2116015193</v>
      </c>
      <c r="C2950" s="38">
        <v>0.98534635919395197</v>
      </c>
      <c r="D2950" s="14" t="s">
        <v>2991</v>
      </c>
      <c r="E2950" s="14" t="s">
        <v>43</v>
      </c>
    </row>
    <row r="2951" spans="1:5" x14ac:dyDescent="0.25">
      <c r="A2951" s="36">
        <v>2949</v>
      </c>
      <c r="B2951" s="37">
        <v>259143850</v>
      </c>
      <c r="C2951" s="38">
        <v>0.12067325884507656</v>
      </c>
      <c r="D2951" s="14" t="s">
        <v>2992</v>
      </c>
      <c r="E2951" s="14" t="s">
        <v>46</v>
      </c>
    </row>
    <row r="2952" spans="1:5" x14ac:dyDescent="0.25">
      <c r="A2952" s="36">
        <v>2950</v>
      </c>
      <c r="B2952" s="37">
        <v>275554465</v>
      </c>
      <c r="C2952" s="38">
        <v>0.12831504695504672</v>
      </c>
      <c r="D2952" s="14" t="s">
        <v>2993</v>
      </c>
      <c r="E2952" s="14" t="s">
        <v>48</v>
      </c>
    </row>
    <row r="2953" spans="1:5" x14ac:dyDescent="0.25">
      <c r="A2953" s="36">
        <v>2951</v>
      </c>
      <c r="B2953" s="37">
        <v>162497500</v>
      </c>
      <c r="C2953" s="38">
        <v>7.5668795069525382E-2</v>
      </c>
      <c r="D2953" s="14" t="s">
        <v>2994</v>
      </c>
      <c r="E2953" s="14" t="s">
        <v>37</v>
      </c>
    </row>
    <row r="2954" spans="1:5" x14ac:dyDescent="0.25">
      <c r="A2954" s="36">
        <v>2952</v>
      </c>
      <c r="B2954" s="37">
        <v>157301132</v>
      </c>
      <c r="C2954" s="38">
        <v>7.3249047656193861E-2</v>
      </c>
      <c r="D2954" s="14" t="s">
        <v>2995</v>
      </c>
      <c r="E2954" s="14" t="s">
        <v>40</v>
      </c>
    </row>
    <row r="2955" spans="1:5" x14ac:dyDescent="0.25">
      <c r="A2955" s="36">
        <v>2953</v>
      </c>
      <c r="B2955" s="37">
        <v>736986048</v>
      </c>
      <c r="C2955" s="38">
        <v>0.3431858719993317</v>
      </c>
      <c r="D2955" s="14" t="s">
        <v>2996</v>
      </c>
      <c r="E2955" s="14" t="s">
        <v>43</v>
      </c>
    </row>
    <row r="2956" spans="1:5" x14ac:dyDescent="0.25">
      <c r="A2956" s="36">
        <v>2954</v>
      </c>
      <c r="B2956" s="37">
        <v>2009455496</v>
      </c>
      <c r="C2956" s="38">
        <v>0.93572563349070292</v>
      </c>
      <c r="D2956" s="14" t="s">
        <v>2997</v>
      </c>
      <c r="E2956" s="14" t="s">
        <v>46</v>
      </c>
    </row>
    <row r="2957" spans="1:5" x14ac:dyDescent="0.25">
      <c r="A2957" s="36">
        <v>2955</v>
      </c>
      <c r="B2957" s="37">
        <v>391318890</v>
      </c>
      <c r="C2957" s="38">
        <v>0.18222205815008938</v>
      </c>
      <c r="D2957" s="14" t="s">
        <v>2998</v>
      </c>
      <c r="E2957" s="14" t="s">
        <v>48</v>
      </c>
    </row>
    <row r="2958" spans="1:5" x14ac:dyDescent="0.25">
      <c r="A2958" s="36">
        <v>2956</v>
      </c>
      <c r="B2958" s="37">
        <v>1381858962</v>
      </c>
      <c r="C2958" s="38">
        <v>0.64347822342229921</v>
      </c>
      <c r="D2958" s="14" t="s">
        <v>2999</v>
      </c>
      <c r="E2958" s="14" t="s">
        <v>37</v>
      </c>
    </row>
    <row r="2959" spans="1:5" x14ac:dyDescent="0.25">
      <c r="A2959" s="36">
        <v>2957</v>
      </c>
      <c r="B2959" s="37">
        <v>133096631</v>
      </c>
      <c r="C2959" s="38">
        <v>6.1977948556643889E-2</v>
      </c>
      <c r="D2959" s="14" t="s">
        <v>3000</v>
      </c>
      <c r="E2959" s="14" t="s">
        <v>40</v>
      </c>
    </row>
    <row r="2960" spans="1:5" x14ac:dyDescent="0.25">
      <c r="A2960" s="36">
        <v>2958</v>
      </c>
      <c r="B2960" s="37">
        <v>680660390</v>
      </c>
      <c r="C2960" s="38">
        <v>0.31695719357438257</v>
      </c>
      <c r="D2960" s="14" t="s">
        <v>3001</v>
      </c>
      <c r="E2960" s="14" t="s">
        <v>43</v>
      </c>
    </row>
    <row r="2961" spans="1:5" x14ac:dyDescent="0.25">
      <c r="A2961" s="36">
        <v>2959</v>
      </c>
      <c r="B2961" s="37">
        <v>1384633772</v>
      </c>
      <c r="C2961" s="38">
        <v>0.64477034501953534</v>
      </c>
      <c r="D2961" s="14" t="s">
        <v>3002</v>
      </c>
      <c r="E2961" s="14" t="s">
        <v>46</v>
      </c>
    </row>
    <row r="2962" spans="1:5" x14ac:dyDescent="0.25">
      <c r="A2962" s="36">
        <v>2960</v>
      </c>
      <c r="B2962" s="37">
        <v>1783870831</v>
      </c>
      <c r="C2962" s="38">
        <v>0.83067958794100194</v>
      </c>
      <c r="D2962" s="14" t="s">
        <v>3003</v>
      </c>
      <c r="E2962" s="14" t="s">
        <v>48</v>
      </c>
    </row>
    <row r="2963" spans="1:5" x14ac:dyDescent="0.25">
      <c r="A2963" s="36">
        <v>2961</v>
      </c>
      <c r="B2963" s="37">
        <v>887455009</v>
      </c>
      <c r="C2963" s="38">
        <v>0.41325344211107745</v>
      </c>
      <c r="D2963" s="14" t="s">
        <v>3004</v>
      </c>
      <c r="E2963" s="14" t="s">
        <v>37</v>
      </c>
    </row>
    <row r="2964" spans="1:5" x14ac:dyDescent="0.25">
      <c r="A2964" s="36">
        <v>2962</v>
      </c>
      <c r="B2964" s="37">
        <v>339014411</v>
      </c>
      <c r="C2964" s="38">
        <v>0.15786588711564703</v>
      </c>
      <c r="D2964" s="14" t="s">
        <v>3005</v>
      </c>
      <c r="E2964" s="14" t="s">
        <v>40</v>
      </c>
    </row>
    <row r="2965" spans="1:5" x14ac:dyDescent="0.25">
      <c r="A2965" s="36">
        <v>2963</v>
      </c>
      <c r="B2965" s="37">
        <v>403484514</v>
      </c>
      <c r="C2965" s="38">
        <v>0.18788711828546931</v>
      </c>
      <c r="D2965" s="14" t="s">
        <v>3006</v>
      </c>
      <c r="E2965" s="14" t="s">
        <v>43</v>
      </c>
    </row>
    <row r="2966" spans="1:5" x14ac:dyDescent="0.25">
      <c r="A2966" s="36">
        <v>2964</v>
      </c>
      <c r="B2966" s="37">
        <v>596356352</v>
      </c>
      <c r="C2966" s="38">
        <v>0.27770006669578146</v>
      </c>
      <c r="D2966" s="14" t="s">
        <v>3007</v>
      </c>
      <c r="E2966" s="14" t="s">
        <v>46</v>
      </c>
    </row>
    <row r="2967" spans="1:5" x14ac:dyDescent="0.25">
      <c r="A2967" s="36">
        <v>2965</v>
      </c>
      <c r="B2967" s="37">
        <v>377211390</v>
      </c>
      <c r="C2967" s="38">
        <v>0.17565274153633637</v>
      </c>
      <c r="D2967" s="14" t="s">
        <v>3008</v>
      </c>
      <c r="E2967" s="14" t="s">
        <v>48</v>
      </c>
    </row>
    <row r="2968" spans="1:5" x14ac:dyDescent="0.25">
      <c r="A2968" s="36">
        <v>2966</v>
      </c>
      <c r="B2968" s="37">
        <v>1829101407</v>
      </c>
      <c r="C2968" s="38">
        <v>0.8517417161966403</v>
      </c>
      <c r="D2968" s="14" t="s">
        <v>3009</v>
      </c>
      <c r="E2968" s="14" t="s">
        <v>37</v>
      </c>
    </row>
    <row r="2969" spans="1:5" x14ac:dyDescent="0.25">
      <c r="A2969" s="36">
        <v>2967</v>
      </c>
      <c r="B2969" s="37">
        <v>1830274883</v>
      </c>
      <c r="C2969" s="38">
        <v>0.8522881585416795</v>
      </c>
      <c r="D2969" s="14" t="s">
        <v>3010</v>
      </c>
      <c r="E2969" s="14" t="s">
        <v>40</v>
      </c>
    </row>
    <row r="2970" spans="1:5" x14ac:dyDescent="0.25">
      <c r="A2970" s="36">
        <v>2968</v>
      </c>
      <c r="B2970" s="37">
        <v>900295013</v>
      </c>
      <c r="C2970" s="38">
        <v>0.41923253490553819</v>
      </c>
      <c r="D2970" s="14" t="s">
        <v>3011</v>
      </c>
      <c r="E2970" s="14" t="s">
        <v>43</v>
      </c>
    </row>
    <row r="2971" spans="1:5" x14ac:dyDescent="0.25">
      <c r="A2971" s="36">
        <v>2969</v>
      </c>
      <c r="B2971" s="37">
        <v>1089417567</v>
      </c>
      <c r="C2971" s="38">
        <v>0.5072995869011151</v>
      </c>
      <c r="D2971" s="14" t="s">
        <v>3012</v>
      </c>
      <c r="E2971" s="14" t="s">
        <v>46</v>
      </c>
    </row>
    <row r="2972" spans="1:5" x14ac:dyDescent="0.25">
      <c r="A2972" s="36">
        <v>2970</v>
      </c>
      <c r="B2972" s="37">
        <v>680800687</v>
      </c>
      <c r="C2972" s="38">
        <v>0.3170225244560384</v>
      </c>
      <c r="D2972" s="14" t="s">
        <v>3013</v>
      </c>
      <c r="E2972" s="14" t="s">
        <v>48</v>
      </c>
    </row>
    <row r="2973" spans="1:5" x14ac:dyDescent="0.25">
      <c r="A2973" s="36">
        <v>2971</v>
      </c>
      <c r="B2973" s="37">
        <v>836780174</v>
      </c>
      <c r="C2973" s="38">
        <v>0.38965613319988185</v>
      </c>
      <c r="D2973" s="14" t="s">
        <v>3014</v>
      </c>
      <c r="E2973" s="14" t="s">
        <v>37</v>
      </c>
    </row>
    <row r="2974" spans="1:5" x14ac:dyDescent="0.25">
      <c r="A2974" s="36">
        <v>2972</v>
      </c>
      <c r="B2974" s="37">
        <v>1819456549</v>
      </c>
      <c r="C2974" s="38">
        <v>0.84725047920236851</v>
      </c>
      <c r="D2974" s="14" t="s">
        <v>3015</v>
      </c>
      <c r="E2974" s="14" t="s">
        <v>40</v>
      </c>
    </row>
    <row r="2975" spans="1:5" x14ac:dyDescent="0.25">
      <c r="A2975" s="36">
        <v>2973</v>
      </c>
      <c r="B2975" s="37">
        <v>163273758</v>
      </c>
      <c r="C2975" s="38">
        <v>7.6030268369256637E-2</v>
      </c>
      <c r="D2975" s="14" t="s">
        <v>3016</v>
      </c>
      <c r="E2975" s="14" t="s">
        <v>43</v>
      </c>
    </row>
    <row r="2976" spans="1:5" x14ac:dyDescent="0.25">
      <c r="A2976" s="36">
        <v>2974</v>
      </c>
      <c r="B2976" s="37">
        <v>1620476735</v>
      </c>
      <c r="C2976" s="38">
        <v>0.75459328282372717</v>
      </c>
      <c r="D2976" s="14" t="s">
        <v>3017</v>
      </c>
      <c r="E2976" s="14" t="s">
        <v>46</v>
      </c>
    </row>
    <row r="2977" spans="1:5" x14ac:dyDescent="0.25">
      <c r="A2977" s="36">
        <v>2975</v>
      </c>
      <c r="B2977" s="37">
        <v>1838735865</v>
      </c>
      <c r="C2977" s="38">
        <v>0.85622811031352175</v>
      </c>
      <c r="D2977" s="14" t="s">
        <v>3018</v>
      </c>
      <c r="E2977" s="14" t="s">
        <v>48</v>
      </c>
    </row>
    <row r="2978" spans="1:5" x14ac:dyDescent="0.25">
      <c r="A2978" s="36">
        <v>2976</v>
      </c>
      <c r="B2978" s="37">
        <v>1218601537</v>
      </c>
      <c r="C2978" s="38">
        <v>0.56745556069885172</v>
      </c>
      <c r="D2978" s="14" t="s">
        <v>3019</v>
      </c>
      <c r="E2978" s="14" t="s">
        <v>37</v>
      </c>
    </row>
    <row r="2979" spans="1:5" x14ac:dyDescent="0.25">
      <c r="A2979" s="36">
        <v>2977</v>
      </c>
      <c r="B2979" s="37">
        <v>943407180</v>
      </c>
      <c r="C2979" s="38">
        <v>0.43930820209873289</v>
      </c>
      <c r="D2979" s="14" t="s">
        <v>3020</v>
      </c>
      <c r="E2979" s="14" t="s">
        <v>40</v>
      </c>
    </row>
    <row r="2980" spans="1:5" x14ac:dyDescent="0.25">
      <c r="A2980" s="36">
        <v>2978</v>
      </c>
      <c r="B2980" s="37">
        <v>2055645090</v>
      </c>
      <c r="C2980" s="38">
        <v>0.95723433930298052</v>
      </c>
      <c r="D2980" s="14" t="s">
        <v>3021</v>
      </c>
      <c r="E2980" s="14" t="s">
        <v>43</v>
      </c>
    </row>
    <row r="2981" spans="1:5" x14ac:dyDescent="0.25">
      <c r="A2981" s="36">
        <v>2979</v>
      </c>
      <c r="B2981" s="37">
        <v>2063225493</v>
      </c>
      <c r="C2981" s="38">
        <v>0.96076423952391565</v>
      </c>
      <c r="D2981" s="14" t="s">
        <v>3022</v>
      </c>
      <c r="E2981" s="14" t="s">
        <v>46</v>
      </c>
    </row>
    <row r="2982" spans="1:5" x14ac:dyDescent="0.25">
      <c r="A2982" s="36">
        <v>2980</v>
      </c>
      <c r="B2982" s="37">
        <v>1219619296</v>
      </c>
      <c r="C2982" s="38">
        <v>0.56792949166518147</v>
      </c>
      <c r="D2982" s="14" t="s">
        <v>3023</v>
      </c>
      <c r="E2982" s="14" t="s">
        <v>48</v>
      </c>
    </row>
    <row r="2983" spans="1:5" x14ac:dyDescent="0.25">
      <c r="A2983" s="36">
        <v>2981</v>
      </c>
      <c r="B2983" s="37">
        <v>664109172</v>
      </c>
      <c r="C2983" s="38">
        <v>0.30924993209040252</v>
      </c>
      <c r="D2983" s="14" t="s">
        <v>3024</v>
      </c>
      <c r="E2983" s="14" t="s">
        <v>37</v>
      </c>
    </row>
    <row r="2984" spans="1:5" x14ac:dyDescent="0.25">
      <c r="A2984" s="36">
        <v>2982</v>
      </c>
      <c r="B2984" s="37">
        <v>1536199685</v>
      </c>
      <c r="C2984" s="38">
        <v>0.71534872321195375</v>
      </c>
      <c r="D2984" s="14" t="s">
        <v>3025</v>
      </c>
      <c r="E2984" s="14" t="s">
        <v>40</v>
      </c>
    </row>
    <row r="2985" spans="1:5" x14ac:dyDescent="0.25">
      <c r="A2985" s="36">
        <v>2983</v>
      </c>
      <c r="B2985" s="37">
        <v>656357596</v>
      </c>
      <c r="C2985" s="38">
        <v>0.30564032322989793</v>
      </c>
      <c r="D2985" s="14" t="s">
        <v>3026</v>
      </c>
      <c r="E2985" s="14" t="s">
        <v>43</v>
      </c>
    </row>
    <row r="2986" spans="1:5" x14ac:dyDescent="0.25">
      <c r="A2986" s="36">
        <v>2984</v>
      </c>
      <c r="B2986" s="37">
        <v>925909461</v>
      </c>
      <c r="C2986" s="38">
        <v>0.43116019174044962</v>
      </c>
      <c r="D2986" s="14" t="s">
        <v>3027</v>
      </c>
      <c r="E2986" s="14" t="s">
        <v>46</v>
      </c>
    </row>
    <row r="2987" spans="1:5" x14ac:dyDescent="0.25">
      <c r="A2987" s="36">
        <v>2985</v>
      </c>
      <c r="B2987" s="37">
        <v>838147229</v>
      </c>
      <c r="C2987" s="38">
        <v>0.39029271779129876</v>
      </c>
      <c r="D2987" s="14" t="s">
        <v>3028</v>
      </c>
      <c r="E2987" s="14" t="s">
        <v>48</v>
      </c>
    </row>
    <row r="2988" spans="1:5" x14ac:dyDescent="0.25">
      <c r="A2988" s="36">
        <v>2986</v>
      </c>
      <c r="B2988" s="37">
        <v>984014604</v>
      </c>
      <c r="C2988" s="38">
        <v>0.45821750744162942</v>
      </c>
      <c r="D2988" s="14" t="s">
        <v>3029</v>
      </c>
      <c r="E2988" s="14" t="s">
        <v>37</v>
      </c>
    </row>
    <row r="2989" spans="1:5" x14ac:dyDescent="0.25">
      <c r="A2989" s="36">
        <v>2987</v>
      </c>
      <c r="B2989" s="37">
        <v>2080289365</v>
      </c>
      <c r="C2989" s="38">
        <v>0.96871022412959029</v>
      </c>
      <c r="D2989" s="14" t="s">
        <v>3030</v>
      </c>
      <c r="E2989" s="14" t="s">
        <v>40</v>
      </c>
    </row>
    <row r="2990" spans="1:5" x14ac:dyDescent="0.25">
      <c r="A2990" s="36">
        <v>2988</v>
      </c>
      <c r="B2990" s="37">
        <v>1842444874</v>
      </c>
      <c r="C2990" s="38">
        <v>0.85795525221990199</v>
      </c>
      <c r="D2990" s="14" t="s">
        <v>3031</v>
      </c>
      <c r="E2990" s="14" t="s">
        <v>43</v>
      </c>
    </row>
    <row r="2991" spans="1:5" x14ac:dyDescent="0.25">
      <c r="A2991" s="36">
        <v>2989</v>
      </c>
      <c r="B2991" s="37">
        <v>941322137</v>
      </c>
      <c r="C2991" s="38">
        <v>0.43833727829080882</v>
      </c>
      <c r="D2991" s="14" t="s">
        <v>3032</v>
      </c>
      <c r="E2991" s="14" t="s">
        <v>46</v>
      </c>
    </row>
    <row r="2992" spans="1:5" x14ac:dyDescent="0.25">
      <c r="A2992" s="36">
        <v>2990</v>
      </c>
      <c r="B2992" s="37">
        <v>1783019067</v>
      </c>
      <c r="C2992" s="38">
        <v>0.83028295442009481</v>
      </c>
      <c r="D2992" s="14" t="s">
        <v>3033</v>
      </c>
      <c r="E2992" s="14" t="s">
        <v>48</v>
      </c>
    </row>
    <row r="2993" spans="1:5" x14ac:dyDescent="0.25">
      <c r="A2993" s="36">
        <v>2991</v>
      </c>
      <c r="B2993" s="37">
        <v>444189929</v>
      </c>
      <c r="C2993" s="38">
        <v>0.20684205424359164</v>
      </c>
      <c r="D2993" s="14" t="s">
        <v>3034</v>
      </c>
      <c r="E2993" s="14" t="s">
        <v>37</v>
      </c>
    </row>
    <row r="2994" spans="1:5" x14ac:dyDescent="0.25">
      <c r="A2994" s="36">
        <v>2992</v>
      </c>
      <c r="B2994" s="37">
        <v>520712730</v>
      </c>
      <c r="C2994" s="38">
        <v>0.24247576028223883</v>
      </c>
      <c r="D2994" s="14" t="s">
        <v>3035</v>
      </c>
      <c r="E2994" s="14" t="s">
        <v>40</v>
      </c>
    </row>
    <row r="2995" spans="1:5" x14ac:dyDescent="0.25">
      <c r="A2995" s="36">
        <v>2993</v>
      </c>
      <c r="B2995" s="37">
        <v>938492744</v>
      </c>
      <c r="C2995" s="38">
        <v>0.43701973950351575</v>
      </c>
      <c r="D2995" s="14" t="s">
        <v>3036</v>
      </c>
      <c r="E2995" s="14" t="s">
        <v>43</v>
      </c>
    </row>
    <row r="2996" spans="1:5" x14ac:dyDescent="0.25">
      <c r="A2996" s="36">
        <v>2994</v>
      </c>
      <c r="B2996" s="37">
        <v>1619273613</v>
      </c>
      <c r="C2996" s="38">
        <v>0.75403303548415801</v>
      </c>
      <c r="D2996" s="14" t="s">
        <v>3037</v>
      </c>
      <c r="E2996" s="14" t="s">
        <v>46</v>
      </c>
    </row>
    <row r="2997" spans="1:5" x14ac:dyDescent="0.25">
      <c r="A2997" s="36">
        <v>2995</v>
      </c>
      <c r="B2997" s="37">
        <v>666847819</v>
      </c>
      <c r="C2997" s="38">
        <v>0.31052521397849786</v>
      </c>
      <c r="D2997" s="14" t="s">
        <v>3038</v>
      </c>
      <c r="E2997" s="14" t="s">
        <v>48</v>
      </c>
    </row>
    <row r="2998" spans="1:5" x14ac:dyDescent="0.25">
      <c r="A2998" s="36">
        <v>2996</v>
      </c>
      <c r="B2998" s="37">
        <v>974814779</v>
      </c>
      <c r="C2998" s="38">
        <v>0.4539335050871286</v>
      </c>
      <c r="D2998" s="14" t="s">
        <v>3039</v>
      </c>
      <c r="E2998" s="14" t="s">
        <v>37</v>
      </c>
    </row>
    <row r="2999" spans="1:5" x14ac:dyDescent="0.25">
      <c r="A2999" s="36">
        <v>2997</v>
      </c>
      <c r="B2999" s="37">
        <v>299984350</v>
      </c>
      <c r="C2999" s="38">
        <v>0.13969109865822416</v>
      </c>
      <c r="D2999" s="14" t="s">
        <v>3040</v>
      </c>
      <c r="E2999" s="14" t="s">
        <v>40</v>
      </c>
    </row>
    <row r="3000" spans="1:5" x14ac:dyDescent="0.25">
      <c r="A3000" s="36">
        <v>2998</v>
      </c>
      <c r="B3000" s="37">
        <v>1713971180</v>
      </c>
      <c r="C3000" s="38">
        <v>0.79813002645882314</v>
      </c>
      <c r="D3000" s="14" t="s">
        <v>3041</v>
      </c>
      <c r="E3000" s="14" t="s">
        <v>43</v>
      </c>
    </row>
    <row r="3001" spans="1:5" x14ac:dyDescent="0.25">
      <c r="A3001" s="36">
        <v>2999</v>
      </c>
      <c r="B3001" s="37">
        <v>1834868694</v>
      </c>
      <c r="C3001" s="38">
        <v>0.85442731848658404</v>
      </c>
      <c r="D3001" s="14" t="s">
        <v>3042</v>
      </c>
      <c r="E3001" s="14" t="s">
        <v>46</v>
      </c>
    </row>
    <row r="3002" spans="1:5" x14ac:dyDescent="0.25">
      <c r="A3002" s="36">
        <v>3000</v>
      </c>
      <c r="B3002" s="37">
        <v>224282821</v>
      </c>
      <c r="C3002" s="38">
        <v>0.10443982719650484</v>
      </c>
      <c r="D3002" s="14" t="s">
        <v>3043</v>
      </c>
      <c r="E3002" s="14" t="s">
        <v>48</v>
      </c>
    </row>
    <row r="3003" spans="1:5" x14ac:dyDescent="0.25">
      <c r="A3003" s="36">
        <v>3001</v>
      </c>
      <c r="B3003" s="37">
        <v>376883827</v>
      </c>
      <c r="C3003" s="38">
        <v>0.17550020812801095</v>
      </c>
      <c r="D3003" s="14" t="s">
        <v>3044</v>
      </c>
      <c r="E3003" s="14" t="s">
        <v>37</v>
      </c>
    </row>
    <row r="3004" spans="1:5" x14ac:dyDescent="0.25">
      <c r="A3004" s="36">
        <v>3002</v>
      </c>
      <c r="B3004" s="37">
        <v>2053145170</v>
      </c>
      <c r="C3004" s="38">
        <v>0.95607022333707203</v>
      </c>
      <c r="D3004" s="14" t="s">
        <v>3045</v>
      </c>
      <c r="E3004" s="14" t="s">
        <v>40</v>
      </c>
    </row>
    <row r="3005" spans="1:5" x14ac:dyDescent="0.25">
      <c r="A3005" s="36">
        <v>3003</v>
      </c>
      <c r="B3005" s="37">
        <v>559711732</v>
      </c>
      <c r="C3005" s="38">
        <v>0.26063608576573249</v>
      </c>
      <c r="D3005" s="14" t="s">
        <v>3046</v>
      </c>
      <c r="E3005" s="14" t="s">
        <v>43</v>
      </c>
    </row>
    <row r="3006" spans="1:5" x14ac:dyDescent="0.25">
      <c r="A3006" s="36">
        <v>3004</v>
      </c>
      <c r="B3006" s="37">
        <v>1616615278</v>
      </c>
      <c r="C3006" s="38">
        <v>0.75279515178538636</v>
      </c>
      <c r="D3006" s="14" t="s">
        <v>3047</v>
      </c>
      <c r="E3006" s="14" t="s">
        <v>46</v>
      </c>
    </row>
    <row r="3007" spans="1:5" x14ac:dyDescent="0.25">
      <c r="A3007" s="36">
        <v>3005</v>
      </c>
      <c r="B3007" s="37">
        <v>1765578411</v>
      </c>
      <c r="C3007" s="38">
        <v>0.8221615160918615</v>
      </c>
      <c r="D3007" s="14" t="s">
        <v>3048</v>
      </c>
      <c r="E3007" s="14" t="s">
        <v>48</v>
      </c>
    </row>
    <row r="3008" spans="1:5" x14ac:dyDescent="0.25">
      <c r="A3008" s="36">
        <v>3006</v>
      </c>
      <c r="B3008" s="37">
        <v>1867685322</v>
      </c>
      <c r="C3008" s="38">
        <v>0.86970875173327922</v>
      </c>
      <c r="D3008" s="14" t="s">
        <v>3049</v>
      </c>
      <c r="E3008" s="14" t="s">
        <v>37</v>
      </c>
    </row>
    <row r="3009" spans="1:5" x14ac:dyDescent="0.25">
      <c r="A3009" s="36">
        <v>3007</v>
      </c>
      <c r="B3009" s="37">
        <v>927959429</v>
      </c>
      <c r="C3009" s="38">
        <v>0.43211478247871382</v>
      </c>
      <c r="D3009" s="14" t="s">
        <v>3050</v>
      </c>
      <c r="E3009" s="14" t="s">
        <v>40</v>
      </c>
    </row>
    <row r="3010" spans="1:5" x14ac:dyDescent="0.25">
      <c r="A3010" s="36">
        <v>3008</v>
      </c>
      <c r="B3010" s="37">
        <v>709617346</v>
      </c>
      <c r="C3010" s="38">
        <v>0.33044132698813516</v>
      </c>
      <c r="D3010" s="14" t="s">
        <v>3051</v>
      </c>
      <c r="E3010" s="14" t="s">
        <v>43</v>
      </c>
    </row>
    <row r="3011" spans="1:5" x14ac:dyDescent="0.25">
      <c r="A3011" s="36">
        <v>3009</v>
      </c>
      <c r="B3011" s="37">
        <v>691362757</v>
      </c>
      <c r="C3011" s="38">
        <v>0.32194087157116313</v>
      </c>
      <c r="D3011" s="14" t="s">
        <v>3052</v>
      </c>
      <c r="E3011" s="14" t="s">
        <v>46</v>
      </c>
    </row>
    <row r="3012" spans="1:5" x14ac:dyDescent="0.25">
      <c r="A3012" s="36">
        <v>3010</v>
      </c>
      <c r="B3012" s="37">
        <v>217728935</v>
      </c>
      <c r="C3012" s="38">
        <v>0.10138793620345553</v>
      </c>
      <c r="D3012" s="14" t="s">
        <v>3053</v>
      </c>
      <c r="E3012" s="14" t="s">
        <v>48</v>
      </c>
    </row>
    <row r="3013" spans="1:5" x14ac:dyDescent="0.25">
      <c r="A3013" s="36">
        <v>3011</v>
      </c>
      <c r="B3013" s="37">
        <v>486716437</v>
      </c>
      <c r="C3013" s="38">
        <v>0.22664500271279597</v>
      </c>
      <c r="D3013" s="14" t="s">
        <v>3054</v>
      </c>
      <c r="E3013" s="14" t="s">
        <v>37</v>
      </c>
    </row>
    <row r="3014" spans="1:5" x14ac:dyDescent="0.25">
      <c r="A3014" s="36">
        <v>3012</v>
      </c>
      <c r="B3014" s="37">
        <v>1600469016</v>
      </c>
      <c r="C3014" s="38">
        <v>0.74527646263375713</v>
      </c>
      <c r="D3014" s="14" t="s">
        <v>3055</v>
      </c>
      <c r="E3014" s="14" t="s">
        <v>40</v>
      </c>
    </row>
    <row r="3015" spans="1:5" x14ac:dyDescent="0.25">
      <c r="A3015" s="36">
        <v>3013</v>
      </c>
      <c r="B3015" s="37">
        <v>1666665066</v>
      </c>
      <c r="C3015" s="38">
        <v>0.77610140050579857</v>
      </c>
      <c r="D3015" s="14" t="s">
        <v>3056</v>
      </c>
      <c r="E3015" s="14" t="s">
        <v>43</v>
      </c>
    </row>
    <row r="3016" spans="1:5" x14ac:dyDescent="0.25">
      <c r="A3016" s="36">
        <v>3014</v>
      </c>
      <c r="B3016" s="37">
        <v>1408347393</v>
      </c>
      <c r="C3016" s="38">
        <v>0.65581286030626529</v>
      </c>
      <c r="D3016" s="14" t="s">
        <v>3057</v>
      </c>
      <c r="E3016" s="14" t="s">
        <v>46</v>
      </c>
    </row>
    <row r="3017" spans="1:5" x14ac:dyDescent="0.25">
      <c r="A3017" s="36">
        <v>3015</v>
      </c>
      <c r="B3017" s="37">
        <v>801950349</v>
      </c>
      <c r="C3017" s="38">
        <v>0.37343723204612606</v>
      </c>
      <c r="D3017" s="14" t="s">
        <v>3058</v>
      </c>
      <c r="E3017" s="14" t="s">
        <v>48</v>
      </c>
    </row>
    <row r="3018" spans="1:5" x14ac:dyDescent="0.25">
      <c r="A3018" s="36">
        <v>3016</v>
      </c>
      <c r="B3018" s="37">
        <v>173532836</v>
      </c>
      <c r="C3018" s="38">
        <v>8.080752383955174E-2</v>
      </c>
      <c r="D3018" s="14" t="s">
        <v>3059</v>
      </c>
      <c r="E3018" s="14" t="s">
        <v>37</v>
      </c>
    </row>
    <row r="3019" spans="1:5" x14ac:dyDescent="0.25">
      <c r="A3019" s="36">
        <v>3017</v>
      </c>
      <c r="B3019" s="37">
        <v>1322323741</v>
      </c>
      <c r="C3019" s="38">
        <v>0.6157549757583789</v>
      </c>
      <c r="D3019" s="14" t="s">
        <v>3060</v>
      </c>
      <c r="E3019" s="14" t="s">
        <v>40</v>
      </c>
    </row>
    <row r="3020" spans="1:5" x14ac:dyDescent="0.25">
      <c r="A3020" s="36">
        <v>3018</v>
      </c>
      <c r="B3020" s="37">
        <v>49736068</v>
      </c>
      <c r="C3020" s="38">
        <v>2.3160161461290046E-2</v>
      </c>
      <c r="D3020" s="14" t="s">
        <v>3061</v>
      </c>
      <c r="E3020" s="14" t="s">
        <v>43</v>
      </c>
    </row>
    <row r="3021" spans="1:5" x14ac:dyDescent="0.25">
      <c r="A3021" s="36">
        <v>3019</v>
      </c>
      <c r="B3021" s="37">
        <v>300416426</v>
      </c>
      <c r="C3021" s="38">
        <v>0.13989229972469261</v>
      </c>
      <c r="D3021" s="14" t="s">
        <v>3062</v>
      </c>
      <c r="E3021" s="14" t="s">
        <v>46</v>
      </c>
    </row>
    <row r="3022" spans="1:5" x14ac:dyDescent="0.25">
      <c r="A3022" s="36">
        <v>3020</v>
      </c>
      <c r="B3022" s="37">
        <v>1508253335</v>
      </c>
      <c r="C3022" s="38">
        <v>0.70233518988934118</v>
      </c>
      <c r="D3022" s="14" t="s">
        <v>3063</v>
      </c>
      <c r="E3022" s="14" t="s">
        <v>48</v>
      </c>
    </row>
    <row r="3023" spans="1:5" x14ac:dyDescent="0.25">
      <c r="A3023" s="36">
        <v>3021</v>
      </c>
      <c r="B3023" s="37">
        <v>2048885160</v>
      </c>
      <c r="C3023" s="38">
        <v>0.95408650159560449</v>
      </c>
      <c r="D3023" s="14" t="s">
        <v>3064</v>
      </c>
      <c r="E3023" s="14" t="s">
        <v>37</v>
      </c>
    </row>
    <row r="3024" spans="1:5" x14ac:dyDescent="0.25">
      <c r="A3024" s="36">
        <v>3022</v>
      </c>
      <c r="B3024" s="37">
        <v>657568876</v>
      </c>
      <c r="C3024" s="38">
        <v>0.30620436943425067</v>
      </c>
      <c r="D3024" s="14" t="s">
        <v>3065</v>
      </c>
      <c r="E3024" s="14" t="s">
        <v>40</v>
      </c>
    </row>
    <row r="3025" spans="1:5" x14ac:dyDescent="0.25">
      <c r="A3025" s="36">
        <v>3023</v>
      </c>
      <c r="B3025" s="37">
        <v>644606928</v>
      </c>
      <c r="C3025" s="38">
        <v>0.30016849203974405</v>
      </c>
      <c r="D3025" s="14" t="s">
        <v>3066</v>
      </c>
      <c r="E3025" s="14" t="s">
        <v>43</v>
      </c>
    </row>
    <row r="3026" spans="1:5" x14ac:dyDescent="0.25">
      <c r="A3026" s="36">
        <v>3024</v>
      </c>
      <c r="B3026" s="37">
        <v>926313637</v>
      </c>
      <c r="C3026" s="38">
        <v>0.43134840085699616</v>
      </c>
      <c r="D3026" s="14" t="s">
        <v>3067</v>
      </c>
      <c r="E3026" s="14" t="s">
        <v>46</v>
      </c>
    </row>
    <row r="3027" spans="1:5" x14ac:dyDescent="0.25">
      <c r="A3027" s="36">
        <v>3025</v>
      </c>
      <c r="B3027" s="37">
        <v>1436822118</v>
      </c>
      <c r="C3027" s="38">
        <v>0.66907243741167355</v>
      </c>
      <c r="D3027" s="14" t="s">
        <v>3068</v>
      </c>
      <c r="E3027" s="14" t="s">
        <v>48</v>
      </c>
    </row>
    <row r="3028" spans="1:5" x14ac:dyDescent="0.25">
      <c r="A3028" s="36">
        <v>3026</v>
      </c>
      <c r="B3028" s="37">
        <v>582008037</v>
      </c>
      <c r="C3028" s="38">
        <v>0.27101861185907322</v>
      </c>
      <c r="D3028" s="14" t="s">
        <v>3069</v>
      </c>
      <c r="E3028" s="14" t="s">
        <v>37</v>
      </c>
    </row>
    <row r="3029" spans="1:5" x14ac:dyDescent="0.25">
      <c r="A3029" s="36">
        <v>3027</v>
      </c>
      <c r="B3029" s="37">
        <v>1561307949</v>
      </c>
      <c r="C3029" s="38">
        <v>0.72704066975370085</v>
      </c>
      <c r="D3029" s="14" t="s">
        <v>3070</v>
      </c>
      <c r="E3029" s="14" t="s">
        <v>40</v>
      </c>
    </row>
    <row r="3030" spans="1:5" x14ac:dyDescent="0.25">
      <c r="A3030" s="36">
        <v>3028</v>
      </c>
      <c r="B3030" s="37">
        <v>1810237929</v>
      </c>
      <c r="C3030" s="38">
        <v>0.84295772474396868</v>
      </c>
      <c r="D3030" s="14" t="s">
        <v>3071</v>
      </c>
      <c r="E3030" s="14" t="s">
        <v>43</v>
      </c>
    </row>
    <row r="3031" spans="1:5" x14ac:dyDescent="0.25">
      <c r="A3031" s="36">
        <v>3029</v>
      </c>
      <c r="B3031" s="37">
        <v>1457959720</v>
      </c>
      <c r="C3031" s="38">
        <v>0.67891540037417575</v>
      </c>
      <c r="D3031" s="14" t="s">
        <v>3072</v>
      </c>
      <c r="E3031" s="14" t="s">
        <v>46</v>
      </c>
    </row>
    <row r="3032" spans="1:5" x14ac:dyDescent="0.25">
      <c r="A3032" s="36">
        <v>3030</v>
      </c>
      <c r="B3032" s="37">
        <v>276904639</v>
      </c>
      <c r="C3032" s="38">
        <v>0.12894377071826893</v>
      </c>
      <c r="D3032" s="14" t="s">
        <v>3073</v>
      </c>
      <c r="E3032" s="14" t="s">
        <v>48</v>
      </c>
    </row>
    <row r="3033" spans="1:5" x14ac:dyDescent="0.25">
      <c r="A3033" s="36">
        <v>3031</v>
      </c>
      <c r="B3033" s="37">
        <v>1292980088</v>
      </c>
      <c r="C3033" s="38">
        <v>0.60209077252172438</v>
      </c>
      <c r="D3033" s="14" t="s">
        <v>3074</v>
      </c>
      <c r="E3033" s="14" t="s">
        <v>37</v>
      </c>
    </row>
    <row r="3034" spans="1:5" x14ac:dyDescent="0.25">
      <c r="A3034" s="36">
        <v>3032</v>
      </c>
      <c r="B3034" s="37">
        <v>1321277258</v>
      </c>
      <c r="C3034" s="38">
        <v>0.6152676691372263</v>
      </c>
      <c r="D3034" s="14" t="s">
        <v>3075</v>
      </c>
      <c r="E3034" s="14" t="s">
        <v>40</v>
      </c>
    </row>
    <row r="3035" spans="1:5" x14ac:dyDescent="0.25">
      <c r="A3035" s="36">
        <v>3033</v>
      </c>
      <c r="B3035" s="37">
        <v>1909341857</v>
      </c>
      <c r="C3035" s="38">
        <v>0.88910658745519189</v>
      </c>
      <c r="D3035" s="14" t="s">
        <v>3076</v>
      </c>
      <c r="E3035" s="14" t="s">
        <v>43</v>
      </c>
    </row>
    <row r="3036" spans="1:5" x14ac:dyDescent="0.25">
      <c r="A3036" s="36">
        <v>3034</v>
      </c>
      <c r="B3036" s="37">
        <v>1319885968</v>
      </c>
      <c r="C3036" s="38">
        <v>0.61461979924450616</v>
      </c>
      <c r="D3036" s="14" t="s">
        <v>3077</v>
      </c>
      <c r="E3036" s="14" t="s">
        <v>46</v>
      </c>
    </row>
    <row r="3037" spans="1:5" x14ac:dyDescent="0.25">
      <c r="A3037" s="36">
        <v>3035</v>
      </c>
      <c r="B3037" s="37">
        <v>1059726073</v>
      </c>
      <c r="C3037" s="38">
        <v>0.49347340757654673</v>
      </c>
      <c r="D3037" s="14" t="s">
        <v>3078</v>
      </c>
      <c r="E3037" s="14" t="s">
        <v>48</v>
      </c>
    </row>
    <row r="3038" spans="1:5" x14ac:dyDescent="0.25">
      <c r="A3038" s="36">
        <v>3036</v>
      </c>
      <c r="B3038" s="37">
        <v>635402395</v>
      </c>
      <c r="C3038" s="38">
        <v>0.29588229735190158</v>
      </c>
      <c r="D3038" s="14" t="s">
        <v>3079</v>
      </c>
      <c r="E3038" s="14" t="s">
        <v>37</v>
      </c>
    </row>
    <row r="3039" spans="1:5" x14ac:dyDescent="0.25">
      <c r="A3039" s="36">
        <v>3037</v>
      </c>
      <c r="B3039" s="37">
        <v>2046843157</v>
      </c>
      <c r="C3039" s="38">
        <v>0.95313561984949546</v>
      </c>
      <c r="D3039" s="14" t="s">
        <v>3080</v>
      </c>
      <c r="E3039" s="14" t="s">
        <v>40</v>
      </c>
    </row>
    <row r="3040" spans="1:5" x14ac:dyDescent="0.25">
      <c r="A3040" s="36">
        <v>3038</v>
      </c>
      <c r="B3040" s="37">
        <v>1159138502</v>
      </c>
      <c r="C3040" s="38">
        <v>0.53976592726063255</v>
      </c>
      <c r="D3040" s="14" t="s">
        <v>3081</v>
      </c>
      <c r="E3040" s="14" t="s">
        <v>43</v>
      </c>
    </row>
    <row r="3041" spans="1:5" x14ac:dyDescent="0.25">
      <c r="A3041" s="36">
        <v>3039</v>
      </c>
      <c r="B3041" s="37">
        <v>756364035</v>
      </c>
      <c r="C3041" s="38">
        <v>0.35220945037538626</v>
      </c>
      <c r="D3041" s="14" t="s">
        <v>3082</v>
      </c>
      <c r="E3041" s="14" t="s">
        <v>46</v>
      </c>
    </row>
    <row r="3042" spans="1:5" x14ac:dyDescent="0.25">
      <c r="A3042" s="36">
        <v>3040</v>
      </c>
      <c r="B3042" s="37">
        <v>1948888731</v>
      </c>
      <c r="C3042" s="38">
        <v>0.90752203571960421</v>
      </c>
      <c r="D3042" s="14" t="s">
        <v>3083</v>
      </c>
      <c r="E3042" s="14" t="s">
        <v>48</v>
      </c>
    </row>
    <row r="3043" spans="1:5" x14ac:dyDescent="0.25">
      <c r="A3043" s="36">
        <v>3041</v>
      </c>
      <c r="B3043" s="37">
        <v>1264099327</v>
      </c>
      <c r="C3043" s="38">
        <v>0.58864212016977469</v>
      </c>
      <c r="D3043" s="14" t="s">
        <v>3084</v>
      </c>
      <c r="E3043" s="14" t="s">
        <v>37</v>
      </c>
    </row>
    <row r="3044" spans="1:5" x14ac:dyDescent="0.25">
      <c r="A3044" s="36">
        <v>3042</v>
      </c>
      <c r="B3044" s="37">
        <v>2141495475</v>
      </c>
      <c r="C3044" s="38">
        <v>0.99721154011656132</v>
      </c>
      <c r="D3044" s="14" t="s">
        <v>3085</v>
      </c>
      <c r="E3044" s="14" t="s">
        <v>40</v>
      </c>
    </row>
    <row r="3045" spans="1:5" x14ac:dyDescent="0.25">
      <c r="A3045" s="36">
        <v>3043</v>
      </c>
      <c r="B3045" s="37">
        <v>23511650</v>
      </c>
      <c r="C3045" s="38">
        <v>1.0948465210827284E-2</v>
      </c>
      <c r="D3045" s="14" t="s">
        <v>3086</v>
      </c>
      <c r="E3045" s="14" t="s">
        <v>43</v>
      </c>
    </row>
    <row r="3046" spans="1:5" x14ac:dyDescent="0.25">
      <c r="A3046" s="36">
        <v>3044</v>
      </c>
      <c r="B3046" s="37">
        <v>1001137545</v>
      </c>
      <c r="C3046" s="38">
        <v>0.46619099819389687</v>
      </c>
      <c r="D3046" s="14" t="s">
        <v>3087</v>
      </c>
      <c r="E3046" s="14" t="s">
        <v>46</v>
      </c>
    </row>
    <row r="3047" spans="1:5" x14ac:dyDescent="0.25">
      <c r="A3047" s="36">
        <v>3045</v>
      </c>
      <c r="B3047" s="37">
        <v>93210759</v>
      </c>
      <c r="C3047" s="38">
        <v>4.3404642047083303E-2</v>
      </c>
      <c r="D3047" s="14" t="s">
        <v>3088</v>
      </c>
      <c r="E3047" s="14" t="s">
        <v>48</v>
      </c>
    </row>
    <row r="3048" spans="1:5" x14ac:dyDescent="0.25">
      <c r="A3048" s="36">
        <v>3046</v>
      </c>
      <c r="B3048" s="37">
        <v>1254000242</v>
      </c>
      <c r="C3048" s="38">
        <v>0.58393936724585449</v>
      </c>
      <c r="D3048" s="14" t="s">
        <v>3089</v>
      </c>
      <c r="E3048" s="14" t="s">
        <v>37</v>
      </c>
    </row>
    <row r="3049" spans="1:5" x14ac:dyDescent="0.25">
      <c r="A3049" s="36">
        <v>3047</v>
      </c>
      <c r="B3049" s="37">
        <v>316540919</v>
      </c>
      <c r="C3049" s="38">
        <v>0.14740085189575369</v>
      </c>
      <c r="D3049" s="14" t="s">
        <v>3090</v>
      </c>
      <c r="E3049" s="14" t="s">
        <v>40</v>
      </c>
    </row>
    <row r="3050" spans="1:5" x14ac:dyDescent="0.25">
      <c r="A3050" s="36">
        <v>3048</v>
      </c>
      <c r="B3050" s="37">
        <v>1879343954</v>
      </c>
      <c r="C3050" s="38">
        <v>0.87513772532117451</v>
      </c>
      <c r="D3050" s="14" t="s">
        <v>3091</v>
      </c>
      <c r="E3050" s="14" t="s">
        <v>43</v>
      </c>
    </row>
    <row r="3051" spans="1:5" x14ac:dyDescent="0.25">
      <c r="A3051" s="36">
        <v>3049</v>
      </c>
      <c r="B3051" s="37">
        <v>202671290</v>
      </c>
      <c r="C3051" s="38">
        <v>9.4376173845667474E-2</v>
      </c>
      <c r="D3051" s="14" t="s">
        <v>3092</v>
      </c>
      <c r="E3051" s="14" t="s">
        <v>46</v>
      </c>
    </row>
    <row r="3052" spans="1:5" x14ac:dyDescent="0.25">
      <c r="A3052" s="36">
        <v>3050</v>
      </c>
      <c r="B3052" s="37">
        <v>2089300596</v>
      </c>
      <c r="C3052" s="38">
        <v>0.97290640555923169</v>
      </c>
      <c r="D3052" s="14" t="s">
        <v>3093</v>
      </c>
      <c r="E3052" s="14" t="s">
        <v>48</v>
      </c>
    </row>
    <row r="3053" spans="1:5" x14ac:dyDescent="0.25">
      <c r="A3053" s="36">
        <v>3051</v>
      </c>
      <c r="B3053" s="37">
        <v>1088450854</v>
      </c>
      <c r="C3053" s="38">
        <v>0.50684942608086836</v>
      </c>
      <c r="D3053" s="14" t="s">
        <v>3094</v>
      </c>
      <c r="E3053" s="14" t="s">
        <v>37</v>
      </c>
    </row>
    <row r="3054" spans="1:5" x14ac:dyDescent="0.25">
      <c r="A3054" s="36">
        <v>3052</v>
      </c>
      <c r="B3054" s="37">
        <v>28095965</v>
      </c>
      <c r="C3054" s="38">
        <v>1.3083203236145528E-2</v>
      </c>
      <c r="D3054" s="14" t="s">
        <v>3095</v>
      </c>
      <c r="E3054" s="14" t="s">
        <v>40</v>
      </c>
    </row>
    <row r="3055" spans="1:5" x14ac:dyDescent="0.25">
      <c r="A3055" s="36">
        <v>3053</v>
      </c>
      <c r="B3055" s="37">
        <v>1698665129</v>
      </c>
      <c r="C3055" s="38">
        <v>0.79100259104324622</v>
      </c>
      <c r="D3055" s="14" t="s">
        <v>3096</v>
      </c>
      <c r="E3055" s="14" t="s">
        <v>43</v>
      </c>
    </row>
    <row r="3056" spans="1:5" x14ac:dyDescent="0.25">
      <c r="A3056" s="36">
        <v>3054</v>
      </c>
      <c r="B3056" s="37">
        <v>128832280</v>
      </c>
      <c r="C3056" s="38">
        <v>5.999220537952716E-2</v>
      </c>
      <c r="D3056" s="14" t="s">
        <v>3097</v>
      </c>
      <c r="E3056" s="14" t="s">
        <v>46</v>
      </c>
    </row>
    <row r="3057" spans="1:5" x14ac:dyDescent="0.25">
      <c r="A3057" s="36">
        <v>3055</v>
      </c>
      <c r="B3057" s="37">
        <v>2142749097</v>
      </c>
      <c r="C3057" s="38">
        <v>0.99779530335115052</v>
      </c>
      <c r="D3057" s="14" t="s">
        <v>3098</v>
      </c>
      <c r="E3057" s="14" t="s">
        <v>48</v>
      </c>
    </row>
    <row r="3058" spans="1:5" x14ac:dyDescent="0.25">
      <c r="A3058" s="36">
        <v>3056</v>
      </c>
      <c r="B3058" s="37">
        <v>1502049963</v>
      </c>
      <c r="C3058" s="38">
        <v>0.69944651969682725</v>
      </c>
      <c r="D3058" s="14" t="s">
        <v>3099</v>
      </c>
      <c r="E3058" s="14" t="s">
        <v>37</v>
      </c>
    </row>
    <row r="3059" spans="1:5" x14ac:dyDescent="0.25">
      <c r="A3059" s="36">
        <v>3057</v>
      </c>
      <c r="B3059" s="37">
        <v>1482481636</v>
      </c>
      <c r="C3059" s="38">
        <v>0.6903343073513053</v>
      </c>
      <c r="D3059" s="14" t="s">
        <v>3100</v>
      </c>
      <c r="E3059" s="14" t="s">
        <v>40</v>
      </c>
    </row>
    <row r="3060" spans="1:5" x14ac:dyDescent="0.25">
      <c r="A3060" s="36">
        <v>3058</v>
      </c>
      <c r="B3060" s="37">
        <v>397456010</v>
      </c>
      <c r="C3060" s="38">
        <v>0.18507987735098222</v>
      </c>
      <c r="D3060" s="14" t="s">
        <v>3101</v>
      </c>
      <c r="E3060" s="14" t="s">
        <v>43</v>
      </c>
    </row>
    <row r="3061" spans="1:5" x14ac:dyDescent="0.25">
      <c r="A3061" s="36">
        <v>3059</v>
      </c>
      <c r="B3061" s="37">
        <v>1191818183</v>
      </c>
      <c r="C3061" s="38">
        <v>0.55498358959098515</v>
      </c>
      <c r="D3061" s="14" t="s">
        <v>3102</v>
      </c>
      <c r="E3061" s="14" t="s">
        <v>46</v>
      </c>
    </row>
    <row r="3062" spans="1:5" x14ac:dyDescent="0.25">
      <c r="A3062" s="36">
        <v>3060</v>
      </c>
      <c r="B3062" s="37">
        <v>1141602050</v>
      </c>
      <c r="C3062" s="38">
        <v>0.53159988044369966</v>
      </c>
      <c r="D3062" s="14" t="s">
        <v>3103</v>
      </c>
      <c r="E3062" s="14" t="s">
        <v>48</v>
      </c>
    </row>
    <row r="3063" spans="1:5" x14ac:dyDescent="0.25">
      <c r="A3063" s="36">
        <v>3061</v>
      </c>
      <c r="B3063" s="37">
        <v>1638812406</v>
      </c>
      <c r="C3063" s="38">
        <v>0.76313149498921418</v>
      </c>
      <c r="D3063" s="14" t="s">
        <v>3104</v>
      </c>
      <c r="E3063" s="14" t="s">
        <v>37</v>
      </c>
    </row>
    <row r="3064" spans="1:5" x14ac:dyDescent="0.25">
      <c r="A3064" s="36">
        <v>3062</v>
      </c>
      <c r="B3064" s="37">
        <v>1983915976</v>
      </c>
      <c r="C3064" s="38">
        <v>0.92383286772474316</v>
      </c>
      <c r="D3064" s="14" t="s">
        <v>3105</v>
      </c>
      <c r="E3064" s="14" t="s">
        <v>40</v>
      </c>
    </row>
    <row r="3065" spans="1:5" x14ac:dyDescent="0.25">
      <c r="A3065" s="36">
        <v>3063</v>
      </c>
      <c r="B3065" s="37">
        <v>808066902</v>
      </c>
      <c r="C3065" s="38">
        <v>0.37628547399131834</v>
      </c>
      <c r="D3065" s="14" t="s">
        <v>3106</v>
      </c>
      <c r="E3065" s="14" t="s">
        <v>43</v>
      </c>
    </row>
    <row r="3066" spans="1:5" x14ac:dyDescent="0.25">
      <c r="A3066" s="36">
        <v>3064</v>
      </c>
      <c r="B3066" s="37">
        <v>108944734</v>
      </c>
      <c r="C3066" s="38">
        <v>5.0731345103462853E-2</v>
      </c>
      <c r="D3066" s="14" t="s">
        <v>3107</v>
      </c>
      <c r="E3066" s="14" t="s">
        <v>46</v>
      </c>
    </row>
    <row r="3067" spans="1:5" x14ac:dyDescent="0.25">
      <c r="A3067" s="36">
        <v>3065</v>
      </c>
      <c r="B3067" s="37">
        <v>138178305</v>
      </c>
      <c r="C3067" s="38">
        <v>6.4344287414264068E-2</v>
      </c>
      <c r="D3067" s="14" t="s">
        <v>3108</v>
      </c>
      <c r="E3067" s="14" t="s">
        <v>48</v>
      </c>
    </row>
    <row r="3068" spans="1:5" x14ac:dyDescent="0.25">
      <c r="A3068" s="36">
        <v>3066</v>
      </c>
      <c r="B3068" s="37">
        <v>315989707</v>
      </c>
      <c r="C3068" s="38">
        <v>0.1471441738061347</v>
      </c>
      <c r="D3068" s="14" t="s">
        <v>3109</v>
      </c>
      <c r="E3068" s="14" t="s">
        <v>37</v>
      </c>
    </row>
    <row r="3069" spans="1:5" x14ac:dyDescent="0.25">
      <c r="A3069" s="36">
        <v>3067</v>
      </c>
      <c r="B3069" s="37">
        <v>1348706923</v>
      </c>
      <c r="C3069" s="38">
        <v>0.62804060225749414</v>
      </c>
      <c r="D3069" s="14" t="s">
        <v>3110</v>
      </c>
      <c r="E3069" s="14" t="s">
        <v>40</v>
      </c>
    </row>
    <row r="3070" spans="1:5" x14ac:dyDescent="0.25">
      <c r="A3070" s="36">
        <v>3068</v>
      </c>
      <c r="B3070" s="37">
        <v>1622657115</v>
      </c>
      <c r="C3070" s="38">
        <v>0.75560860138181996</v>
      </c>
      <c r="D3070" s="14" t="s">
        <v>3111</v>
      </c>
      <c r="E3070" s="14" t="s">
        <v>43</v>
      </c>
    </row>
    <row r="3071" spans="1:5" x14ac:dyDescent="0.25">
      <c r="A3071" s="36">
        <v>3069</v>
      </c>
      <c r="B3071" s="37">
        <v>1888391935</v>
      </c>
      <c r="C3071" s="38">
        <v>0.87935101980313235</v>
      </c>
      <c r="D3071" s="14" t="s">
        <v>3112</v>
      </c>
      <c r="E3071" s="14" t="s">
        <v>46</v>
      </c>
    </row>
    <row r="3072" spans="1:5" x14ac:dyDescent="0.25">
      <c r="A3072" s="36">
        <v>3070</v>
      </c>
      <c r="B3072" s="37">
        <v>490428904</v>
      </c>
      <c r="C3072" s="38">
        <v>0.2283737548759085</v>
      </c>
      <c r="D3072" s="14" t="s">
        <v>3113</v>
      </c>
      <c r="E3072" s="14" t="s">
        <v>48</v>
      </c>
    </row>
    <row r="3073" spans="1:5" x14ac:dyDescent="0.25">
      <c r="A3073" s="36">
        <v>3071</v>
      </c>
      <c r="B3073" s="37">
        <v>636666125</v>
      </c>
      <c r="C3073" s="38">
        <v>0.29647076749078499</v>
      </c>
      <c r="D3073" s="14" t="s">
        <v>3114</v>
      </c>
      <c r="E3073" s="14" t="s">
        <v>37</v>
      </c>
    </row>
    <row r="3074" spans="1:5" x14ac:dyDescent="0.25">
      <c r="A3074" s="36">
        <v>3072</v>
      </c>
      <c r="B3074" s="37">
        <v>1023047347</v>
      </c>
      <c r="C3074" s="38">
        <v>0.47639354480262547</v>
      </c>
      <c r="D3074" s="14" t="s">
        <v>3115</v>
      </c>
      <c r="E3074" s="14" t="s">
        <v>40</v>
      </c>
    </row>
    <row r="3075" spans="1:5" x14ac:dyDescent="0.25">
      <c r="A3075" s="36">
        <v>3073</v>
      </c>
      <c r="B3075" s="37">
        <v>939091455</v>
      </c>
      <c r="C3075" s="38">
        <v>0.43729853603863089</v>
      </c>
      <c r="D3075" s="14" t="s">
        <v>3116</v>
      </c>
      <c r="E3075" s="14" t="s">
        <v>43</v>
      </c>
    </row>
    <row r="3076" spans="1:5" x14ac:dyDescent="0.25">
      <c r="A3076" s="36">
        <v>3074</v>
      </c>
      <c r="B3076" s="37">
        <v>1756288680</v>
      </c>
      <c r="C3076" s="38">
        <v>0.8178356479936445</v>
      </c>
      <c r="D3076" s="14" t="s">
        <v>3117</v>
      </c>
      <c r="E3076" s="14" t="s">
        <v>46</v>
      </c>
    </row>
    <row r="3077" spans="1:5" x14ac:dyDescent="0.25">
      <c r="A3077" s="36">
        <v>3075</v>
      </c>
      <c r="B3077" s="37">
        <v>760450947</v>
      </c>
      <c r="C3077" s="38">
        <v>0.35411256707930594</v>
      </c>
      <c r="D3077" s="14" t="s">
        <v>3118</v>
      </c>
      <c r="E3077" s="14" t="s">
        <v>48</v>
      </c>
    </row>
    <row r="3078" spans="1:5" x14ac:dyDescent="0.25">
      <c r="A3078" s="36">
        <v>3076</v>
      </c>
      <c r="B3078" s="37">
        <v>1487891835</v>
      </c>
      <c r="C3078" s="38">
        <v>0.69285362758340951</v>
      </c>
      <c r="D3078" s="14" t="s">
        <v>3119</v>
      </c>
      <c r="E3078" s="14" t="s">
        <v>37</v>
      </c>
    </row>
    <row r="3079" spans="1:5" x14ac:dyDescent="0.25">
      <c r="A3079" s="36">
        <v>3077</v>
      </c>
      <c r="B3079" s="37">
        <v>1410014614</v>
      </c>
      <c r="C3079" s="38">
        <v>0.65658922058371327</v>
      </c>
      <c r="D3079" s="14" t="s">
        <v>3120</v>
      </c>
      <c r="E3079" s="14" t="s">
        <v>40</v>
      </c>
    </row>
    <row r="3080" spans="1:5" x14ac:dyDescent="0.25">
      <c r="A3080" s="36">
        <v>3078</v>
      </c>
      <c r="B3080" s="37">
        <v>1384113450</v>
      </c>
      <c r="C3080" s="38">
        <v>0.644528051207088</v>
      </c>
      <c r="D3080" s="14" t="s">
        <v>3121</v>
      </c>
      <c r="E3080" s="14" t="s">
        <v>43</v>
      </c>
    </row>
    <row r="3081" spans="1:5" x14ac:dyDescent="0.25">
      <c r="A3081" s="36">
        <v>3079</v>
      </c>
      <c r="B3081" s="37">
        <v>1130803522</v>
      </c>
      <c r="C3081" s="38">
        <v>0.52657142399184942</v>
      </c>
      <c r="D3081" s="14" t="s">
        <v>3122</v>
      </c>
      <c r="E3081" s="14" t="s">
        <v>46</v>
      </c>
    </row>
    <row r="3082" spans="1:5" x14ac:dyDescent="0.25">
      <c r="A3082" s="36">
        <v>3080</v>
      </c>
      <c r="B3082" s="37">
        <v>1657118596</v>
      </c>
      <c r="C3082" s="38">
        <v>0.77165597899428384</v>
      </c>
      <c r="D3082" s="14" t="s">
        <v>3123</v>
      </c>
      <c r="E3082" s="14" t="s">
        <v>48</v>
      </c>
    </row>
    <row r="3083" spans="1:5" x14ac:dyDescent="0.25">
      <c r="A3083" s="36">
        <v>3081</v>
      </c>
      <c r="B3083" s="37">
        <v>301874796</v>
      </c>
      <c r="C3083" s="38">
        <v>0.14057140617657984</v>
      </c>
      <c r="D3083" s="14" t="s">
        <v>3124</v>
      </c>
      <c r="E3083" s="14" t="s">
        <v>37</v>
      </c>
    </row>
    <row r="3084" spans="1:5" x14ac:dyDescent="0.25">
      <c r="A3084" s="36">
        <v>3082</v>
      </c>
      <c r="B3084" s="37">
        <v>197572828</v>
      </c>
      <c r="C3084" s="38">
        <v>9.2002017466352323E-2</v>
      </c>
      <c r="D3084" s="14" t="s">
        <v>3125</v>
      </c>
      <c r="E3084" s="14" t="s">
        <v>40</v>
      </c>
    </row>
    <row r="3085" spans="1:5" x14ac:dyDescent="0.25">
      <c r="A3085" s="36">
        <v>3083</v>
      </c>
      <c r="B3085" s="37">
        <v>279729343</v>
      </c>
      <c r="C3085" s="38">
        <v>0.13025912601978476</v>
      </c>
      <c r="D3085" s="14" t="s">
        <v>3126</v>
      </c>
      <c r="E3085" s="14" t="s">
        <v>43</v>
      </c>
    </row>
    <row r="3086" spans="1:5" x14ac:dyDescent="0.25">
      <c r="A3086" s="36">
        <v>3084</v>
      </c>
      <c r="B3086" s="37">
        <v>94218758</v>
      </c>
      <c r="C3086" s="38">
        <v>4.3874028159246792E-2</v>
      </c>
      <c r="D3086" s="14" t="s">
        <v>3127</v>
      </c>
      <c r="E3086" s="14" t="s">
        <v>46</v>
      </c>
    </row>
    <row r="3087" spans="1:5" x14ac:dyDescent="0.25">
      <c r="A3087" s="36">
        <v>3085</v>
      </c>
      <c r="B3087" s="37">
        <v>1908807410</v>
      </c>
      <c r="C3087" s="38">
        <v>0.88885771617705822</v>
      </c>
      <c r="D3087" s="14" t="s">
        <v>3128</v>
      </c>
      <c r="E3087" s="14" t="s">
        <v>48</v>
      </c>
    </row>
    <row r="3088" spans="1:5" x14ac:dyDescent="0.25">
      <c r="A3088" s="36">
        <v>3086</v>
      </c>
      <c r="B3088" s="37">
        <v>777723151</v>
      </c>
      <c r="C3088" s="38">
        <v>0.36215556383233311</v>
      </c>
      <c r="D3088" s="14" t="s">
        <v>3129</v>
      </c>
      <c r="E3088" s="14" t="s">
        <v>37</v>
      </c>
    </row>
    <row r="3089" spans="1:5" x14ac:dyDescent="0.25">
      <c r="A3089" s="36">
        <v>3087</v>
      </c>
      <c r="B3089" s="37">
        <v>992188899</v>
      </c>
      <c r="C3089" s="38">
        <v>0.46202396017593517</v>
      </c>
      <c r="D3089" s="14" t="s">
        <v>3130</v>
      </c>
      <c r="E3089" s="14" t="s">
        <v>40</v>
      </c>
    </row>
    <row r="3090" spans="1:5" x14ac:dyDescent="0.25">
      <c r="A3090" s="36">
        <v>3088</v>
      </c>
      <c r="B3090" s="37">
        <v>1942286848</v>
      </c>
      <c r="C3090" s="38">
        <v>0.90444779438173761</v>
      </c>
      <c r="D3090" s="14" t="s">
        <v>3131</v>
      </c>
      <c r="E3090" s="14" t="s">
        <v>43</v>
      </c>
    </row>
    <row r="3091" spans="1:5" x14ac:dyDescent="0.25">
      <c r="A3091" s="36">
        <v>3089</v>
      </c>
      <c r="B3091" s="37">
        <v>938620451</v>
      </c>
      <c r="C3091" s="38">
        <v>0.43707920770956166</v>
      </c>
      <c r="D3091" s="14" t="s">
        <v>3132</v>
      </c>
      <c r="E3091" s="14" t="s">
        <v>46</v>
      </c>
    </row>
    <row r="3092" spans="1:5" x14ac:dyDescent="0.25">
      <c r="A3092" s="36">
        <v>3090</v>
      </c>
      <c r="B3092" s="37">
        <v>1589886735</v>
      </c>
      <c r="C3092" s="38">
        <v>0.74034870403835029</v>
      </c>
      <c r="D3092" s="14" t="s">
        <v>3133</v>
      </c>
      <c r="E3092" s="14" t="s">
        <v>48</v>
      </c>
    </row>
    <row r="3093" spans="1:5" x14ac:dyDescent="0.25">
      <c r="A3093" s="36">
        <v>3091</v>
      </c>
      <c r="B3093" s="37">
        <v>856256235</v>
      </c>
      <c r="C3093" s="38">
        <v>0.39872538084104908</v>
      </c>
      <c r="D3093" s="14" t="s">
        <v>3134</v>
      </c>
      <c r="E3093" s="14" t="s">
        <v>37</v>
      </c>
    </row>
    <row r="3094" spans="1:5" x14ac:dyDescent="0.25">
      <c r="A3094" s="36">
        <v>3092</v>
      </c>
      <c r="B3094" s="37">
        <v>1796757462</v>
      </c>
      <c r="C3094" s="38">
        <v>0.83668039312431608</v>
      </c>
      <c r="D3094" s="14" t="s">
        <v>3135</v>
      </c>
      <c r="E3094" s="14" t="s">
        <v>40</v>
      </c>
    </row>
    <row r="3095" spans="1:5" x14ac:dyDescent="0.25">
      <c r="A3095" s="36">
        <v>3093</v>
      </c>
      <c r="B3095" s="37">
        <v>1940254048</v>
      </c>
      <c r="C3095" s="38">
        <v>0.90350119811645768</v>
      </c>
      <c r="D3095" s="14" t="s">
        <v>3136</v>
      </c>
      <c r="E3095" s="14" t="s">
        <v>43</v>
      </c>
    </row>
    <row r="3096" spans="1:5" x14ac:dyDescent="0.25">
      <c r="A3096" s="36">
        <v>3094</v>
      </c>
      <c r="B3096" s="37">
        <v>1726428123</v>
      </c>
      <c r="C3096" s="38">
        <v>0.80393074257482344</v>
      </c>
      <c r="D3096" s="14" t="s">
        <v>3137</v>
      </c>
      <c r="E3096" s="14" t="s">
        <v>46</v>
      </c>
    </row>
    <row r="3097" spans="1:5" x14ac:dyDescent="0.25">
      <c r="A3097" s="36">
        <v>3095</v>
      </c>
      <c r="B3097" s="37">
        <v>625820337</v>
      </c>
      <c r="C3097" s="38">
        <v>0.29142030388648638</v>
      </c>
      <c r="D3097" s="14" t="s">
        <v>3138</v>
      </c>
      <c r="E3097" s="14" t="s">
        <v>48</v>
      </c>
    </row>
    <row r="3098" spans="1:5" x14ac:dyDescent="0.25">
      <c r="A3098" s="36">
        <v>3096</v>
      </c>
      <c r="B3098" s="37">
        <v>1832796976</v>
      </c>
      <c r="C3098" s="38">
        <v>0.85346259961531623</v>
      </c>
      <c r="D3098" s="14" t="s">
        <v>3139</v>
      </c>
      <c r="E3098" s="14" t="s">
        <v>37</v>
      </c>
    </row>
    <row r="3099" spans="1:5" x14ac:dyDescent="0.25">
      <c r="A3099" s="36">
        <v>3097</v>
      </c>
      <c r="B3099" s="37">
        <v>656615953</v>
      </c>
      <c r="C3099" s="38">
        <v>0.3057606300831589</v>
      </c>
      <c r="D3099" s="14" t="s">
        <v>3140</v>
      </c>
      <c r="E3099" s="14" t="s">
        <v>40</v>
      </c>
    </row>
    <row r="3100" spans="1:5" x14ac:dyDescent="0.25">
      <c r="A3100" s="36">
        <v>3098</v>
      </c>
      <c r="B3100" s="37">
        <v>1470865486</v>
      </c>
      <c r="C3100" s="38">
        <v>0.68492511598622663</v>
      </c>
      <c r="D3100" s="14" t="s">
        <v>3141</v>
      </c>
      <c r="E3100" s="14" t="s">
        <v>43</v>
      </c>
    </row>
    <row r="3101" spans="1:5" x14ac:dyDescent="0.25">
      <c r="A3101" s="36">
        <v>3099</v>
      </c>
      <c r="B3101" s="37">
        <v>968134848</v>
      </c>
      <c r="C3101" s="38">
        <v>0.45082291981709327</v>
      </c>
      <c r="D3101" s="14" t="s">
        <v>3142</v>
      </c>
      <c r="E3101" s="14" t="s">
        <v>46</v>
      </c>
    </row>
    <row r="3102" spans="1:5" x14ac:dyDescent="0.25">
      <c r="A3102" s="36">
        <v>3100</v>
      </c>
      <c r="B3102" s="37">
        <v>1058160741</v>
      </c>
      <c r="C3102" s="38">
        <v>0.49274449306202328</v>
      </c>
      <c r="D3102" s="14" t="s">
        <v>3143</v>
      </c>
      <c r="E3102" s="14" t="s">
        <v>48</v>
      </c>
    </row>
    <row r="3103" spans="1:5" x14ac:dyDescent="0.25">
      <c r="A3103" s="36">
        <v>3101</v>
      </c>
      <c r="B3103" s="37">
        <v>2146302553</v>
      </c>
      <c r="C3103" s="38">
        <v>0.99945001024727242</v>
      </c>
      <c r="D3103" s="14" t="s">
        <v>3144</v>
      </c>
      <c r="E3103" s="14" t="s">
        <v>37</v>
      </c>
    </row>
    <row r="3104" spans="1:5" x14ac:dyDescent="0.25">
      <c r="A3104" s="36">
        <v>3102</v>
      </c>
      <c r="B3104" s="37">
        <v>950878</v>
      </c>
      <c r="C3104" s="38">
        <v>4.4278707375879729E-4</v>
      </c>
      <c r="D3104" s="14" t="s">
        <v>3145</v>
      </c>
      <c r="E3104" s="14" t="s">
        <v>40</v>
      </c>
    </row>
    <row r="3105" spans="1:5" x14ac:dyDescent="0.25">
      <c r="A3105" s="36">
        <v>3103</v>
      </c>
      <c r="B3105" s="37">
        <v>1078659334</v>
      </c>
      <c r="C3105" s="38">
        <v>0.50228989427084569</v>
      </c>
      <c r="D3105" s="14" t="s">
        <v>3146</v>
      </c>
      <c r="E3105" s="14" t="s">
        <v>43</v>
      </c>
    </row>
    <row r="3106" spans="1:5" x14ac:dyDescent="0.25">
      <c r="A3106" s="36">
        <v>3104</v>
      </c>
      <c r="B3106" s="37">
        <v>1199148695</v>
      </c>
      <c r="C3106" s="38">
        <v>0.55839712524711949</v>
      </c>
      <c r="D3106" s="14" t="s">
        <v>3147</v>
      </c>
      <c r="E3106" s="14" t="s">
        <v>46</v>
      </c>
    </row>
    <row r="3107" spans="1:5" x14ac:dyDescent="0.25">
      <c r="A3107" s="36">
        <v>3105</v>
      </c>
      <c r="B3107" s="37">
        <v>960006596</v>
      </c>
      <c r="C3107" s="38">
        <v>0.44703790752544903</v>
      </c>
      <c r="D3107" s="14" t="s">
        <v>3148</v>
      </c>
      <c r="E3107" s="14" t="s">
        <v>48</v>
      </c>
    </row>
    <row r="3108" spans="1:5" x14ac:dyDescent="0.25">
      <c r="A3108" s="36">
        <v>3106</v>
      </c>
      <c r="B3108" s="37">
        <v>526476541</v>
      </c>
      <c r="C3108" s="38">
        <v>0.24515974393354717</v>
      </c>
      <c r="D3108" s="14" t="s">
        <v>3149</v>
      </c>
      <c r="E3108" s="14" t="s">
        <v>37</v>
      </c>
    </row>
    <row r="3109" spans="1:5" x14ac:dyDescent="0.25">
      <c r="A3109" s="36">
        <v>3107</v>
      </c>
      <c r="B3109" s="37">
        <v>2136546370</v>
      </c>
      <c r="C3109" s="38">
        <v>0.99490693351016701</v>
      </c>
      <c r="D3109" s="14" t="s">
        <v>3150</v>
      </c>
      <c r="E3109" s="14" t="s">
        <v>40</v>
      </c>
    </row>
    <row r="3110" spans="1:5" x14ac:dyDescent="0.25">
      <c r="A3110" s="36">
        <v>3108</v>
      </c>
      <c r="B3110" s="37">
        <v>2009265064</v>
      </c>
      <c r="C3110" s="38">
        <v>0.93563695668039704</v>
      </c>
      <c r="D3110" s="14" t="s">
        <v>3151</v>
      </c>
      <c r="E3110" s="14" t="s">
        <v>43</v>
      </c>
    </row>
    <row r="3111" spans="1:5" x14ac:dyDescent="0.25">
      <c r="A3111" s="36">
        <v>3109</v>
      </c>
      <c r="B3111" s="37">
        <v>1240073846</v>
      </c>
      <c r="C3111" s="38">
        <v>0.57745438375391733</v>
      </c>
      <c r="D3111" s="14" t="s">
        <v>3152</v>
      </c>
      <c r="E3111" s="14" t="s">
        <v>46</v>
      </c>
    </row>
    <row r="3112" spans="1:5" x14ac:dyDescent="0.25">
      <c r="A3112" s="36">
        <v>3110</v>
      </c>
      <c r="B3112" s="37">
        <v>1568208384</v>
      </c>
      <c r="C3112" s="38">
        <v>0.73025393520028048</v>
      </c>
      <c r="D3112" s="14" t="s">
        <v>3153</v>
      </c>
      <c r="E3112" s="14" t="s">
        <v>48</v>
      </c>
    </row>
    <row r="3113" spans="1:5" x14ac:dyDescent="0.25">
      <c r="A3113" s="36">
        <v>3111</v>
      </c>
      <c r="B3113" s="37">
        <v>866778501</v>
      </c>
      <c r="C3113" s="38">
        <v>0.40362519277428521</v>
      </c>
      <c r="D3113" s="14" t="s">
        <v>3154</v>
      </c>
      <c r="E3113" s="14" t="s">
        <v>37</v>
      </c>
    </row>
    <row r="3114" spans="1:5" x14ac:dyDescent="0.25">
      <c r="A3114" s="36">
        <v>3112</v>
      </c>
      <c r="B3114" s="37">
        <v>1494946180</v>
      </c>
      <c r="C3114" s="38">
        <v>0.69613856295875209</v>
      </c>
      <c r="D3114" s="14" t="s">
        <v>3155</v>
      </c>
      <c r="E3114" s="14" t="s">
        <v>40</v>
      </c>
    </row>
    <row r="3115" spans="1:5" x14ac:dyDescent="0.25">
      <c r="A3115" s="36">
        <v>3113</v>
      </c>
      <c r="B3115" s="37">
        <v>1103043943</v>
      </c>
      <c r="C3115" s="38">
        <v>0.51364486269356913</v>
      </c>
      <c r="D3115" s="14" t="s">
        <v>3156</v>
      </c>
      <c r="E3115" s="14" t="s">
        <v>43</v>
      </c>
    </row>
    <row r="3116" spans="1:5" x14ac:dyDescent="0.25">
      <c r="A3116" s="36">
        <v>3114</v>
      </c>
      <c r="B3116" s="37">
        <v>402032473</v>
      </c>
      <c r="C3116" s="38">
        <v>0.18721095900387083</v>
      </c>
      <c r="D3116" s="14" t="s">
        <v>3157</v>
      </c>
      <c r="E3116" s="14" t="s">
        <v>46</v>
      </c>
    </row>
    <row r="3117" spans="1:5" x14ac:dyDescent="0.25">
      <c r="A3117" s="36">
        <v>3115</v>
      </c>
      <c r="B3117" s="37">
        <v>1704397349</v>
      </c>
      <c r="C3117" s="38">
        <v>0.79367186398882039</v>
      </c>
      <c r="D3117" s="14" t="s">
        <v>3158</v>
      </c>
      <c r="E3117" s="14" t="s">
        <v>48</v>
      </c>
    </row>
    <row r="3118" spans="1:5" x14ac:dyDescent="0.25">
      <c r="A3118" s="36">
        <v>3116</v>
      </c>
      <c r="B3118" s="37">
        <v>282484159</v>
      </c>
      <c r="C3118" s="38">
        <v>0.13154193718523807</v>
      </c>
      <c r="D3118" s="14" t="s">
        <v>3159</v>
      </c>
      <c r="E3118" s="14" t="s">
        <v>37</v>
      </c>
    </row>
    <row r="3119" spans="1:5" x14ac:dyDescent="0.25">
      <c r="A3119" s="36">
        <v>3117</v>
      </c>
      <c r="B3119" s="37">
        <v>676734813</v>
      </c>
      <c r="C3119" s="38">
        <v>0.31512920433428565</v>
      </c>
      <c r="D3119" s="14" t="s">
        <v>3160</v>
      </c>
      <c r="E3119" s="14" t="s">
        <v>40</v>
      </c>
    </row>
    <row r="3120" spans="1:5" x14ac:dyDescent="0.25">
      <c r="A3120" s="36">
        <v>3118</v>
      </c>
      <c r="B3120" s="37">
        <v>1956315668</v>
      </c>
      <c r="C3120" s="38">
        <v>0.91098047276538818</v>
      </c>
      <c r="D3120" s="14" t="s">
        <v>3161</v>
      </c>
      <c r="E3120" s="14" t="s">
        <v>43</v>
      </c>
    </row>
    <row r="3121" spans="1:5" x14ac:dyDescent="0.25">
      <c r="A3121" s="36">
        <v>3119</v>
      </c>
      <c r="B3121" s="37">
        <v>523053473</v>
      </c>
      <c r="C3121" s="38">
        <v>0.24356575368138297</v>
      </c>
      <c r="D3121" s="14" t="s">
        <v>3162</v>
      </c>
      <c r="E3121" s="14" t="s">
        <v>46</v>
      </c>
    </row>
    <row r="3122" spans="1:5" x14ac:dyDescent="0.25">
      <c r="A3122" s="36">
        <v>3120</v>
      </c>
      <c r="B3122" s="37">
        <v>1628399161</v>
      </c>
      <c r="C3122" s="38">
        <v>0.75828244991520533</v>
      </c>
      <c r="D3122" s="14" t="s">
        <v>3163</v>
      </c>
      <c r="E3122" s="14" t="s">
        <v>48</v>
      </c>
    </row>
    <row r="3123" spans="1:5" x14ac:dyDescent="0.25">
      <c r="A3123" s="36">
        <v>3121</v>
      </c>
      <c r="B3123" s="37">
        <v>1217797288</v>
      </c>
      <c r="C3123" s="38">
        <v>0.56708105307402135</v>
      </c>
      <c r="D3123" s="14" t="s">
        <v>3164</v>
      </c>
      <c r="E3123" s="14" t="s">
        <v>37</v>
      </c>
    </row>
    <row r="3124" spans="1:5" x14ac:dyDescent="0.25">
      <c r="A3124" s="36">
        <v>3122</v>
      </c>
      <c r="B3124" s="37">
        <v>133152536</v>
      </c>
      <c r="C3124" s="38">
        <v>6.200398135092295E-2</v>
      </c>
      <c r="D3124" s="14" t="s">
        <v>3165</v>
      </c>
      <c r="E3124" s="14" t="s">
        <v>40</v>
      </c>
    </row>
    <row r="3125" spans="1:5" x14ac:dyDescent="0.25">
      <c r="A3125" s="36">
        <v>3123</v>
      </c>
      <c r="B3125" s="37">
        <v>1394133694</v>
      </c>
      <c r="C3125" s="38">
        <v>0.64919409092943836</v>
      </c>
      <c r="D3125" s="14" t="s">
        <v>3166</v>
      </c>
      <c r="E3125" s="14" t="s">
        <v>43</v>
      </c>
    </row>
    <row r="3126" spans="1:5" x14ac:dyDescent="0.25">
      <c r="A3126" s="36">
        <v>3124</v>
      </c>
      <c r="B3126" s="37">
        <v>571961373</v>
      </c>
      <c r="C3126" s="38">
        <v>0.26634026936550637</v>
      </c>
      <c r="D3126" s="14" t="s">
        <v>3167</v>
      </c>
      <c r="E3126" s="14" t="s">
        <v>46</v>
      </c>
    </row>
    <row r="3127" spans="1:5" x14ac:dyDescent="0.25">
      <c r="A3127" s="36">
        <v>3125</v>
      </c>
      <c r="B3127" s="37">
        <v>1093072538</v>
      </c>
      <c r="C3127" s="38">
        <v>0.50900156540284003</v>
      </c>
      <c r="D3127" s="14" t="s">
        <v>3168</v>
      </c>
      <c r="E3127" s="14" t="s">
        <v>48</v>
      </c>
    </row>
    <row r="3128" spans="1:5" x14ac:dyDescent="0.25">
      <c r="A3128" s="36">
        <v>3126</v>
      </c>
      <c r="B3128" s="37">
        <v>650232511</v>
      </c>
      <c r="C3128" s="38">
        <v>0.30278810826260044</v>
      </c>
      <c r="D3128" s="14" t="s">
        <v>3169</v>
      </c>
      <c r="E3128" s="14" t="s">
        <v>37</v>
      </c>
    </row>
    <row r="3129" spans="1:5" x14ac:dyDescent="0.25">
      <c r="A3129" s="36">
        <v>3127</v>
      </c>
      <c r="B3129" s="37">
        <v>1821155792</v>
      </c>
      <c r="C3129" s="38">
        <v>0.84804175088556566</v>
      </c>
      <c r="D3129" s="14" t="s">
        <v>3170</v>
      </c>
      <c r="E3129" s="14" t="s">
        <v>40</v>
      </c>
    </row>
    <row r="3130" spans="1:5" x14ac:dyDescent="0.25">
      <c r="A3130" s="36">
        <v>3128</v>
      </c>
      <c r="B3130" s="37">
        <v>359765234</v>
      </c>
      <c r="C3130" s="38">
        <v>0.1675287420710217</v>
      </c>
      <c r="D3130" s="14" t="s">
        <v>3171</v>
      </c>
      <c r="E3130" s="14" t="s">
        <v>43</v>
      </c>
    </row>
    <row r="3131" spans="1:5" x14ac:dyDescent="0.25">
      <c r="A3131" s="36">
        <v>3129</v>
      </c>
      <c r="B3131" s="37">
        <v>540160241</v>
      </c>
      <c r="C3131" s="38">
        <v>0.25153171329364726</v>
      </c>
      <c r="D3131" s="14" t="s">
        <v>3172</v>
      </c>
      <c r="E3131" s="14" t="s">
        <v>46</v>
      </c>
    </row>
    <row r="3132" spans="1:5" x14ac:dyDescent="0.25">
      <c r="A3132" s="36">
        <v>3130</v>
      </c>
      <c r="B3132" s="37">
        <v>638245141</v>
      </c>
      <c r="C3132" s="38">
        <v>0.2972060541143669</v>
      </c>
      <c r="D3132" s="14" t="s">
        <v>3173</v>
      </c>
      <c r="E3132" s="14" t="s">
        <v>48</v>
      </c>
    </row>
    <row r="3133" spans="1:5" x14ac:dyDescent="0.25">
      <c r="A3133" s="36">
        <v>3131</v>
      </c>
      <c r="B3133" s="37">
        <v>814670819</v>
      </c>
      <c r="C3133" s="38">
        <v>0.37936066248424383</v>
      </c>
      <c r="D3133" s="14" t="s">
        <v>3174</v>
      </c>
      <c r="E3133" s="14" t="s">
        <v>37</v>
      </c>
    </row>
    <row r="3134" spans="1:5" x14ac:dyDescent="0.25">
      <c r="A3134" s="36">
        <v>3132</v>
      </c>
      <c r="B3134" s="37">
        <v>1672583813</v>
      </c>
      <c r="C3134" s="38">
        <v>0.7788575318543508</v>
      </c>
      <c r="D3134" s="14" t="s">
        <v>3175</v>
      </c>
      <c r="E3134" s="14" t="s">
        <v>40</v>
      </c>
    </row>
    <row r="3135" spans="1:5" x14ac:dyDescent="0.25">
      <c r="A3135" s="36">
        <v>3133</v>
      </c>
      <c r="B3135" s="37">
        <v>655725132</v>
      </c>
      <c r="C3135" s="38">
        <v>0.30534580922934496</v>
      </c>
      <c r="D3135" s="14" t="s">
        <v>3176</v>
      </c>
      <c r="E3135" s="14" t="s">
        <v>43</v>
      </c>
    </row>
    <row r="3136" spans="1:5" x14ac:dyDescent="0.25">
      <c r="A3136" s="36">
        <v>3134</v>
      </c>
      <c r="B3136" s="37">
        <v>440756891</v>
      </c>
      <c r="C3136" s="38">
        <v>0.20524342134839083</v>
      </c>
      <c r="D3136" s="14" t="s">
        <v>3177</v>
      </c>
      <c r="E3136" s="14" t="s">
        <v>46</v>
      </c>
    </row>
    <row r="3137" spans="1:5" x14ac:dyDescent="0.25">
      <c r="A3137" s="36">
        <v>3135</v>
      </c>
      <c r="B3137" s="37">
        <v>597120447</v>
      </c>
      <c r="C3137" s="38">
        <v>0.27805587615727256</v>
      </c>
      <c r="D3137" s="14" t="s">
        <v>3178</v>
      </c>
      <c r="E3137" s="14" t="s">
        <v>48</v>
      </c>
    </row>
    <row r="3138" spans="1:5" x14ac:dyDescent="0.25">
      <c r="A3138" s="36">
        <v>3136</v>
      </c>
      <c r="B3138" s="37">
        <v>922122241</v>
      </c>
      <c r="C3138" s="38">
        <v>0.42939662999911077</v>
      </c>
      <c r="D3138" s="14" t="s">
        <v>3179</v>
      </c>
      <c r="E3138" s="14" t="s">
        <v>37</v>
      </c>
    </row>
    <row r="3139" spans="1:5" x14ac:dyDescent="0.25">
      <c r="A3139" s="36">
        <v>3137</v>
      </c>
      <c r="B3139" s="37">
        <v>1927764321</v>
      </c>
      <c r="C3139" s="38">
        <v>0.89768521576080718</v>
      </c>
      <c r="D3139" s="14" t="s">
        <v>3180</v>
      </c>
      <c r="E3139" s="14" t="s">
        <v>40</v>
      </c>
    </row>
    <row r="3140" spans="1:5" x14ac:dyDescent="0.25">
      <c r="A3140" s="36">
        <v>3138</v>
      </c>
      <c r="B3140" s="37">
        <v>2052780055</v>
      </c>
      <c r="C3140" s="38">
        <v>0.95590020341607751</v>
      </c>
      <c r="D3140" s="14" t="s">
        <v>3181</v>
      </c>
      <c r="E3140" s="14" t="s">
        <v>43</v>
      </c>
    </row>
    <row r="3141" spans="1:5" x14ac:dyDescent="0.25">
      <c r="A3141" s="36">
        <v>3139</v>
      </c>
      <c r="B3141" s="37">
        <v>554538458</v>
      </c>
      <c r="C3141" s="38">
        <v>0.25822709233417507</v>
      </c>
      <c r="D3141" s="14" t="s">
        <v>3182</v>
      </c>
      <c r="E3141" s="14" t="s">
        <v>46</v>
      </c>
    </row>
    <row r="3142" spans="1:5" x14ac:dyDescent="0.25">
      <c r="A3142" s="36">
        <v>3140</v>
      </c>
      <c r="B3142" s="37">
        <v>1982134898</v>
      </c>
      <c r="C3142" s="38">
        <v>0.92300348865008142</v>
      </c>
      <c r="D3142" s="14" t="s">
        <v>3183</v>
      </c>
      <c r="E3142" s="14" t="s">
        <v>48</v>
      </c>
    </row>
    <row r="3143" spans="1:5" x14ac:dyDescent="0.25">
      <c r="A3143" s="36">
        <v>3141</v>
      </c>
      <c r="B3143" s="37">
        <v>1834125459</v>
      </c>
      <c r="C3143" s="38">
        <v>0.85408122271955067</v>
      </c>
      <c r="D3143" s="14" t="s">
        <v>3184</v>
      </c>
      <c r="E3143" s="14" t="s">
        <v>37</v>
      </c>
    </row>
    <row r="3144" spans="1:5" x14ac:dyDescent="0.25">
      <c r="A3144" s="36">
        <v>3142</v>
      </c>
      <c r="B3144" s="37">
        <v>41625118</v>
      </c>
      <c r="C3144" s="38">
        <v>1.9383206041242558E-2</v>
      </c>
      <c r="D3144" s="14" t="s">
        <v>3185</v>
      </c>
      <c r="E3144" s="14" t="s">
        <v>40</v>
      </c>
    </row>
    <row r="3145" spans="1:5" x14ac:dyDescent="0.25">
      <c r="A3145" s="36">
        <v>3143</v>
      </c>
      <c r="B3145" s="37">
        <v>651056365</v>
      </c>
      <c r="C3145" s="38">
        <v>0.30317174517697271</v>
      </c>
      <c r="D3145" s="14" t="s">
        <v>3186</v>
      </c>
      <c r="E3145" s="14" t="s">
        <v>43</v>
      </c>
    </row>
    <row r="3146" spans="1:5" x14ac:dyDescent="0.25">
      <c r="A3146" s="36">
        <v>3144</v>
      </c>
      <c r="B3146" s="37">
        <v>904684709</v>
      </c>
      <c r="C3146" s="38">
        <v>0.42127664639673973</v>
      </c>
      <c r="D3146" s="14" t="s">
        <v>3187</v>
      </c>
      <c r="E3146" s="14" t="s">
        <v>46</v>
      </c>
    </row>
    <row r="3147" spans="1:5" x14ac:dyDescent="0.25">
      <c r="A3147" s="36">
        <v>3145</v>
      </c>
      <c r="B3147" s="37">
        <v>2108784873</v>
      </c>
      <c r="C3147" s="38">
        <v>0.98197947907353722</v>
      </c>
      <c r="D3147" s="14" t="s">
        <v>3188</v>
      </c>
      <c r="E3147" s="14" t="s">
        <v>48</v>
      </c>
    </row>
    <row r="3148" spans="1:5" x14ac:dyDescent="0.25">
      <c r="A3148" s="36">
        <v>3146</v>
      </c>
      <c r="B3148" s="37">
        <v>1856587285</v>
      </c>
      <c r="C3148" s="38">
        <v>0.86454082553486378</v>
      </c>
      <c r="D3148" s="14" t="s">
        <v>3189</v>
      </c>
      <c r="E3148" s="14" t="s">
        <v>37</v>
      </c>
    </row>
    <row r="3149" spans="1:5" x14ac:dyDescent="0.25">
      <c r="A3149" s="36">
        <v>3147</v>
      </c>
      <c r="B3149" s="37">
        <v>622253498</v>
      </c>
      <c r="C3149" s="38">
        <v>0.28975936504535349</v>
      </c>
      <c r="D3149" s="14" t="s">
        <v>3190</v>
      </c>
      <c r="E3149" s="14" t="s">
        <v>40</v>
      </c>
    </row>
    <row r="3150" spans="1:5" x14ac:dyDescent="0.25">
      <c r="A3150" s="36">
        <v>3148</v>
      </c>
      <c r="B3150" s="37">
        <v>384910809</v>
      </c>
      <c r="C3150" s="38">
        <v>0.17923806290106759</v>
      </c>
      <c r="D3150" s="14" t="s">
        <v>3191</v>
      </c>
      <c r="E3150" s="14" t="s">
        <v>43</v>
      </c>
    </row>
    <row r="3151" spans="1:5" x14ac:dyDescent="0.25">
      <c r="A3151" s="36">
        <v>3149</v>
      </c>
      <c r="B3151" s="37">
        <v>1522107086</v>
      </c>
      <c r="C3151" s="38">
        <v>0.7087863454170461</v>
      </c>
      <c r="D3151" s="14" t="s">
        <v>3192</v>
      </c>
      <c r="E3151" s="14" t="s">
        <v>46</v>
      </c>
    </row>
    <row r="3152" spans="1:5" x14ac:dyDescent="0.25">
      <c r="A3152" s="36">
        <v>3150</v>
      </c>
      <c r="B3152" s="37">
        <v>136883302</v>
      </c>
      <c r="C3152" s="38">
        <v>6.374125464993588E-2</v>
      </c>
      <c r="D3152" s="14" t="s">
        <v>3193</v>
      </c>
      <c r="E3152" s="14" t="s">
        <v>48</v>
      </c>
    </row>
    <row r="3153" spans="1:5" x14ac:dyDescent="0.25">
      <c r="A3153" s="36">
        <v>3151</v>
      </c>
      <c r="B3153" s="37">
        <v>824702720</v>
      </c>
      <c r="C3153" s="38">
        <v>0.38403213042022294</v>
      </c>
      <c r="D3153" s="14" t="s">
        <v>3194</v>
      </c>
      <c r="E3153" s="14" t="s">
        <v>37</v>
      </c>
    </row>
    <row r="3154" spans="1:5" x14ac:dyDescent="0.25">
      <c r="A3154" s="36">
        <v>3152</v>
      </c>
      <c r="B3154" s="37">
        <v>1189756766</v>
      </c>
      <c r="C3154" s="38">
        <v>0.55402366749664012</v>
      </c>
      <c r="D3154" s="14" t="s">
        <v>3195</v>
      </c>
      <c r="E3154" s="14" t="s">
        <v>40</v>
      </c>
    </row>
    <row r="3155" spans="1:5" x14ac:dyDescent="0.25">
      <c r="A3155" s="36">
        <v>3153</v>
      </c>
      <c r="B3155" s="37">
        <v>1540338031</v>
      </c>
      <c r="C3155" s="38">
        <v>0.71727579073853598</v>
      </c>
      <c r="D3155" s="14" t="s">
        <v>3196</v>
      </c>
      <c r="E3155" s="14" t="s">
        <v>43</v>
      </c>
    </row>
    <row r="3156" spans="1:5" x14ac:dyDescent="0.25">
      <c r="A3156" s="36">
        <v>3154</v>
      </c>
      <c r="B3156" s="37">
        <v>2056677317</v>
      </c>
      <c r="C3156" s="38">
        <v>0.95771500745681815</v>
      </c>
      <c r="D3156" s="14" t="s">
        <v>3197</v>
      </c>
      <c r="E3156" s="14" t="s">
        <v>46</v>
      </c>
    </row>
    <row r="3157" spans="1:5" x14ac:dyDescent="0.25">
      <c r="A3157" s="36">
        <v>3155</v>
      </c>
      <c r="B3157" s="37">
        <v>96471421</v>
      </c>
      <c r="C3157" s="38">
        <v>4.4923006112185776E-2</v>
      </c>
      <c r="D3157" s="14" t="s">
        <v>3198</v>
      </c>
      <c r="E3157" s="14" t="s">
        <v>48</v>
      </c>
    </row>
    <row r="3158" spans="1:5" x14ac:dyDescent="0.25">
      <c r="A3158" s="36">
        <v>3156</v>
      </c>
      <c r="B3158" s="37">
        <v>2016239823</v>
      </c>
      <c r="C3158" s="38">
        <v>0.93888483193651062</v>
      </c>
      <c r="D3158" s="14" t="s">
        <v>3199</v>
      </c>
      <c r="E3158" s="14" t="s">
        <v>37</v>
      </c>
    </row>
    <row r="3159" spans="1:5" x14ac:dyDescent="0.25">
      <c r="A3159" s="36">
        <v>3157</v>
      </c>
      <c r="B3159" s="37">
        <v>1604202639</v>
      </c>
      <c r="C3159" s="38">
        <v>0.74701506632706849</v>
      </c>
      <c r="D3159" s="14" t="s">
        <v>3200</v>
      </c>
      <c r="E3159" s="14" t="s">
        <v>40</v>
      </c>
    </row>
    <row r="3160" spans="1:5" x14ac:dyDescent="0.25">
      <c r="A3160" s="36">
        <v>3158</v>
      </c>
      <c r="B3160" s="37">
        <v>1557814723</v>
      </c>
      <c r="C3160" s="38">
        <v>0.72541400963692648</v>
      </c>
      <c r="D3160" s="14" t="s">
        <v>3201</v>
      </c>
      <c r="E3160" s="14" t="s">
        <v>43</v>
      </c>
    </row>
    <row r="3161" spans="1:5" x14ac:dyDescent="0.25">
      <c r="A3161" s="36">
        <v>3159</v>
      </c>
      <c r="B3161" s="37">
        <v>486462708</v>
      </c>
      <c r="C3161" s="38">
        <v>0.22652685093997366</v>
      </c>
      <c r="D3161" s="14" t="s">
        <v>3202</v>
      </c>
      <c r="E3161" s="14" t="s">
        <v>46</v>
      </c>
    </row>
    <row r="3162" spans="1:5" x14ac:dyDescent="0.25">
      <c r="A3162" s="36">
        <v>3160</v>
      </c>
      <c r="B3162" s="37">
        <v>169000103</v>
      </c>
      <c r="C3162" s="38">
        <v>7.8696805554766588E-2</v>
      </c>
      <c r="D3162" s="14" t="s">
        <v>3203</v>
      </c>
      <c r="E3162" s="14" t="s">
        <v>48</v>
      </c>
    </row>
    <row r="3163" spans="1:5" x14ac:dyDescent="0.25">
      <c r="A3163" s="36">
        <v>3161</v>
      </c>
      <c r="B3163" s="37">
        <v>584978827</v>
      </c>
      <c r="C3163" s="38">
        <v>0.27240199375543839</v>
      </c>
      <c r="D3163" s="14" t="s">
        <v>3204</v>
      </c>
      <c r="E3163" s="14" t="s">
        <v>37</v>
      </c>
    </row>
    <row r="3164" spans="1:5" x14ac:dyDescent="0.25">
      <c r="A3164" s="36">
        <v>3162</v>
      </c>
      <c r="B3164" s="37">
        <v>860693658</v>
      </c>
      <c r="C3164" s="38">
        <v>0.40079171694852028</v>
      </c>
      <c r="D3164" s="14" t="s">
        <v>3205</v>
      </c>
      <c r="E3164" s="14" t="s">
        <v>40</v>
      </c>
    </row>
    <row r="3165" spans="1:5" x14ac:dyDescent="0.25">
      <c r="A3165" s="36">
        <v>3163</v>
      </c>
      <c r="B3165" s="37">
        <v>654530857</v>
      </c>
      <c r="C3165" s="38">
        <v>0.30478968159518655</v>
      </c>
      <c r="D3165" s="14" t="s">
        <v>3206</v>
      </c>
      <c r="E3165" s="14" t="s">
        <v>43</v>
      </c>
    </row>
    <row r="3166" spans="1:5" x14ac:dyDescent="0.25">
      <c r="A3166" s="36">
        <v>3164</v>
      </c>
      <c r="B3166" s="37">
        <v>1110019638</v>
      </c>
      <c r="C3166" s="38">
        <v>0.51689317380864785</v>
      </c>
      <c r="D3166" s="14" t="s">
        <v>3207</v>
      </c>
      <c r="E3166" s="14" t="s">
        <v>46</v>
      </c>
    </row>
    <row r="3167" spans="1:5" x14ac:dyDescent="0.25">
      <c r="A3167" s="36">
        <v>3165</v>
      </c>
      <c r="B3167" s="37">
        <v>176673019</v>
      </c>
      <c r="C3167" s="38">
        <v>8.2269785498394532E-2</v>
      </c>
      <c r="D3167" s="14" t="s">
        <v>3208</v>
      </c>
      <c r="E3167" s="14" t="s">
        <v>48</v>
      </c>
    </row>
    <row r="3168" spans="1:5" x14ac:dyDescent="0.25">
      <c r="A3168" s="36">
        <v>3166</v>
      </c>
      <c r="B3168" s="37">
        <v>1260235018</v>
      </c>
      <c r="C3168" s="38">
        <v>0.58684266106544192</v>
      </c>
      <c r="D3168" s="14" t="s">
        <v>3209</v>
      </c>
      <c r="E3168" s="14" t="s">
        <v>37</v>
      </c>
    </row>
    <row r="3169" spans="1:5" x14ac:dyDescent="0.25">
      <c r="A3169" s="36">
        <v>3167</v>
      </c>
      <c r="B3169" s="37">
        <v>1616080015</v>
      </c>
      <c r="C3169" s="38">
        <v>0.75254590052764203</v>
      </c>
      <c r="D3169" s="14" t="s">
        <v>3210</v>
      </c>
      <c r="E3169" s="14" t="s">
        <v>40</v>
      </c>
    </row>
    <row r="3170" spans="1:5" x14ac:dyDescent="0.25">
      <c r="A3170" s="36">
        <v>3168</v>
      </c>
      <c r="B3170" s="37">
        <v>2012646841</v>
      </c>
      <c r="C3170" s="38">
        <v>0.93721171931233804</v>
      </c>
      <c r="D3170" s="14" t="s">
        <v>3211</v>
      </c>
      <c r="E3170" s="14" t="s">
        <v>43</v>
      </c>
    </row>
    <row r="3171" spans="1:5" x14ac:dyDescent="0.25">
      <c r="A3171" s="36">
        <v>3169</v>
      </c>
      <c r="B3171" s="37">
        <v>1737795984</v>
      </c>
      <c r="C3171" s="38">
        <v>0.80922431536448391</v>
      </c>
      <c r="D3171" s="14" t="s">
        <v>3212</v>
      </c>
      <c r="E3171" s="14" t="s">
        <v>46</v>
      </c>
    </row>
    <row r="3172" spans="1:5" x14ac:dyDescent="0.25">
      <c r="A3172" s="36">
        <v>3170</v>
      </c>
      <c r="B3172" s="37">
        <v>1236237645</v>
      </c>
      <c r="C3172" s="38">
        <v>0.57566801345705432</v>
      </c>
      <c r="D3172" s="14" t="s">
        <v>3213</v>
      </c>
      <c r="E3172" s="14" t="s">
        <v>48</v>
      </c>
    </row>
    <row r="3173" spans="1:5" x14ac:dyDescent="0.25">
      <c r="A3173" s="36">
        <v>3171</v>
      </c>
      <c r="B3173" s="37">
        <v>584621390</v>
      </c>
      <c r="C3173" s="38">
        <v>0.27223554918180942</v>
      </c>
      <c r="D3173" s="14" t="s">
        <v>3214</v>
      </c>
      <c r="E3173" s="14" t="s">
        <v>37</v>
      </c>
    </row>
    <row r="3174" spans="1:5" x14ac:dyDescent="0.25">
      <c r="A3174" s="36">
        <v>3172</v>
      </c>
      <c r="B3174" s="37">
        <v>750841452</v>
      </c>
      <c r="C3174" s="38">
        <v>0.34963779726514488</v>
      </c>
      <c r="D3174" s="14" t="s">
        <v>3215</v>
      </c>
      <c r="E3174" s="14" t="s">
        <v>40</v>
      </c>
    </row>
    <row r="3175" spans="1:5" x14ac:dyDescent="0.25">
      <c r="A3175" s="36">
        <v>3173</v>
      </c>
      <c r="B3175" s="37">
        <v>701429816</v>
      </c>
      <c r="C3175" s="38">
        <v>0.32662871122668902</v>
      </c>
      <c r="D3175" s="14" t="s">
        <v>3216</v>
      </c>
      <c r="E3175" s="14" t="s">
        <v>43</v>
      </c>
    </row>
    <row r="3176" spans="1:5" x14ac:dyDescent="0.25">
      <c r="A3176" s="36">
        <v>3174</v>
      </c>
      <c r="B3176" s="37">
        <v>274213369</v>
      </c>
      <c r="C3176" s="38">
        <v>0.12769055046499267</v>
      </c>
      <c r="D3176" s="14" t="s">
        <v>3217</v>
      </c>
      <c r="E3176" s="14" t="s">
        <v>46</v>
      </c>
    </row>
    <row r="3177" spans="1:5" x14ac:dyDescent="0.25">
      <c r="A3177" s="36">
        <v>3175</v>
      </c>
      <c r="B3177" s="37">
        <v>1257670980</v>
      </c>
      <c r="C3177" s="38">
        <v>0.58564868782909996</v>
      </c>
      <c r="D3177" s="14" t="s">
        <v>3218</v>
      </c>
      <c r="E3177" s="14" t="s">
        <v>48</v>
      </c>
    </row>
    <row r="3178" spans="1:5" x14ac:dyDescent="0.25">
      <c r="A3178" s="36">
        <v>3176</v>
      </c>
      <c r="B3178" s="37">
        <v>760734654</v>
      </c>
      <c r="C3178" s="38">
        <v>0.35424467844620566</v>
      </c>
      <c r="D3178" s="14" t="s">
        <v>3219</v>
      </c>
      <c r="E3178" s="14" t="s">
        <v>37</v>
      </c>
    </row>
    <row r="3179" spans="1:5" x14ac:dyDescent="0.25">
      <c r="A3179" s="36">
        <v>3177</v>
      </c>
      <c r="B3179" s="37">
        <v>1278883670</v>
      </c>
      <c r="C3179" s="38">
        <v>0.59552661636635973</v>
      </c>
      <c r="D3179" s="14" t="s">
        <v>3220</v>
      </c>
      <c r="E3179" s="14" t="s">
        <v>40</v>
      </c>
    </row>
    <row r="3180" spans="1:5" x14ac:dyDescent="0.25">
      <c r="A3180" s="36">
        <v>3178</v>
      </c>
      <c r="B3180" s="37">
        <v>887432930</v>
      </c>
      <c r="C3180" s="38">
        <v>0.41324316077551021</v>
      </c>
      <c r="D3180" s="14" t="s">
        <v>3221</v>
      </c>
      <c r="E3180" s="14" t="s">
        <v>43</v>
      </c>
    </row>
    <row r="3181" spans="1:5" x14ac:dyDescent="0.25">
      <c r="A3181" s="36">
        <v>3179</v>
      </c>
      <c r="B3181" s="37">
        <v>95188935</v>
      </c>
      <c r="C3181" s="38">
        <v>4.4325802030193526E-2</v>
      </c>
      <c r="D3181" s="14" t="s">
        <v>3222</v>
      </c>
      <c r="E3181" s="14" t="s">
        <v>46</v>
      </c>
    </row>
    <row r="3182" spans="1:5" x14ac:dyDescent="0.25">
      <c r="A3182" s="36">
        <v>3180</v>
      </c>
      <c r="B3182" s="37">
        <v>1884975791</v>
      </c>
      <c r="C3182" s="38">
        <v>0.877760253789723</v>
      </c>
      <c r="D3182" s="14" t="s">
        <v>3223</v>
      </c>
      <c r="E3182" s="14" t="s">
        <v>48</v>
      </c>
    </row>
    <row r="3183" spans="1:5" x14ac:dyDescent="0.25">
      <c r="A3183" s="36">
        <v>3181</v>
      </c>
      <c r="B3183" s="37">
        <v>770034560</v>
      </c>
      <c r="C3183" s="38">
        <v>0.35857528464802324</v>
      </c>
      <c r="D3183" s="14" t="s">
        <v>3224</v>
      </c>
      <c r="E3183" s="14" t="s">
        <v>37</v>
      </c>
    </row>
    <row r="3184" spans="1:5" x14ac:dyDescent="0.25">
      <c r="A3184" s="36">
        <v>3182</v>
      </c>
      <c r="B3184" s="37">
        <v>2142790744</v>
      </c>
      <c r="C3184" s="38">
        <v>0.99781469674679202</v>
      </c>
      <c r="D3184" s="14" t="s">
        <v>3225</v>
      </c>
      <c r="E3184" s="14" t="s">
        <v>40</v>
      </c>
    </row>
    <row r="3185" spans="1:5" x14ac:dyDescent="0.25">
      <c r="A3185" s="36">
        <v>3183</v>
      </c>
      <c r="B3185" s="37">
        <v>2105045934</v>
      </c>
      <c r="C3185" s="38">
        <v>0.98023839992482142</v>
      </c>
      <c r="D3185" s="14" t="s">
        <v>3226</v>
      </c>
      <c r="E3185" s="14" t="s">
        <v>43</v>
      </c>
    </row>
    <row r="3186" spans="1:5" x14ac:dyDescent="0.25">
      <c r="A3186" s="36">
        <v>3184</v>
      </c>
      <c r="B3186" s="37">
        <v>1706757316</v>
      </c>
      <c r="C3186" s="38">
        <v>0.79477080926055588</v>
      </c>
      <c r="D3186" s="14" t="s">
        <v>3227</v>
      </c>
      <c r="E3186" s="14" t="s">
        <v>46</v>
      </c>
    </row>
    <row r="3187" spans="1:5" x14ac:dyDescent="0.25">
      <c r="A3187" s="36">
        <v>3185</v>
      </c>
      <c r="B3187" s="37">
        <v>758964471</v>
      </c>
      <c r="C3187" s="38">
        <v>0.35342037275127153</v>
      </c>
      <c r="D3187" s="14" t="s">
        <v>3228</v>
      </c>
      <c r="E3187" s="14" t="s">
        <v>48</v>
      </c>
    </row>
    <row r="3188" spans="1:5" x14ac:dyDescent="0.25">
      <c r="A3188" s="36">
        <v>3186</v>
      </c>
      <c r="B3188" s="37">
        <v>1112589279</v>
      </c>
      <c r="C3188" s="38">
        <v>0.51808975614518382</v>
      </c>
      <c r="D3188" s="14" t="s">
        <v>3229</v>
      </c>
      <c r="E3188" s="14" t="s">
        <v>37</v>
      </c>
    </row>
    <row r="3189" spans="1:5" x14ac:dyDescent="0.25">
      <c r="A3189" s="36">
        <v>3187</v>
      </c>
      <c r="B3189" s="37">
        <v>1768417367</v>
      </c>
      <c r="C3189" s="38">
        <v>0.82348350799804715</v>
      </c>
      <c r="D3189" s="14" t="s">
        <v>3230</v>
      </c>
      <c r="E3189" s="14" t="s">
        <v>40</v>
      </c>
    </row>
    <row r="3190" spans="1:5" x14ac:dyDescent="0.25">
      <c r="A3190" s="36">
        <v>3188</v>
      </c>
      <c r="B3190" s="37">
        <v>769414175</v>
      </c>
      <c r="C3190" s="38">
        <v>0.35828639537016227</v>
      </c>
      <c r="D3190" s="14" t="s">
        <v>3231</v>
      </c>
      <c r="E3190" s="14" t="s">
        <v>43</v>
      </c>
    </row>
    <row r="3191" spans="1:5" x14ac:dyDescent="0.25">
      <c r="A3191" s="36">
        <v>3189</v>
      </c>
      <c r="B3191" s="37">
        <v>288599179</v>
      </c>
      <c r="C3191" s="38">
        <v>0.13438946527167664</v>
      </c>
      <c r="D3191" s="14" t="s">
        <v>3232</v>
      </c>
      <c r="E3191" s="14" t="s">
        <v>46</v>
      </c>
    </row>
    <row r="3192" spans="1:5" x14ac:dyDescent="0.25">
      <c r="A3192" s="36">
        <v>3190</v>
      </c>
      <c r="B3192" s="37">
        <v>207913533</v>
      </c>
      <c r="C3192" s="38">
        <v>9.6817283470564189E-2</v>
      </c>
      <c r="D3192" s="14" t="s">
        <v>3233</v>
      </c>
      <c r="E3192" s="14" t="s">
        <v>48</v>
      </c>
    </row>
    <row r="3193" spans="1:5" x14ac:dyDescent="0.25">
      <c r="A3193" s="36">
        <v>3191</v>
      </c>
      <c r="B3193" s="37">
        <v>560288763</v>
      </c>
      <c r="C3193" s="38">
        <v>0.26090478676413409</v>
      </c>
      <c r="D3193" s="14" t="s">
        <v>3234</v>
      </c>
      <c r="E3193" s="14" t="s">
        <v>37</v>
      </c>
    </row>
    <row r="3194" spans="1:5" x14ac:dyDescent="0.25">
      <c r="A3194" s="36">
        <v>3192</v>
      </c>
      <c r="B3194" s="37">
        <v>26466697</v>
      </c>
      <c r="C3194" s="38">
        <v>1.2324516201542931E-2</v>
      </c>
      <c r="D3194" s="14" t="s">
        <v>3235</v>
      </c>
      <c r="E3194" s="14" t="s">
        <v>40</v>
      </c>
    </row>
    <row r="3195" spans="1:5" x14ac:dyDescent="0.25">
      <c r="A3195" s="36">
        <v>3193</v>
      </c>
      <c r="B3195" s="37">
        <v>2013193590</v>
      </c>
      <c r="C3195" s="38">
        <v>0.93746631915563083</v>
      </c>
      <c r="D3195" s="14" t="s">
        <v>3236</v>
      </c>
      <c r="E3195" s="14" t="s">
        <v>43</v>
      </c>
    </row>
    <row r="3196" spans="1:5" x14ac:dyDescent="0.25">
      <c r="A3196" s="36">
        <v>3194</v>
      </c>
      <c r="B3196" s="37">
        <v>1282108881</v>
      </c>
      <c r="C3196" s="38">
        <v>0.59702847227315814</v>
      </c>
      <c r="D3196" s="14" t="s">
        <v>3237</v>
      </c>
      <c r="E3196" s="14" t="s">
        <v>46</v>
      </c>
    </row>
    <row r="3197" spans="1:5" x14ac:dyDescent="0.25">
      <c r="A3197" s="36">
        <v>3195</v>
      </c>
      <c r="B3197" s="37">
        <v>622655205</v>
      </c>
      <c r="C3197" s="38">
        <v>0.28994642444418112</v>
      </c>
      <c r="D3197" s="14" t="s">
        <v>3238</v>
      </c>
      <c r="E3197" s="14" t="s">
        <v>48</v>
      </c>
    </row>
    <row r="3198" spans="1:5" x14ac:dyDescent="0.25">
      <c r="A3198" s="36">
        <v>3196</v>
      </c>
      <c r="B3198" s="37">
        <v>1168840767</v>
      </c>
      <c r="C3198" s="38">
        <v>0.54428389647243725</v>
      </c>
      <c r="D3198" s="14" t="s">
        <v>3239</v>
      </c>
      <c r="E3198" s="14" t="s">
        <v>37</v>
      </c>
    </row>
    <row r="3199" spans="1:5" x14ac:dyDescent="0.25">
      <c r="A3199" s="36">
        <v>3197</v>
      </c>
      <c r="B3199" s="37">
        <v>1341987720</v>
      </c>
      <c r="C3199" s="38">
        <v>0.62491172953737517</v>
      </c>
      <c r="D3199" s="14" t="s">
        <v>3240</v>
      </c>
      <c r="E3199" s="14" t="s">
        <v>40</v>
      </c>
    </row>
    <row r="3200" spans="1:5" x14ac:dyDescent="0.25">
      <c r="A3200" s="36">
        <v>3198</v>
      </c>
      <c r="B3200" s="37">
        <v>1436117116</v>
      </c>
      <c r="C3200" s="38">
        <v>0.66874414527264614</v>
      </c>
      <c r="D3200" s="14" t="s">
        <v>3241</v>
      </c>
      <c r="E3200" s="14" t="s">
        <v>43</v>
      </c>
    </row>
    <row r="3201" spans="1:5" x14ac:dyDescent="0.25">
      <c r="A3201" s="36">
        <v>3199</v>
      </c>
      <c r="B3201" s="37">
        <v>1762108896</v>
      </c>
      <c r="C3201" s="38">
        <v>0.8205458972698757</v>
      </c>
      <c r="D3201" s="14" t="s">
        <v>3242</v>
      </c>
      <c r="E3201" s="14" t="s">
        <v>46</v>
      </c>
    </row>
    <row r="3202" spans="1:5" x14ac:dyDescent="0.25">
      <c r="A3202" s="36">
        <v>3200</v>
      </c>
      <c r="B3202" s="37">
        <v>1356756730</v>
      </c>
      <c r="C3202" s="38">
        <v>0.63178908574943848</v>
      </c>
      <c r="D3202" s="14" t="s">
        <v>3243</v>
      </c>
      <c r="E3202" s="14" t="s">
        <v>48</v>
      </c>
    </row>
    <row r="3203" spans="1:5" x14ac:dyDescent="0.25">
      <c r="A3203" s="36">
        <v>3201</v>
      </c>
      <c r="B3203" s="37">
        <v>429696510</v>
      </c>
      <c r="C3203" s="38">
        <v>0.20009303009141843</v>
      </c>
      <c r="D3203" s="14" t="s">
        <v>3244</v>
      </c>
      <c r="E3203" s="14" t="s">
        <v>37</v>
      </c>
    </row>
    <row r="3204" spans="1:5" x14ac:dyDescent="0.25">
      <c r="A3204" s="36">
        <v>3202</v>
      </c>
      <c r="B3204" s="37">
        <v>693742153</v>
      </c>
      <c r="C3204" s="38">
        <v>0.32304886417605394</v>
      </c>
      <c r="D3204" s="14" t="s">
        <v>3245</v>
      </c>
      <c r="E3204" s="14" t="s">
        <v>40</v>
      </c>
    </row>
    <row r="3205" spans="1:5" x14ac:dyDescent="0.25">
      <c r="A3205" s="36">
        <v>3203</v>
      </c>
      <c r="B3205" s="37">
        <v>822010767</v>
      </c>
      <c r="C3205" s="38">
        <v>0.38277859212028731</v>
      </c>
      <c r="D3205" s="14" t="s">
        <v>3246</v>
      </c>
      <c r="E3205" s="14" t="s">
        <v>43</v>
      </c>
    </row>
    <row r="3206" spans="1:5" x14ac:dyDescent="0.25">
      <c r="A3206" s="36">
        <v>3204</v>
      </c>
      <c r="B3206" s="37">
        <v>17577083</v>
      </c>
      <c r="C3206" s="38">
        <v>8.1849671007064011E-3</v>
      </c>
      <c r="D3206" s="14" t="s">
        <v>3247</v>
      </c>
      <c r="E3206" s="14" t="s">
        <v>46</v>
      </c>
    </row>
    <row r="3207" spans="1:5" x14ac:dyDescent="0.25">
      <c r="A3207" s="36">
        <v>3205</v>
      </c>
      <c r="B3207" s="37">
        <v>1190778070</v>
      </c>
      <c r="C3207" s="38">
        <v>0.55449924923223404</v>
      </c>
      <c r="D3207" s="14" t="s">
        <v>3248</v>
      </c>
      <c r="E3207" s="14" t="s">
        <v>48</v>
      </c>
    </row>
    <row r="3208" spans="1:5" x14ac:dyDescent="0.25">
      <c r="A3208" s="36">
        <v>3206</v>
      </c>
      <c r="B3208" s="37">
        <v>719330207</v>
      </c>
      <c r="C3208" s="38">
        <v>0.33496423034694245</v>
      </c>
      <c r="D3208" s="14" t="s">
        <v>3249</v>
      </c>
      <c r="E3208" s="14" t="s">
        <v>37</v>
      </c>
    </row>
    <row r="3209" spans="1:5" x14ac:dyDescent="0.25">
      <c r="A3209" s="36">
        <v>3207</v>
      </c>
      <c r="B3209" s="37">
        <v>1734424166</v>
      </c>
      <c r="C3209" s="38">
        <v>0.80765419025330532</v>
      </c>
      <c r="D3209" s="14" t="s">
        <v>3250</v>
      </c>
      <c r="E3209" s="14" t="s">
        <v>40</v>
      </c>
    </row>
    <row r="3210" spans="1:5" x14ac:dyDescent="0.25">
      <c r="A3210" s="36">
        <v>3208</v>
      </c>
      <c r="B3210" s="37">
        <v>135650806</v>
      </c>
      <c r="C3210" s="38">
        <v>6.3167328975706982E-2</v>
      </c>
      <c r="D3210" s="14" t="s">
        <v>3251</v>
      </c>
      <c r="E3210" s="14" t="s">
        <v>43</v>
      </c>
    </row>
    <row r="3211" spans="1:5" x14ac:dyDescent="0.25">
      <c r="A3211" s="36">
        <v>3209</v>
      </c>
      <c r="B3211" s="37">
        <v>151181205</v>
      </c>
      <c r="C3211" s="38">
        <v>7.039923456981742E-2</v>
      </c>
      <c r="D3211" s="14" t="s">
        <v>3252</v>
      </c>
      <c r="E3211" s="14" t="s">
        <v>46</v>
      </c>
    </row>
    <row r="3212" spans="1:5" x14ac:dyDescent="0.25">
      <c r="A3212" s="36">
        <v>3210</v>
      </c>
      <c r="B3212" s="37">
        <v>1627917741</v>
      </c>
      <c r="C3212" s="38">
        <v>0.75805827125816527</v>
      </c>
      <c r="D3212" s="14" t="s">
        <v>3253</v>
      </c>
      <c r="E3212" s="14" t="s">
        <v>48</v>
      </c>
    </row>
    <row r="3213" spans="1:5" x14ac:dyDescent="0.25">
      <c r="A3213" s="36">
        <v>3211</v>
      </c>
      <c r="B3213" s="37">
        <v>893572119</v>
      </c>
      <c r="C3213" s="38">
        <v>0.41610194342960694</v>
      </c>
      <c r="D3213" s="14" t="s">
        <v>3254</v>
      </c>
      <c r="E3213" s="14" t="s">
        <v>37</v>
      </c>
    </row>
    <row r="3214" spans="1:5" x14ac:dyDescent="0.25">
      <c r="A3214" s="36">
        <v>3212</v>
      </c>
      <c r="B3214" s="37">
        <v>1201566734</v>
      </c>
      <c r="C3214" s="38">
        <v>0.55952311240114416</v>
      </c>
      <c r="D3214" s="14" t="s">
        <v>3255</v>
      </c>
      <c r="E3214" s="14" t="s">
        <v>40</v>
      </c>
    </row>
    <row r="3215" spans="1:5" x14ac:dyDescent="0.25">
      <c r="A3215" s="36">
        <v>3213</v>
      </c>
      <c r="B3215" s="37">
        <v>1462018593</v>
      </c>
      <c r="C3215" s="38">
        <v>0.68080546040125445</v>
      </c>
      <c r="D3215" s="14" t="s">
        <v>3256</v>
      </c>
      <c r="E3215" s="14" t="s">
        <v>43</v>
      </c>
    </row>
    <row r="3216" spans="1:5" x14ac:dyDescent="0.25">
      <c r="A3216" s="36">
        <v>3214</v>
      </c>
      <c r="B3216" s="37">
        <v>388931502</v>
      </c>
      <c r="C3216" s="38">
        <v>0.18111034398018863</v>
      </c>
      <c r="D3216" s="14" t="s">
        <v>3257</v>
      </c>
      <c r="E3216" s="14" t="s">
        <v>46</v>
      </c>
    </row>
    <row r="3217" spans="1:5" x14ac:dyDescent="0.25">
      <c r="A3217" s="36">
        <v>3215</v>
      </c>
      <c r="B3217" s="37">
        <v>359595212</v>
      </c>
      <c r="C3217" s="38">
        <v>0.1674495694075942</v>
      </c>
      <c r="D3217" s="14" t="s">
        <v>3258</v>
      </c>
      <c r="E3217" s="14" t="s">
        <v>48</v>
      </c>
    </row>
    <row r="3218" spans="1:5" x14ac:dyDescent="0.25">
      <c r="A3218" s="36">
        <v>3216</v>
      </c>
      <c r="B3218" s="37">
        <v>1002132095</v>
      </c>
      <c r="C3218" s="38">
        <v>0.46665412162740438</v>
      </c>
      <c r="D3218" s="14" t="s">
        <v>3259</v>
      </c>
      <c r="E3218" s="14" t="s">
        <v>37</v>
      </c>
    </row>
    <row r="3219" spans="1:5" x14ac:dyDescent="0.25">
      <c r="A3219" s="36">
        <v>3217</v>
      </c>
      <c r="B3219" s="37">
        <v>1984141319</v>
      </c>
      <c r="C3219" s="38">
        <v>0.92393780123625779</v>
      </c>
      <c r="D3219" s="14" t="s">
        <v>3260</v>
      </c>
      <c r="E3219" s="14" t="s">
        <v>40</v>
      </c>
    </row>
    <row r="3220" spans="1:5" x14ac:dyDescent="0.25">
      <c r="A3220" s="36">
        <v>3218</v>
      </c>
      <c r="B3220" s="37">
        <v>87485752</v>
      </c>
      <c r="C3220" s="38">
        <v>4.0738727916376075E-2</v>
      </c>
      <c r="D3220" s="14" t="s">
        <v>3261</v>
      </c>
      <c r="E3220" s="14" t="s">
        <v>43</v>
      </c>
    </row>
    <row r="3221" spans="1:5" x14ac:dyDescent="0.25">
      <c r="A3221" s="36">
        <v>3219</v>
      </c>
      <c r="B3221" s="37">
        <v>221665306</v>
      </c>
      <c r="C3221" s="38">
        <v>0.10322095179148993</v>
      </c>
      <c r="D3221" s="14" t="s">
        <v>3262</v>
      </c>
      <c r="E3221" s="14" t="s">
        <v>46</v>
      </c>
    </row>
    <row r="3222" spans="1:5" x14ac:dyDescent="0.25">
      <c r="A3222" s="36">
        <v>3220</v>
      </c>
      <c r="B3222" s="37">
        <v>702048215</v>
      </c>
      <c r="C3222" s="38">
        <v>0.32691667570123295</v>
      </c>
      <c r="D3222" s="14" t="s">
        <v>3263</v>
      </c>
      <c r="E3222" s="14" t="s">
        <v>48</v>
      </c>
    </row>
    <row r="3223" spans="1:5" x14ac:dyDescent="0.25">
      <c r="A3223" s="36">
        <v>3221</v>
      </c>
      <c r="B3223" s="37">
        <v>970141931</v>
      </c>
      <c r="C3223" s="38">
        <v>0.45175754067104196</v>
      </c>
      <c r="D3223" s="14" t="s">
        <v>3264</v>
      </c>
      <c r="E3223" s="14" t="s">
        <v>37</v>
      </c>
    </row>
    <row r="3224" spans="1:5" x14ac:dyDescent="0.25">
      <c r="A3224" s="36">
        <v>3222</v>
      </c>
      <c r="B3224" s="37">
        <v>413436584</v>
      </c>
      <c r="C3224" s="38">
        <v>0.19252141201520404</v>
      </c>
      <c r="D3224" s="14" t="s">
        <v>3265</v>
      </c>
      <c r="E3224" s="14" t="s">
        <v>40</v>
      </c>
    </row>
    <row r="3225" spans="1:5" x14ac:dyDescent="0.25">
      <c r="A3225" s="36">
        <v>3223</v>
      </c>
      <c r="B3225" s="37">
        <v>376820144</v>
      </c>
      <c r="C3225" s="38">
        <v>0.17547055342023751</v>
      </c>
      <c r="D3225" s="14" t="s">
        <v>3266</v>
      </c>
      <c r="E3225" s="14" t="s">
        <v>43</v>
      </c>
    </row>
    <row r="3226" spans="1:5" x14ac:dyDescent="0.25">
      <c r="A3226" s="36">
        <v>3224</v>
      </c>
      <c r="B3226" s="37">
        <v>1277898298</v>
      </c>
      <c r="C3226" s="38">
        <v>0.59506776677214901</v>
      </c>
      <c r="D3226" s="14" t="s">
        <v>3267</v>
      </c>
      <c r="E3226" s="14" t="s">
        <v>46</v>
      </c>
    </row>
    <row r="3227" spans="1:5" x14ac:dyDescent="0.25">
      <c r="A3227" s="36">
        <v>3225</v>
      </c>
      <c r="B3227" s="37">
        <v>1388610938</v>
      </c>
      <c r="C3227" s="38">
        <v>0.64662235725979433</v>
      </c>
      <c r="D3227" s="14" t="s">
        <v>3268</v>
      </c>
      <c r="E3227" s="14" t="s">
        <v>48</v>
      </c>
    </row>
    <row r="3228" spans="1:5" x14ac:dyDescent="0.25">
      <c r="A3228" s="36">
        <v>3226</v>
      </c>
      <c r="B3228" s="37">
        <v>1184023280</v>
      </c>
      <c r="C3228" s="38">
        <v>0.55135380502387588</v>
      </c>
      <c r="D3228" s="14" t="s">
        <v>3269</v>
      </c>
      <c r="E3228" s="14" t="s">
        <v>37</v>
      </c>
    </row>
    <row r="3229" spans="1:5" x14ac:dyDescent="0.25">
      <c r="A3229" s="36">
        <v>3227</v>
      </c>
      <c r="B3229" s="37">
        <v>1426881149</v>
      </c>
      <c r="C3229" s="38">
        <v>0.66444331298789161</v>
      </c>
      <c r="D3229" s="14" t="s">
        <v>3270</v>
      </c>
      <c r="E3229" s="14" t="s">
        <v>40</v>
      </c>
    </row>
    <row r="3230" spans="1:5" x14ac:dyDescent="0.25">
      <c r="A3230" s="36">
        <v>3228</v>
      </c>
      <c r="B3230" s="37">
        <v>2099567094</v>
      </c>
      <c r="C3230" s="38">
        <v>0.97768711623628024</v>
      </c>
      <c r="D3230" s="14" t="s">
        <v>3271</v>
      </c>
      <c r="E3230" s="14" t="s">
        <v>43</v>
      </c>
    </row>
    <row r="3231" spans="1:5" x14ac:dyDescent="0.25">
      <c r="A3231" s="36">
        <v>3229</v>
      </c>
      <c r="B3231" s="37">
        <v>256171478</v>
      </c>
      <c r="C3231" s="38">
        <v>0.11928914027255454</v>
      </c>
      <c r="D3231" s="14" t="s">
        <v>3272</v>
      </c>
      <c r="E3231" s="14" t="s">
        <v>46</v>
      </c>
    </row>
    <row r="3232" spans="1:5" x14ac:dyDescent="0.25">
      <c r="A3232" s="36">
        <v>3230</v>
      </c>
      <c r="B3232" s="37">
        <v>490373853</v>
      </c>
      <c r="C3232" s="38">
        <v>0.22834811975636898</v>
      </c>
      <c r="D3232" s="14" t="s">
        <v>3273</v>
      </c>
      <c r="E3232" s="14" t="s">
        <v>48</v>
      </c>
    </row>
    <row r="3233" spans="1:5" x14ac:dyDescent="0.25">
      <c r="A3233" s="36">
        <v>3231</v>
      </c>
      <c r="B3233" s="37">
        <v>1344697171</v>
      </c>
      <c r="C3233" s="38">
        <v>0.62617341597851994</v>
      </c>
      <c r="D3233" s="14" t="s">
        <v>3274</v>
      </c>
      <c r="E3233" s="14" t="s">
        <v>37</v>
      </c>
    </row>
    <row r="3234" spans="1:5" x14ac:dyDescent="0.25">
      <c r="A3234" s="36">
        <v>3232</v>
      </c>
      <c r="B3234" s="37">
        <v>1669384191</v>
      </c>
      <c r="C3234" s="38">
        <v>0.77736759175423886</v>
      </c>
      <c r="D3234" s="14" t="s">
        <v>3275</v>
      </c>
      <c r="E3234" s="14" t="s">
        <v>40</v>
      </c>
    </row>
    <row r="3235" spans="1:5" x14ac:dyDescent="0.25">
      <c r="A3235" s="36">
        <v>3233</v>
      </c>
      <c r="B3235" s="37">
        <v>564360142</v>
      </c>
      <c r="C3235" s="38">
        <v>0.26280067035127463</v>
      </c>
      <c r="D3235" s="14" t="s">
        <v>3276</v>
      </c>
      <c r="E3235" s="14" t="s">
        <v>43</v>
      </c>
    </row>
    <row r="3236" spans="1:5" x14ac:dyDescent="0.25">
      <c r="A3236" s="36">
        <v>3234</v>
      </c>
      <c r="B3236" s="37">
        <v>1627690387</v>
      </c>
      <c r="C3236" s="38">
        <v>0.75795240130180142</v>
      </c>
      <c r="D3236" s="14" t="s">
        <v>3277</v>
      </c>
      <c r="E3236" s="14" t="s">
        <v>46</v>
      </c>
    </row>
    <row r="3237" spans="1:5" x14ac:dyDescent="0.25">
      <c r="A3237" s="36">
        <v>3235</v>
      </c>
      <c r="B3237" s="37">
        <v>414277141</v>
      </c>
      <c r="C3237" s="38">
        <v>0.19291282687006184</v>
      </c>
      <c r="D3237" s="14" t="s">
        <v>3278</v>
      </c>
      <c r="E3237" s="14" t="s">
        <v>48</v>
      </c>
    </row>
    <row r="3238" spans="1:5" x14ac:dyDescent="0.25">
      <c r="A3238" s="36">
        <v>3236</v>
      </c>
      <c r="B3238" s="37">
        <v>1493106372</v>
      </c>
      <c r="C3238" s="38">
        <v>0.695281835596674</v>
      </c>
      <c r="D3238" s="14" t="s">
        <v>3279</v>
      </c>
      <c r="E3238" s="14" t="s">
        <v>37</v>
      </c>
    </row>
    <row r="3239" spans="1:5" x14ac:dyDescent="0.25">
      <c r="A3239" s="36">
        <v>3237</v>
      </c>
      <c r="B3239" s="37">
        <v>1008313365</v>
      </c>
      <c r="C3239" s="38">
        <v>0.46953249977414147</v>
      </c>
      <c r="D3239" s="14" t="s">
        <v>3280</v>
      </c>
      <c r="E3239" s="14" t="s">
        <v>40</v>
      </c>
    </row>
    <row r="3240" spans="1:5" x14ac:dyDescent="0.25">
      <c r="A3240" s="36">
        <v>3238</v>
      </c>
      <c r="B3240" s="37">
        <v>120951645</v>
      </c>
      <c r="C3240" s="38">
        <v>5.6322498738915892E-2</v>
      </c>
      <c r="D3240" s="14" t="s">
        <v>3281</v>
      </c>
      <c r="E3240" s="14" t="s">
        <v>43</v>
      </c>
    </row>
    <row r="3241" spans="1:5" x14ac:dyDescent="0.25">
      <c r="A3241" s="36">
        <v>3239</v>
      </c>
      <c r="B3241" s="37">
        <v>1458891598</v>
      </c>
      <c r="C3241" s="38">
        <v>0.67934933988347157</v>
      </c>
      <c r="D3241" s="14" t="s">
        <v>3282</v>
      </c>
      <c r="E3241" s="14" t="s">
        <v>46</v>
      </c>
    </row>
    <row r="3242" spans="1:5" x14ac:dyDescent="0.25">
      <c r="A3242" s="36">
        <v>3240</v>
      </c>
      <c r="B3242" s="37">
        <v>927939455</v>
      </c>
      <c r="C3242" s="38">
        <v>0.43210548136015675</v>
      </c>
      <c r="D3242" s="14" t="s">
        <v>3283</v>
      </c>
      <c r="E3242" s="14" t="s">
        <v>48</v>
      </c>
    </row>
    <row r="3243" spans="1:5" x14ac:dyDescent="0.25">
      <c r="A3243" s="36">
        <v>3241</v>
      </c>
      <c r="B3243" s="37">
        <v>1822133348</v>
      </c>
      <c r="C3243" s="38">
        <v>0.84849696087115301</v>
      </c>
      <c r="D3243" s="14" t="s">
        <v>3284</v>
      </c>
      <c r="E3243" s="14" t="s">
        <v>37</v>
      </c>
    </row>
    <row r="3244" spans="1:5" x14ac:dyDescent="0.25">
      <c r="A3244" s="36">
        <v>3242</v>
      </c>
      <c r="B3244" s="37">
        <v>1881045355</v>
      </c>
      <c r="C3244" s="38">
        <v>0.87593000190143011</v>
      </c>
      <c r="D3244" s="14" t="s">
        <v>3285</v>
      </c>
      <c r="E3244" s="14" t="s">
        <v>40</v>
      </c>
    </row>
    <row r="3245" spans="1:5" x14ac:dyDescent="0.25">
      <c r="A3245" s="36">
        <v>3243</v>
      </c>
      <c r="B3245" s="37">
        <v>1843724069</v>
      </c>
      <c r="C3245" s="38">
        <v>0.85855092381059706</v>
      </c>
      <c r="D3245" s="14" t="s">
        <v>3286</v>
      </c>
      <c r="E3245" s="14" t="s">
        <v>43</v>
      </c>
    </row>
    <row r="3246" spans="1:5" x14ac:dyDescent="0.25">
      <c r="A3246" s="36">
        <v>3244</v>
      </c>
      <c r="B3246" s="37">
        <v>2037085335</v>
      </c>
      <c r="C3246" s="38">
        <v>0.94859177989353971</v>
      </c>
      <c r="D3246" s="14" t="s">
        <v>3287</v>
      </c>
      <c r="E3246" s="14" t="s">
        <v>46</v>
      </c>
    </row>
    <row r="3247" spans="1:5" x14ac:dyDescent="0.25">
      <c r="A3247" s="36">
        <v>3245</v>
      </c>
      <c r="B3247" s="37">
        <v>439296213</v>
      </c>
      <c r="C3247" s="38">
        <v>0.20456324015025201</v>
      </c>
      <c r="D3247" s="14" t="s">
        <v>3288</v>
      </c>
      <c r="E3247" s="14" t="s">
        <v>48</v>
      </c>
    </row>
    <row r="3248" spans="1:5" x14ac:dyDescent="0.25">
      <c r="A3248" s="36">
        <v>3246</v>
      </c>
      <c r="B3248" s="37">
        <v>213560901</v>
      </c>
      <c r="C3248" s="38">
        <v>9.9447044124569298E-2</v>
      </c>
      <c r="D3248" s="14" t="s">
        <v>3289</v>
      </c>
      <c r="E3248" s="14" t="s">
        <v>37</v>
      </c>
    </row>
    <row r="3249" spans="1:5" x14ac:dyDescent="0.25">
      <c r="A3249" s="36">
        <v>3247</v>
      </c>
      <c r="B3249" s="37">
        <v>1209586044</v>
      </c>
      <c r="C3249" s="38">
        <v>0.56325739462080293</v>
      </c>
      <c r="D3249" s="14" t="s">
        <v>3290</v>
      </c>
      <c r="E3249" s="14" t="s">
        <v>40</v>
      </c>
    </row>
    <row r="3250" spans="1:5" x14ac:dyDescent="0.25">
      <c r="A3250" s="36">
        <v>3248</v>
      </c>
      <c r="B3250" s="37">
        <v>1045646591</v>
      </c>
      <c r="C3250" s="38">
        <v>0.48691713786074758</v>
      </c>
      <c r="D3250" s="14" t="s">
        <v>3291</v>
      </c>
      <c r="E3250" s="14" t="s">
        <v>43</v>
      </c>
    </row>
    <row r="3251" spans="1:5" x14ac:dyDescent="0.25">
      <c r="A3251" s="36">
        <v>3249</v>
      </c>
      <c r="B3251" s="37">
        <v>474666056</v>
      </c>
      <c r="C3251" s="38">
        <v>0.22103360678117426</v>
      </c>
      <c r="D3251" s="14" t="s">
        <v>3292</v>
      </c>
      <c r="E3251" s="14" t="s">
        <v>46</v>
      </c>
    </row>
    <row r="3252" spans="1:5" x14ac:dyDescent="0.25">
      <c r="A3252" s="36">
        <v>3250</v>
      </c>
      <c r="B3252" s="37">
        <v>937297971</v>
      </c>
      <c r="C3252" s="38">
        <v>0.43646337997003615</v>
      </c>
      <c r="D3252" s="14" t="s">
        <v>3293</v>
      </c>
      <c r="E3252" s="14" t="s">
        <v>48</v>
      </c>
    </row>
    <row r="3253" spans="1:5" x14ac:dyDescent="0.25">
      <c r="A3253" s="36">
        <v>3251</v>
      </c>
      <c r="B3253" s="37">
        <v>1459602910</v>
      </c>
      <c r="C3253" s="38">
        <v>0.67968057034522322</v>
      </c>
      <c r="D3253" s="14" t="s">
        <v>3294</v>
      </c>
      <c r="E3253" s="14" t="s">
        <v>37</v>
      </c>
    </row>
    <row r="3254" spans="1:5" x14ac:dyDescent="0.25">
      <c r="A3254" s="36">
        <v>3252</v>
      </c>
      <c r="B3254" s="37">
        <v>1661056758</v>
      </c>
      <c r="C3254" s="38">
        <v>0.77348982858168414</v>
      </c>
      <c r="D3254" s="14" t="s">
        <v>3295</v>
      </c>
      <c r="E3254" s="14" t="s">
        <v>40</v>
      </c>
    </row>
    <row r="3255" spans="1:5" x14ac:dyDescent="0.25">
      <c r="A3255" s="36">
        <v>3253</v>
      </c>
      <c r="B3255" s="37">
        <v>1350887202</v>
      </c>
      <c r="C3255" s="38">
        <v>0.62905587378379701</v>
      </c>
      <c r="D3255" s="14" t="s">
        <v>3296</v>
      </c>
      <c r="E3255" s="14" t="s">
        <v>43</v>
      </c>
    </row>
    <row r="3256" spans="1:5" x14ac:dyDescent="0.25">
      <c r="A3256" s="36">
        <v>3254</v>
      </c>
      <c r="B3256" s="37">
        <v>1504196160</v>
      </c>
      <c r="C3256" s="38">
        <v>0.70044592055512866</v>
      </c>
      <c r="D3256" s="14" t="s">
        <v>3297</v>
      </c>
      <c r="E3256" s="14" t="s">
        <v>46</v>
      </c>
    </row>
    <row r="3257" spans="1:5" x14ac:dyDescent="0.25">
      <c r="A3257" s="36">
        <v>3255</v>
      </c>
      <c r="B3257" s="37">
        <v>468254453</v>
      </c>
      <c r="C3257" s="38">
        <v>0.21804797147309779</v>
      </c>
      <c r="D3257" s="14" t="s">
        <v>3298</v>
      </c>
      <c r="E3257" s="14" t="s">
        <v>48</v>
      </c>
    </row>
    <row r="3258" spans="1:5" x14ac:dyDescent="0.25">
      <c r="A3258" s="36">
        <v>3256</v>
      </c>
      <c r="B3258" s="37">
        <v>1657539986</v>
      </c>
      <c r="C3258" s="38">
        <v>0.77185220400423382</v>
      </c>
      <c r="D3258" s="14" t="s">
        <v>3299</v>
      </c>
      <c r="E3258" s="14" t="s">
        <v>37</v>
      </c>
    </row>
    <row r="3259" spans="1:5" x14ac:dyDescent="0.25">
      <c r="A3259" s="36">
        <v>3257</v>
      </c>
      <c r="B3259" s="37">
        <v>1636395624</v>
      </c>
      <c r="C3259" s="38">
        <v>0.76200609317142798</v>
      </c>
      <c r="D3259" s="14" t="s">
        <v>3300</v>
      </c>
      <c r="E3259" s="14" t="s">
        <v>40</v>
      </c>
    </row>
    <row r="3260" spans="1:5" x14ac:dyDescent="0.25">
      <c r="A3260" s="36">
        <v>3258</v>
      </c>
      <c r="B3260" s="37">
        <v>1426728257</v>
      </c>
      <c r="C3260" s="38">
        <v>0.66437211710231947</v>
      </c>
      <c r="D3260" s="14" t="s">
        <v>3301</v>
      </c>
      <c r="E3260" s="14" t="s">
        <v>43</v>
      </c>
    </row>
    <row r="3261" spans="1:5" x14ac:dyDescent="0.25">
      <c r="A3261" s="36">
        <v>3259</v>
      </c>
      <c r="B3261" s="37">
        <v>1010081140</v>
      </c>
      <c r="C3261" s="38">
        <v>0.47035568415669521</v>
      </c>
      <c r="D3261" s="14" t="s">
        <v>3302</v>
      </c>
      <c r="E3261" s="14" t="s">
        <v>46</v>
      </c>
    </row>
    <row r="3262" spans="1:5" x14ac:dyDescent="0.25">
      <c r="A3262" s="36">
        <v>3260</v>
      </c>
      <c r="B3262" s="37">
        <v>574037130</v>
      </c>
      <c r="C3262" s="38">
        <v>0.26730686904271456</v>
      </c>
      <c r="D3262" s="14" t="s">
        <v>3303</v>
      </c>
      <c r="E3262" s="14" t="s">
        <v>48</v>
      </c>
    </row>
    <row r="3263" spans="1:5" x14ac:dyDescent="0.25">
      <c r="A3263" s="36">
        <v>3261</v>
      </c>
      <c r="B3263" s="37">
        <v>941304940</v>
      </c>
      <c r="C3263" s="38">
        <v>0.43832927031364721</v>
      </c>
      <c r="D3263" s="14" t="s">
        <v>3304</v>
      </c>
      <c r="E3263" s="14" t="s">
        <v>37</v>
      </c>
    </row>
    <row r="3264" spans="1:5" x14ac:dyDescent="0.25">
      <c r="A3264" s="36">
        <v>3262</v>
      </c>
      <c r="B3264" s="37">
        <v>1075470053</v>
      </c>
      <c r="C3264" s="38">
        <v>0.50080476957410791</v>
      </c>
      <c r="D3264" s="14" t="s">
        <v>3305</v>
      </c>
      <c r="E3264" s="14" t="s">
        <v>40</v>
      </c>
    </row>
    <row r="3265" spans="1:5" x14ac:dyDescent="0.25">
      <c r="A3265" s="36">
        <v>3263</v>
      </c>
      <c r="B3265" s="37">
        <v>1140767554</v>
      </c>
      <c r="C3265" s="38">
        <v>0.53121128796190553</v>
      </c>
      <c r="D3265" s="14" t="s">
        <v>3306</v>
      </c>
      <c r="E3265" s="14" t="s">
        <v>43</v>
      </c>
    </row>
    <row r="3266" spans="1:5" x14ac:dyDescent="0.25">
      <c r="A3266" s="36">
        <v>3264</v>
      </c>
      <c r="B3266" s="37">
        <v>2021277615</v>
      </c>
      <c r="C3266" s="38">
        <v>0.94123073664551171</v>
      </c>
      <c r="D3266" s="14" t="s">
        <v>3307</v>
      </c>
      <c r="E3266" s="14" t="s">
        <v>46</v>
      </c>
    </row>
    <row r="3267" spans="1:5" x14ac:dyDescent="0.25">
      <c r="A3267" s="36">
        <v>3265</v>
      </c>
      <c r="B3267" s="37">
        <v>1211289904</v>
      </c>
      <c r="C3267" s="38">
        <v>0.56405081626216458</v>
      </c>
      <c r="D3267" s="14" t="s">
        <v>3308</v>
      </c>
      <c r="E3267" s="14" t="s">
        <v>48</v>
      </c>
    </row>
    <row r="3268" spans="1:5" x14ac:dyDescent="0.25">
      <c r="A3268" s="36">
        <v>3266</v>
      </c>
      <c r="B3268" s="37">
        <v>337315404</v>
      </c>
      <c r="C3268" s="38">
        <v>0.15707472532851377</v>
      </c>
      <c r="D3268" s="14" t="s">
        <v>3309</v>
      </c>
      <c r="E3268" s="14" t="s">
        <v>37</v>
      </c>
    </row>
    <row r="3269" spans="1:5" x14ac:dyDescent="0.25">
      <c r="A3269" s="36">
        <v>3267</v>
      </c>
      <c r="B3269" s="37">
        <v>599820938</v>
      </c>
      <c r="C3269" s="38">
        <v>0.27931339027328111</v>
      </c>
      <c r="D3269" s="14" t="s">
        <v>3310</v>
      </c>
      <c r="E3269" s="14" t="s">
        <v>40</v>
      </c>
    </row>
    <row r="3270" spans="1:5" x14ac:dyDescent="0.25">
      <c r="A3270" s="36">
        <v>3268</v>
      </c>
      <c r="B3270" s="37">
        <v>1273630845</v>
      </c>
      <c r="C3270" s="38">
        <v>0.59308057911371836</v>
      </c>
      <c r="D3270" s="14" t="s">
        <v>3311</v>
      </c>
      <c r="E3270" s="14" t="s">
        <v>43</v>
      </c>
    </row>
    <row r="3271" spans="1:5" x14ac:dyDescent="0.25">
      <c r="A3271" s="36">
        <v>3269</v>
      </c>
      <c r="B3271" s="37">
        <v>1982310389</v>
      </c>
      <c r="C3271" s="38">
        <v>0.92308520801509042</v>
      </c>
      <c r="D3271" s="14" t="s">
        <v>3312</v>
      </c>
      <c r="E3271" s="14" t="s">
        <v>46</v>
      </c>
    </row>
    <row r="3272" spans="1:5" x14ac:dyDescent="0.25">
      <c r="A3272" s="36">
        <v>3270</v>
      </c>
      <c r="B3272" s="37">
        <v>1885506242</v>
      </c>
      <c r="C3272" s="38">
        <v>0.8780072642853517</v>
      </c>
      <c r="D3272" s="14" t="s">
        <v>3313</v>
      </c>
      <c r="E3272" s="14" t="s">
        <v>48</v>
      </c>
    </row>
    <row r="3273" spans="1:5" x14ac:dyDescent="0.25">
      <c r="A3273" s="36">
        <v>3271</v>
      </c>
      <c r="B3273" s="37">
        <v>1103206418</v>
      </c>
      <c r="C3273" s="38">
        <v>0.51372052101125965</v>
      </c>
      <c r="D3273" s="14" t="s">
        <v>3314</v>
      </c>
      <c r="E3273" s="14" t="s">
        <v>37</v>
      </c>
    </row>
    <row r="3274" spans="1:5" x14ac:dyDescent="0.25">
      <c r="A3274" s="36">
        <v>3272</v>
      </c>
      <c r="B3274" s="37">
        <v>262792326</v>
      </c>
      <c r="C3274" s="38">
        <v>0.12237221287673908</v>
      </c>
      <c r="D3274" s="14" t="s">
        <v>3315</v>
      </c>
      <c r="E3274" s="14" t="s">
        <v>40</v>
      </c>
    </row>
    <row r="3275" spans="1:5" x14ac:dyDescent="0.25">
      <c r="A3275" s="36">
        <v>3273</v>
      </c>
      <c r="B3275" s="37">
        <v>171314649</v>
      </c>
      <c r="C3275" s="38">
        <v>7.9774600025161443E-2</v>
      </c>
      <c r="D3275" s="14" t="s">
        <v>3316</v>
      </c>
      <c r="E3275" s="14" t="s">
        <v>43</v>
      </c>
    </row>
    <row r="3276" spans="1:5" x14ac:dyDescent="0.25">
      <c r="A3276" s="36">
        <v>3274</v>
      </c>
      <c r="B3276" s="37">
        <v>618996759</v>
      </c>
      <c r="C3276" s="38">
        <v>0.28824282776948196</v>
      </c>
      <c r="D3276" s="14" t="s">
        <v>3317</v>
      </c>
      <c r="E3276" s="14" t="s">
        <v>46</v>
      </c>
    </row>
    <row r="3277" spans="1:5" x14ac:dyDescent="0.25">
      <c r="A3277" s="36">
        <v>3275</v>
      </c>
      <c r="B3277" s="37">
        <v>1857635509</v>
      </c>
      <c r="C3277" s="38">
        <v>0.86502894287231791</v>
      </c>
      <c r="D3277" s="14" t="s">
        <v>3318</v>
      </c>
      <c r="E3277" s="14" t="s">
        <v>48</v>
      </c>
    </row>
    <row r="3278" spans="1:5" x14ac:dyDescent="0.25">
      <c r="A3278" s="36">
        <v>3276</v>
      </c>
      <c r="B3278" s="37">
        <v>1660585734</v>
      </c>
      <c r="C3278" s="38">
        <v>0.77327049093938927</v>
      </c>
      <c r="D3278" s="14" t="s">
        <v>3319</v>
      </c>
      <c r="E3278" s="14" t="s">
        <v>37</v>
      </c>
    </row>
    <row r="3279" spans="1:5" x14ac:dyDescent="0.25">
      <c r="A3279" s="36">
        <v>3277</v>
      </c>
      <c r="B3279" s="37">
        <v>1151194757</v>
      </c>
      <c r="C3279" s="38">
        <v>0.53606683273616562</v>
      </c>
      <c r="D3279" s="14" t="s">
        <v>3320</v>
      </c>
      <c r="E3279" s="14" t="s">
        <v>40</v>
      </c>
    </row>
    <row r="3280" spans="1:5" x14ac:dyDescent="0.25">
      <c r="A3280" s="36">
        <v>3278</v>
      </c>
      <c r="B3280" s="37">
        <v>251032489</v>
      </c>
      <c r="C3280" s="38">
        <v>0.11689611203823989</v>
      </c>
      <c r="D3280" s="14" t="s">
        <v>3321</v>
      </c>
      <c r="E3280" s="14" t="s">
        <v>43</v>
      </c>
    </row>
    <row r="3281" spans="1:5" x14ac:dyDescent="0.25">
      <c r="A3281" s="36">
        <v>3279</v>
      </c>
      <c r="B3281" s="37">
        <v>2089558276</v>
      </c>
      <c r="C3281" s="38">
        <v>0.9730263971598011</v>
      </c>
      <c r="D3281" s="14" t="s">
        <v>3322</v>
      </c>
      <c r="E3281" s="14" t="s">
        <v>46</v>
      </c>
    </row>
    <row r="3282" spans="1:5" x14ac:dyDescent="0.25">
      <c r="A3282" s="36">
        <v>3280</v>
      </c>
      <c r="B3282" s="37">
        <v>506523454</v>
      </c>
      <c r="C3282" s="38">
        <v>0.2358683637510372</v>
      </c>
      <c r="D3282" s="14" t="s">
        <v>3323</v>
      </c>
      <c r="E3282" s="14" t="s">
        <v>48</v>
      </c>
    </row>
    <row r="3283" spans="1:5" x14ac:dyDescent="0.25">
      <c r="A3283" s="36">
        <v>3281</v>
      </c>
      <c r="B3283" s="37">
        <v>559008550</v>
      </c>
      <c r="C3283" s="38">
        <v>0.26030864113024837</v>
      </c>
      <c r="D3283" s="14" t="s">
        <v>3324</v>
      </c>
      <c r="E3283" s="14" t="s">
        <v>37</v>
      </c>
    </row>
    <row r="3284" spans="1:5" x14ac:dyDescent="0.25">
      <c r="A3284" s="36">
        <v>3282</v>
      </c>
      <c r="B3284" s="37">
        <v>1531184343</v>
      </c>
      <c r="C3284" s="38">
        <v>0.71301327259885761</v>
      </c>
      <c r="D3284" s="14" t="s">
        <v>3325</v>
      </c>
      <c r="E3284" s="14" t="s">
        <v>40</v>
      </c>
    </row>
    <row r="3285" spans="1:5" x14ac:dyDescent="0.25">
      <c r="A3285" s="36">
        <v>3283</v>
      </c>
      <c r="B3285" s="37">
        <v>1910634582</v>
      </c>
      <c r="C3285" s="38">
        <v>0.88970855944310712</v>
      </c>
      <c r="D3285" s="14" t="s">
        <v>3326</v>
      </c>
      <c r="E3285" s="14" t="s">
        <v>43</v>
      </c>
    </row>
    <row r="3286" spans="1:5" x14ac:dyDescent="0.25">
      <c r="A3286" s="36">
        <v>3284</v>
      </c>
      <c r="B3286" s="37">
        <v>1314352299</v>
      </c>
      <c r="C3286" s="38">
        <v>0.6120429838132313</v>
      </c>
      <c r="D3286" s="14" t="s">
        <v>3327</v>
      </c>
      <c r="E3286" s="14" t="s">
        <v>46</v>
      </c>
    </row>
    <row r="3287" spans="1:5" x14ac:dyDescent="0.25">
      <c r="A3287" s="36">
        <v>3285</v>
      </c>
      <c r="B3287" s="37">
        <v>686695831</v>
      </c>
      <c r="C3287" s="38">
        <v>0.31976766480122121</v>
      </c>
      <c r="D3287" s="14" t="s">
        <v>3328</v>
      </c>
      <c r="E3287" s="14" t="s">
        <v>48</v>
      </c>
    </row>
    <row r="3288" spans="1:5" x14ac:dyDescent="0.25">
      <c r="A3288" s="36">
        <v>3286</v>
      </c>
      <c r="B3288" s="37">
        <v>1598563631</v>
      </c>
      <c r="C3288" s="38">
        <v>0.74438919860142716</v>
      </c>
      <c r="D3288" s="14" t="s">
        <v>3329</v>
      </c>
      <c r="E3288" s="14" t="s">
        <v>37</v>
      </c>
    </row>
    <row r="3289" spans="1:5" x14ac:dyDescent="0.25">
      <c r="A3289" s="36">
        <v>3287</v>
      </c>
      <c r="B3289" s="37">
        <v>1939044560</v>
      </c>
      <c r="C3289" s="38">
        <v>0.90293798637713207</v>
      </c>
      <c r="D3289" s="14" t="s">
        <v>3330</v>
      </c>
      <c r="E3289" s="14" t="s">
        <v>40</v>
      </c>
    </row>
    <row r="3290" spans="1:5" x14ac:dyDescent="0.25">
      <c r="A3290" s="36">
        <v>3288</v>
      </c>
      <c r="B3290" s="37">
        <v>695592162</v>
      </c>
      <c r="C3290" s="38">
        <v>0.32391034174892602</v>
      </c>
      <c r="D3290" s="14" t="s">
        <v>3331</v>
      </c>
      <c r="E3290" s="14" t="s">
        <v>43</v>
      </c>
    </row>
    <row r="3291" spans="1:5" x14ac:dyDescent="0.25">
      <c r="A3291" s="36">
        <v>3289</v>
      </c>
      <c r="B3291" s="37">
        <v>716691694</v>
      </c>
      <c r="C3291" s="38">
        <v>0.33373557698621209</v>
      </c>
      <c r="D3291" s="14" t="s">
        <v>3332</v>
      </c>
      <c r="E3291" s="14" t="s">
        <v>46</v>
      </c>
    </row>
    <row r="3292" spans="1:5" x14ac:dyDescent="0.25">
      <c r="A3292" s="36">
        <v>3290</v>
      </c>
      <c r="B3292" s="37">
        <v>1467630956</v>
      </c>
      <c r="C3292" s="38">
        <v>0.6834189205818898</v>
      </c>
      <c r="D3292" s="14" t="s">
        <v>3333</v>
      </c>
      <c r="E3292" s="14" t="s">
        <v>48</v>
      </c>
    </row>
    <row r="3293" spans="1:5" x14ac:dyDescent="0.25">
      <c r="A3293" s="36">
        <v>3291</v>
      </c>
      <c r="B3293" s="37">
        <v>753589627</v>
      </c>
      <c r="C3293" s="38">
        <v>0.35091751597398774</v>
      </c>
      <c r="D3293" s="14" t="s">
        <v>3334</v>
      </c>
      <c r="E3293" s="14" t="s">
        <v>37</v>
      </c>
    </row>
    <row r="3294" spans="1:5" x14ac:dyDescent="0.25">
      <c r="A3294" s="36">
        <v>3292</v>
      </c>
      <c r="B3294" s="37">
        <v>967253581</v>
      </c>
      <c r="C3294" s="38">
        <v>0.45041254789122032</v>
      </c>
      <c r="D3294" s="14" t="s">
        <v>3335</v>
      </c>
      <c r="E3294" s="14" t="s">
        <v>40</v>
      </c>
    </row>
    <row r="3295" spans="1:5" x14ac:dyDescent="0.25">
      <c r="A3295" s="36">
        <v>3293</v>
      </c>
      <c r="B3295" s="37">
        <v>898538467</v>
      </c>
      <c r="C3295" s="38">
        <v>0.41841457943358207</v>
      </c>
      <c r="D3295" s="14" t="s">
        <v>3336</v>
      </c>
      <c r="E3295" s="14" t="s">
        <v>43</v>
      </c>
    </row>
    <row r="3296" spans="1:5" x14ac:dyDescent="0.25">
      <c r="A3296" s="36">
        <v>3294</v>
      </c>
      <c r="B3296" s="37">
        <v>2147414131</v>
      </c>
      <c r="C3296" s="38">
        <v>0.99996762908993642</v>
      </c>
      <c r="D3296" s="14" t="s">
        <v>3337</v>
      </c>
      <c r="E3296" s="14" t="s">
        <v>46</v>
      </c>
    </row>
    <row r="3297" spans="1:5" x14ac:dyDescent="0.25">
      <c r="A3297" s="36">
        <v>3295</v>
      </c>
      <c r="B3297" s="37">
        <v>1266901261</v>
      </c>
      <c r="C3297" s="38">
        <v>0.58994687236377363</v>
      </c>
      <c r="D3297" s="14" t="s">
        <v>3338</v>
      </c>
      <c r="E3297" s="14" t="s">
        <v>48</v>
      </c>
    </row>
    <row r="3298" spans="1:5" x14ac:dyDescent="0.25">
      <c r="A3298" s="36">
        <v>3296</v>
      </c>
      <c r="B3298" s="37">
        <v>1696205541</v>
      </c>
      <c r="C3298" s="38">
        <v>0.7898572561283862</v>
      </c>
      <c r="D3298" s="14" t="s">
        <v>3339</v>
      </c>
      <c r="E3298" s="14" t="s">
        <v>37</v>
      </c>
    </row>
    <row r="3299" spans="1:5" x14ac:dyDescent="0.25">
      <c r="A3299" s="36">
        <v>3297</v>
      </c>
      <c r="B3299" s="37">
        <v>1334431409</v>
      </c>
      <c r="C3299" s="38">
        <v>0.62139304802817896</v>
      </c>
      <c r="D3299" s="14" t="s">
        <v>3340</v>
      </c>
      <c r="E3299" s="14" t="s">
        <v>40</v>
      </c>
    </row>
    <row r="3300" spans="1:5" x14ac:dyDescent="0.25">
      <c r="A3300" s="36">
        <v>3298</v>
      </c>
      <c r="B3300" s="37">
        <v>1579270320</v>
      </c>
      <c r="C3300" s="38">
        <v>0.73540505056055494</v>
      </c>
      <c r="D3300" s="14" t="s">
        <v>3341</v>
      </c>
      <c r="E3300" s="14" t="s">
        <v>43</v>
      </c>
    </row>
    <row r="3301" spans="1:5" x14ac:dyDescent="0.25">
      <c r="A3301" s="36">
        <v>3299</v>
      </c>
      <c r="B3301" s="37">
        <v>1211009523</v>
      </c>
      <c r="C3301" s="38">
        <v>0.56392025368470711</v>
      </c>
      <c r="D3301" s="14" t="s">
        <v>3342</v>
      </c>
      <c r="E3301" s="14" t="s">
        <v>46</v>
      </c>
    </row>
    <row r="3302" spans="1:5" x14ac:dyDescent="0.25">
      <c r="A3302" s="36">
        <v>3300</v>
      </c>
      <c r="B3302" s="37">
        <v>1787566425</v>
      </c>
      <c r="C3302" s="38">
        <v>0.83240048300121006</v>
      </c>
      <c r="D3302" s="14" t="s">
        <v>3343</v>
      </c>
      <c r="E3302" s="14" t="s">
        <v>48</v>
      </c>
    </row>
    <row r="3303" spans="1:5" x14ac:dyDescent="0.25">
      <c r="A3303" s="36">
        <v>3301</v>
      </c>
      <c r="B3303" s="37">
        <v>1902892851</v>
      </c>
      <c r="C3303" s="38">
        <v>0.88610353501797823</v>
      </c>
      <c r="D3303" s="14" t="s">
        <v>3344</v>
      </c>
      <c r="E3303" s="14" t="s">
        <v>37</v>
      </c>
    </row>
    <row r="3304" spans="1:5" x14ac:dyDescent="0.25">
      <c r="A3304" s="36">
        <v>3302</v>
      </c>
      <c r="B3304" s="37">
        <v>2058925171</v>
      </c>
      <c r="C3304" s="38">
        <v>0.95876174604462538</v>
      </c>
      <c r="D3304" s="14" t="s">
        <v>3345</v>
      </c>
      <c r="E3304" s="14" t="s">
        <v>40</v>
      </c>
    </row>
    <row r="3305" spans="1:5" x14ac:dyDescent="0.25">
      <c r="A3305" s="36">
        <v>3303</v>
      </c>
      <c r="B3305" s="37">
        <v>789137697</v>
      </c>
      <c r="C3305" s="38">
        <v>0.36747087601920164</v>
      </c>
      <c r="D3305" s="14" t="s">
        <v>3346</v>
      </c>
      <c r="E3305" s="14" t="s">
        <v>43</v>
      </c>
    </row>
    <row r="3306" spans="1:5" x14ac:dyDescent="0.25">
      <c r="A3306" s="36">
        <v>3304</v>
      </c>
      <c r="B3306" s="37">
        <v>2001544540</v>
      </c>
      <c r="C3306" s="38">
        <v>0.93204180753419263</v>
      </c>
      <c r="D3306" s="14" t="s">
        <v>3347</v>
      </c>
      <c r="E3306" s="14" t="s">
        <v>46</v>
      </c>
    </row>
    <row r="3307" spans="1:5" x14ac:dyDescent="0.25">
      <c r="A3307" s="36">
        <v>3305</v>
      </c>
      <c r="B3307" s="37">
        <v>777006394</v>
      </c>
      <c r="C3307" s="38">
        <v>0.36182179784487084</v>
      </c>
      <c r="D3307" s="14" t="s">
        <v>3348</v>
      </c>
      <c r="E3307" s="14" t="s">
        <v>48</v>
      </c>
    </row>
    <row r="3308" spans="1:5" x14ac:dyDescent="0.25">
      <c r="A3308" s="36">
        <v>3306</v>
      </c>
      <c r="B3308" s="37">
        <v>1933151206</v>
      </c>
      <c r="C3308" s="38">
        <v>0.90019367956565399</v>
      </c>
      <c r="D3308" s="14" t="s">
        <v>3349</v>
      </c>
      <c r="E3308" s="14" t="s">
        <v>37</v>
      </c>
    </row>
    <row r="3309" spans="1:5" x14ac:dyDescent="0.25">
      <c r="A3309" s="36">
        <v>3307</v>
      </c>
      <c r="B3309" s="37">
        <v>765824808</v>
      </c>
      <c r="C3309" s="38">
        <v>0.35661496611154403</v>
      </c>
      <c r="D3309" s="14" t="s">
        <v>3350</v>
      </c>
      <c r="E3309" s="14" t="s">
        <v>40</v>
      </c>
    </row>
    <row r="3310" spans="1:5" x14ac:dyDescent="0.25">
      <c r="A3310" s="36">
        <v>3308</v>
      </c>
      <c r="B3310" s="37">
        <v>2144483105</v>
      </c>
      <c r="C3310" s="38">
        <v>0.99860276374900847</v>
      </c>
      <c r="D3310" s="14" t="s">
        <v>3351</v>
      </c>
      <c r="E3310" s="14" t="s">
        <v>43</v>
      </c>
    </row>
    <row r="3311" spans="1:5" x14ac:dyDescent="0.25">
      <c r="A3311" s="36">
        <v>3309</v>
      </c>
      <c r="B3311" s="37">
        <v>1583694595</v>
      </c>
      <c r="C3311" s="38">
        <v>0.73746526415341784</v>
      </c>
      <c r="D3311" s="14" t="s">
        <v>3352</v>
      </c>
      <c r="E3311" s="14" t="s">
        <v>46</v>
      </c>
    </row>
    <row r="3312" spans="1:5" x14ac:dyDescent="0.25">
      <c r="A3312" s="36">
        <v>3310</v>
      </c>
      <c r="B3312" s="37">
        <v>1805928335</v>
      </c>
      <c r="C3312" s="38">
        <v>0.8409509136532205</v>
      </c>
      <c r="D3312" s="14" t="s">
        <v>3353</v>
      </c>
      <c r="E3312" s="14" t="s">
        <v>48</v>
      </c>
    </row>
    <row r="3313" spans="1:5" x14ac:dyDescent="0.25">
      <c r="A3313" s="36">
        <v>3311</v>
      </c>
      <c r="B3313" s="37">
        <v>626387850</v>
      </c>
      <c r="C3313" s="38">
        <v>0.29168457272075332</v>
      </c>
      <c r="D3313" s="14" t="s">
        <v>3354</v>
      </c>
      <c r="E3313" s="14" t="s">
        <v>37</v>
      </c>
    </row>
    <row r="3314" spans="1:5" x14ac:dyDescent="0.25">
      <c r="A3314" s="36">
        <v>3312</v>
      </c>
      <c r="B3314" s="37">
        <v>1579568621</v>
      </c>
      <c r="C3314" s="38">
        <v>0.73554395778828485</v>
      </c>
      <c r="D3314" s="14" t="s">
        <v>3355</v>
      </c>
      <c r="E3314" s="14" t="s">
        <v>40</v>
      </c>
    </row>
    <row r="3315" spans="1:5" x14ac:dyDescent="0.25">
      <c r="A3315" s="36">
        <v>3313</v>
      </c>
      <c r="B3315" s="37">
        <v>1671759091</v>
      </c>
      <c r="C3315" s="38">
        <v>0.77847349074598093</v>
      </c>
      <c r="D3315" s="14" t="s">
        <v>3356</v>
      </c>
      <c r="E3315" s="14" t="s">
        <v>43</v>
      </c>
    </row>
    <row r="3316" spans="1:5" x14ac:dyDescent="0.25">
      <c r="A3316" s="36">
        <v>3314</v>
      </c>
      <c r="B3316" s="37">
        <v>127388515</v>
      </c>
      <c r="C3316" s="38">
        <v>5.9319899910744232E-2</v>
      </c>
      <c r="D3316" s="14" t="s">
        <v>3357</v>
      </c>
      <c r="E3316" s="14" t="s">
        <v>46</v>
      </c>
    </row>
    <row r="3317" spans="1:5" x14ac:dyDescent="0.25">
      <c r="A3317" s="36">
        <v>3315</v>
      </c>
      <c r="B3317" s="37">
        <v>1994013465</v>
      </c>
      <c r="C3317" s="38">
        <v>0.92853487745324848</v>
      </c>
      <c r="D3317" s="14" t="s">
        <v>3358</v>
      </c>
      <c r="E3317" s="14" t="s">
        <v>48</v>
      </c>
    </row>
    <row r="3318" spans="1:5" x14ac:dyDescent="0.25">
      <c r="A3318" s="36">
        <v>3316</v>
      </c>
      <c r="B3318" s="37">
        <v>2123923205</v>
      </c>
      <c r="C3318" s="38">
        <v>0.98902881424363187</v>
      </c>
      <c r="D3318" s="14" t="s">
        <v>3359</v>
      </c>
      <c r="E3318" s="14" t="s">
        <v>37</v>
      </c>
    </row>
    <row r="3319" spans="1:5" x14ac:dyDescent="0.25">
      <c r="A3319" s="36">
        <v>3317</v>
      </c>
      <c r="B3319" s="37">
        <v>1415545687</v>
      </c>
      <c r="C3319" s="38">
        <v>0.65916482715828573</v>
      </c>
      <c r="D3319" s="14" t="s">
        <v>3360</v>
      </c>
      <c r="E3319" s="14" t="s">
        <v>40</v>
      </c>
    </row>
    <row r="3320" spans="1:5" x14ac:dyDescent="0.25">
      <c r="A3320" s="36">
        <v>3318</v>
      </c>
      <c r="B3320" s="37">
        <v>1731004086</v>
      </c>
      <c r="C3320" s="38">
        <v>0.80606159139706823</v>
      </c>
      <c r="D3320" s="14" t="s">
        <v>3361</v>
      </c>
      <c r="E3320" s="14" t="s">
        <v>43</v>
      </c>
    </row>
    <row r="3321" spans="1:5" x14ac:dyDescent="0.25">
      <c r="A3321" s="36">
        <v>3319</v>
      </c>
      <c r="B3321" s="37">
        <v>306137003</v>
      </c>
      <c r="C3321" s="38">
        <v>0.14255615097589611</v>
      </c>
      <c r="D3321" s="14" t="s">
        <v>3362</v>
      </c>
      <c r="E3321" s="14" t="s">
        <v>46</v>
      </c>
    </row>
    <row r="3322" spans="1:5" x14ac:dyDescent="0.25">
      <c r="A3322" s="36">
        <v>3320</v>
      </c>
      <c r="B3322" s="37">
        <v>1609193462</v>
      </c>
      <c r="C3322" s="38">
        <v>0.74933909939105581</v>
      </c>
      <c r="D3322" s="14" t="s">
        <v>3363</v>
      </c>
      <c r="E3322" s="14" t="s">
        <v>48</v>
      </c>
    </row>
    <row r="3323" spans="1:5" x14ac:dyDescent="0.25">
      <c r="A3323" s="36">
        <v>3321</v>
      </c>
      <c r="B3323" s="37">
        <v>293238555</v>
      </c>
      <c r="C3323" s="38">
        <v>0.13654984307314727</v>
      </c>
      <c r="D3323" s="14" t="s">
        <v>3364</v>
      </c>
      <c r="E3323" s="14" t="s">
        <v>37</v>
      </c>
    </row>
    <row r="3324" spans="1:5" x14ac:dyDescent="0.25">
      <c r="A3324" s="36">
        <v>3322</v>
      </c>
      <c r="B3324" s="37">
        <v>214055321</v>
      </c>
      <c r="C3324" s="38">
        <v>9.9677276378347196E-2</v>
      </c>
      <c r="D3324" s="14" t="s">
        <v>3365</v>
      </c>
      <c r="E3324" s="14" t="s">
        <v>40</v>
      </c>
    </row>
    <row r="3325" spans="1:5" x14ac:dyDescent="0.25">
      <c r="A3325" s="36">
        <v>3323</v>
      </c>
      <c r="B3325" s="37">
        <v>1697799743</v>
      </c>
      <c r="C3325" s="38">
        <v>0.79059961428428049</v>
      </c>
      <c r="D3325" s="14" t="s">
        <v>3366</v>
      </c>
      <c r="E3325" s="14" t="s">
        <v>43</v>
      </c>
    </row>
    <row r="3326" spans="1:5" x14ac:dyDescent="0.25">
      <c r="A3326" s="36">
        <v>3324</v>
      </c>
      <c r="B3326" s="37">
        <v>633727767</v>
      </c>
      <c r="C3326" s="38">
        <v>0.29510248792129684</v>
      </c>
      <c r="D3326" s="14" t="s">
        <v>3367</v>
      </c>
      <c r="E3326" s="14" t="s">
        <v>46</v>
      </c>
    </row>
    <row r="3327" spans="1:5" x14ac:dyDescent="0.25">
      <c r="A3327" s="36">
        <v>3325</v>
      </c>
      <c r="B3327" s="37">
        <v>2020445263</v>
      </c>
      <c r="C3327" s="38">
        <v>0.94084314254151802</v>
      </c>
      <c r="D3327" s="14" t="s">
        <v>3368</v>
      </c>
      <c r="E3327" s="14" t="s">
        <v>48</v>
      </c>
    </row>
    <row r="3328" spans="1:5" x14ac:dyDescent="0.25">
      <c r="A3328" s="36">
        <v>3326</v>
      </c>
      <c r="B3328" s="37">
        <v>867529419</v>
      </c>
      <c r="C3328" s="38">
        <v>0.40397486621699058</v>
      </c>
      <c r="D3328" s="14" t="s">
        <v>3369</v>
      </c>
      <c r="E3328" s="14" t="s">
        <v>37</v>
      </c>
    </row>
    <row r="3329" spans="1:5" x14ac:dyDescent="0.25">
      <c r="A3329" s="36">
        <v>3327</v>
      </c>
      <c r="B3329" s="37">
        <v>1581247576</v>
      </c>
      <c r="C3329" s="38">
        <v>0.73632578213528066</v>
      </c>
      <c r="D3329" s="14" t="s">
        <v>3370</v>
      </c>
      <c r="E3329" s="14" t="s">
        <v>40</v>
      </c>
    </row>
    <row r="3330" spans="1:5" x14ac:dyDescent="0.25">
      <c r="A3330" s="36">
        <v>3328</v>
      </c>
      <c r="B3330" s="37">
        <v>310622072</v>
      </c>
      <c r="C3330" s="38">
        <v>0.1446446739810727</v>
      </c>
      <c r="D3330" s="14" t="s">
        <v>3371</v>
      </c>
      <c r="E3330" s="14" t="s">
        <v>43</v>
      </c>
    </row>
    <row r="3331" spans="1:5" x14ac:dyDescent="0.25">
      <c r="A3331" s="36">
        <v>3329</v>
      </c>
      <c r="B3331" s="37">
        <v>318030068</v>
      </c>
      <c r="C3331" s="38">
        <v>0.14809429093640963</v>
      </c>
      <c r="D3331" s="14" t="s">
        <v>3372</v>
      </c>
      <c r="E3331" s="14" t="s">
        <v>46</v>
      </c>
    </row>
    <row r="3332" spans="1:5" x14ac:dyDescent="0.25">
      <c r="A3332" s="36">
        <v>3330</v>
      </c>
      <c r="B3332" s="37">
        <v>261470894</v>
      </c>
      <c r="C3332" s="38">
        <v>0.1217568731502429</v>
      </c>
      <c r="D3332" s="14" t="s">
        <v>3373</v>
      </c>
      <c r="E3332" s="14" t="s">
        <v>48</v>
      </c>
    </row>
    <row r="3333" spans="1:5" x14ac:dyDescent="0.25">
      <c r="A3333" s="36">
        <v>3331</v>
      </c>
      <c r="B3333" s="37">
        <v>1785453024</v>
      </c>
      <c r="C3333" s="38">
        <v>0.83141635397049429</v>
      </c>
      <c r="D3333" s="14" t="s">
        <v>3374</v>
      </c>
      <c r="E3333" s="14" t="s">
        <v>37</v>
      </c>
    </row>
    <row r="3334" spans="1:5" x14ac:dyDescent="0.25">
      <c r="A3334" s="36">
        <v>3332</v>
      </c>
      <c r="B3334" s="37">
        <v>1672307112</v>
      </c>
      <c r="C3334" s="38">
        <v>0.77872868291043151</v>
      </c>
      <c r="D3334" s="14" t="s">
        <v>3375</v>
      </c>
      <c r="E3334" s="14" t="s">
        <v>40</v>
      </c>
    </row>
    <row r="3335" spans="1:5" x14ac:dyDescent="0.25">
      <c r="A3335" s="36">
        <v>3333</v>
      </c>
      <c r="B3335" s="37">
        <v>1788977212</v>
      </c>
      <c r="C3335" s="38">
        <v>0.83305743189205295</v>
      </c>
      <c r="D3335" s="14" t="s">
        <v>3376</v>
      </c>
      <c r="E3335" s="14" t="s">
        <v>43</v>
      </c>
    </row>
    <row r="3336" spans="1:5" x14ac:dyDescent="0.25">
      <c r="A3336" s="36">
        <v>3334</v>
      </c>
      <c r="B3336" s="37">
        <v>846014208</v>
      </c>
      <c r="C3336" s="38">
        <v>0.39395606536136757</v>
      </c>
      <c r="D3336" s="14" t="s">
        <v>3377</v>
      </c>
      <c r="E3336" s="14" t="s">
        <v>46</v>
      </c>
    </row>
    <row r="3337" spans="1:5" x14ac:dyDescent="0.25">
      <c r="A3337" s="36">
        <v>3335</v>
      </c>
      <c r="B3337" s="37">
        <v>411955173</v>
      </c>
      <c r="C3337" s="38">
        <v>0.19183157626159097</v>
      </c>
      <c r="D3337" s="14" t="s">
        <v>3378</v>
      </c>
      <c r="E3337" s="14" t="s">
        <v>48</v>
      </c>
    </row>
    <row r="3338" spans="1:5" x14ac:dyDescent="0.25">
      <c r="A3338" s="36">
        <v>3336</v>
      </c>
      <c r="B3338" s="37">
        <v>1989885772</v>
      </c>
      <c r="C3338" s="38">
        <v>0.92661277061636227</v>
      </c>
      <c r="D3338" s="14" t="s">
        <v>3379</v>
      </c>
      <c r="E3338" s="14" t="s">
        <v>37</v>
      </c>
    </row>
    <row r="3339" spans="1:5" x14ac:dyDescent="0.25">
      <c r="A3339" s="36">
        <v>3337</v>
      </c>
      <c r="B3339" s="37">
        <v>1275919133</v>
      </c>
      <c r="C3339" s="38">
        <v>0.59414614625002549</v>
      </c>
      <c r="D3339" s="14" t="s">
        <v>3380</v>
      </c>
      <c r="E3339" s="14" t="s">
        <v>40</v>
      </c>
    </row>
    <row r="3340" spans="1:5" x14ac:dyDescent="0.25">
      <c r="A3340" s="36">
        <v>3338</v>
      </c>
      <c r="B3340" s="37">
        <v>1258903811</v>
      </c>
      <c r="C3340" s="38">
        <v>0.58622276949986019</v>
      </c>
      <c r="D3340" s="14" t="s">
        <v>3381</v>
      </c>
      <c r="E3340" s="14" t="s">
        <v>43</v>
      </c>
    </row>
    <row r="3341" spans="1:5" x14ac:dyDescent="0.25">
      <c r="A3341" s="36">
        <v>3339</v>
      </c>
      <c r="B3341" s="37">
        <v>1991872044</v>
      </c>
      <c r="C3341" s="38">
        <v>0.92753770059325624</v>
      </c>
      <c r="D3341" s="14" t="s">
        <v>3382</v>
      </c>
      <c r="E3341" s="14" t="s">
        <v>46</v>
      </c>
    </row>
    <row r="3342" spans="1:5" x14ac:dyDescent="0.25">
      <c r="A3342" s="36">
        <v>3340</v>
      </c>
      <c r="B3342" s="37">
        <v>350503553</v>
      </c>
      <c r="C3342" s="38">
        <v>0.16321593577191976</v>
      </c>
      <c r="D3342" s="14" t="s">
        <v>3383</v>
      </c>
      <c r="E3342" s="14" t="s">
        <v>48</v>
      </c>
    </row>
    <row r="3343" spans="1:5" x14ac:dyDescent="0.25">
      <c r="A3343" s="36">
        <v>3341</v>
      </c>
      <c r="B3343" s="37">
        <v>1025695529</v>
      </c>
      <c r="C3343" s="38">
        <v>0.47762670064234486</v>
      </c>
      <c r="D3343" s="14" t="s">
        <v>3384</v>
      </c>
      <c r="E3343" s="14" t="s">
        <v>37</v>
      </c>
    </row>
    <row r="3344" spans="1:5" x14ac:dyDescent="0.25">
      <c r="A3344" s="36">
        <v>3342</v>
      </c>
      <c r="B3344" s="37">
        <v>120307714</v>
      </c>
      <c r="C3344" s="38">
        <v>5.6022645000378901E-2</v>
      </c>
      <c r="D3344" s="14" t="s">
        <v>3385</v>
      </c>
      <c r="E3344" s="14" t="s">
        <v>40</v>
      </c>
    </row>
    <row r="3345" spans="1:5" x14ac:dyDescent="0.25">
      <c r="A3345" s="36">
        <v>3343</v>
      </c>
      <c r="B3345" s="37">
        <v>1213983676</v>
      </c>
      <c r="C3345" s="38">
        <v>0.56530520159998221</v>
      </c>
      <c r="D3345" s="14" t="s">
        <v>3386</v>
      </c>
      <c r="E3345" s="14" t="s">
        <v>43</v>
      </c>
    </row>
    <row r="3346" spans="1:5" x14ac:dyDescent="0.25">
      <c r="A3346" s="36">
        <v>3344</v>
      </c>
      <c r="B3346" s="37">
        <v>242298768</v>
      </c>
      <c r="C3346" s="38">
        <v>0.11282915627249943</v>
      </c>
      <c r="D3346" s="14" t="s">
        <v>3387</v>
      </c>
      <c r="E3346" s="14" t="s">
        <v>46</v>
      </c>
    </row>
    <row r="3347" spans="1:5" x14ac:dyDescent="0.25">
      <c r="A3347" s="36">
        <v>3345</v>
      </c>
      <c r="B3347" s="37">
        <v>909417294</v>
      </c>
      <c r="C3347" s="38">
        <v>0.42348042802115921</v>
      </c>
      <c r="D3347" s="14" t="s">
        <v>3388</v>
      </c>
      <c r="E3347" s="14" t="s">
        <v>48</v>
      </c>
    </row>
    <row r="3348" spans="1:5" x14ac:dyDescent="0.25">
      <c r="A3348" s="36">
        <v>3346</v>
      </c>
      <c r="B3348" s="37">
        <v>497331155</v>
      </c>
      <c r="C3348" s="38">
        <v>0.23158786596338632</v>
      </c>
      <c r="D3348" s="14" t="s">
        <v>3389</v>
      </c>
      <c r="E3348" s="14" t="s">
        <v>37</v>
      </c>
    </row>
    <row r="3349" spans="1:5" x14ac:dyDescent="0.25">
      <c r="A3349" s="36">
        <v>3347</v>
      </c>
      <c r="B3349" s="37">
        <v>568500450</v>
      </c>
      <c r="C3349" s="38">
        <v>0.26472865150530295</v>
      </c>
      <c r="D3349" s="14" t="s">
        <v>3390</v>
      </c>
      <c r="E3349" s="14" t="s">
        <v>40</v>
      </c>
    </row>
    <row r="3350" spans="1:5" x14ac:dyDescent="0.25">
      <c r="A3350" s="36">
        <v>3348</v>
      </c>
      <c r="B3350" s="37">
        <v>1998840864</v>
      </c>
      <c r="C3350" s="38">
        <v>0.93078281028698329</v>
      </c>
      <c r="D3350" s="14" t="s">
        <v>3391</v>
      </c>
      <c r="E3350" s="14" t="s">
        <v>43</v>
      </c>
    </row>
    <row r="3351" spans="1:5" x14ac:dyDescent="0.25">
      <c r="A3351" s="36">
        <v>3349</v>
      </c>
      <c r="B3351" s="37">
        <v>1566436606</v>
      </c>
      <c r="C3351" s="38">
        <v>0.7294288867755927</v>
      </c>
      <c r="D3351" s="14" t="s">
        <v>3392</v>
      </c>
      <c r="E3351" s="14" t="s">
        <v>46</v>
      </c>
    </row>
    <row r="3352" spans="1:5" x14ac:dyDescent="0.25">
      <c r="A3352" s="36">
        <v>3350</v>
      </c>
      <c r="B3352" s="37">
        <v>193050382</v>
      </c>
      <c r="C3352" s="38">
        <v>8.9896089439231941E-2</v>
      </c>
      <c r="D3352" s="14" t="s">
        <v>3393</v>
      </c>
      <c r="E3352" s="14" t="s">
        <v>48</v>
      </c>
    </row>
    <row r="3353" spans="1:5" x14ac:dyDescent="0.25">
      <c r="A3353" s="36">
        <v>3351</v>
      </c>
      <c r="B3353" s="37">
        <v>1632967575</v>
      </c>
      <c r="C3353" s="38">
        <v>0.76040978346039068</v>
      </c>
      <c r="D3353" s="14" t="s">
        <v>3394</v>
      </c>
      <c r="E3353" s="14" t="s">
        <v>37</v>
      </c>
    </row>
    <row r="3354" spans="1:5" x14ac:dyDescent="0.25">
      <c r="A3354" s="36">
        <v>3352</v>
      </c>
      <c r="B3354" s="37">
        <v>1217516611</v>
      </c>
      <c r="C3354" s="38">
        <v>0.56695035266082283</v>
      </c>
      <c r="D3354" s="14" t="s">
        <v>3395</v>
      </c>
      <c r="E3354" s="14" t="s">
        <v>40</v>
      </c>
    </row>
    <row r="3355" spans="1:5" x14ac:dyDescent="0.25">
      <c r="A3355" s="36">
        <v>3353</v>
      </c>
      <c r="B3355" s="37">
        <v>1090704157</v>
      </c>
      <c r="C3355" s="38">
        <v>0.50789870205703136</v>
      </c>
      <c r="D3355" s="14" t="s">
        <v>3396</v>
      </c>
      <c r="E3355" s="14" t="s">
        <v>43</v>
      </c>
    </row>
    <row r="3356" spans="1:5" x14ac:dyDescent="0.25">
      <c r="A3356" s="36">
        <v>3354</v>
      </c>
      <c r="B3356" s="37">
        <v>1200824378</v>
      </c>
      <c r="C3356" s="38">
        <v>0.55917742595038256</v>
      </c>
      <c r="D3356" s="14" t="s">
        <v>3397</v>
      </c>
      <c r="E3356" s="14" t="s">
        <v>46</v>
      </c>
    </row>
    <row r="3357" spans="1:5" x14ac:dyDescent="0.25">
      <c r="A3357" s="36">
        <v>3355</v>
      </c>
      <c r="B3357" s="37">
        <v>594994718</v>
      </c>
      <c r="C3357" s="38">
        <v>0.27706600645420421</v>
      </c>
      <c r="D3357" s="14" t="s">
        <v>3398</v>
      </c>
      <c r="E3357" s="14" t="s">
        <v>48</v>
      </c>
    </row>
    <row r="3358" spans="1:5" x14ac:dyDescent="0.25">
      <c r="A3358" s="36">
        <v>3356</v>
      </c>
      <c r="B3358" s="37">
        <v>1646108772</v>
      </c>
      <c r="C3358" s="38">
        <v>0.76652913017502478</v>
      </c>
      <c r="D3358" s="14" t="s">
        <v>3399</v>
      </c>
      <c r="E3358" s="14" t="s">
        <v>37</v>
      </c>
    </row>
    <row r="3359" spans="1:5" x14ac:dyDescent="0.25">
      <c r="A3359" s="36">
        <v>3357</v>
      </c>
      <c r="B3359" s="37">
        <v>800024694</v>
      </c>
      <c r="C3359" s="38">
        <v>0.37254052905949786</v>
      </c>
      <c r="D3359" s="14" t="s">
        <v>3400</v>
      </c>
      <c r="E3359" s="14" t="s">
        <v>40</v>
      </c>
    </row>
    <row r="3360" spans="1:5" x14ac:dyDescent="0.25">
      <c r="A3360" s="36">
        <v>3358</v>
      </c>
      <c r="B3360" s="37">
        <v>1065728932</v>
      </c>
      <c r="C3360" s="38">
        <v>0.49626870662731526</v>
      </c>
      <c r="D3360" s="14" t="s">
        <v>3401</v>
      </c>
      <c r="E3360" s="14" t="s">
        <v>43</v>
      </c>
    </row>
    <row r="3361" spans="1:5" x14ac:dyDescent="0.25">
      <c r="A3361" s="36">
        <v>3359</v>
      </c>
      <c r="B3361" s="37">
        <v>302869879</v>
      </c>
      <c r="C3361" s="38">
        <v>0.14103477780755366</v>
      </c>
      <c r="D3361" s="14" t="s">
        <v>3402</v>
      </c>
      <c r="E3361" s="14" t="s">
        <v>46</v>
      </c>
    </row>
    <row r="3362" spans="1:5" x14ac:dyDescent="0.25">
      <c r="A3362" s="36">
        <v>3360</v>
      </c>
      <c r="B3362" s="37">
        <v>828211566</v>
      </c>
      <c r="C3362" s="38">
        <v>0.38566606416630839</v>
      </c>
      <c r="D3362" s="14" t="s">
        <v>3403</v>
      </c>
      <c r="E3362" s="14" t="s">
        <v>48</v>
      </c>
    </row>
    <row r="3363" spans="1:5" x14ac:dyDescent="0.25">
      <c r="A3363" s="36">
        <v>3361</v>
      </c>
      <c r="B3363" s="37">
        <v>596125076</v>
      </c>
      <c r="C3363" s="38">
        <v>0.27759237041584794</v>
      </c>
      <c r="D3363" s="14" t="s">
        <v>3404</v>
      </c>
      <c r="E3363" s="14" t="s">
        <v>37</v>
      </c>
    </row>
    <row r="3364" spans="1:5" x14ac:dyDescent="0.25">
      <c r="A3364" s="36">
        <v>3362</v>
      </c>
      <c r="B3364" s="37">
        <v>1959583950</v>
      </c>
      <c r="C3364" s="38">
        <v>0.91250238516950155</v>
      </c>
      <c r="D3364" s="14" t="s">
        <v>3405</v>
      </c>
      <c r="E3364" s="14" t="s">
        <v>40</v>
      </c>
    </row>
    <row r="3365" spans="1:5" x14ac:dyDescent="0.25">
      <c r="A3365" s="36">
        <v>3363</v>
      </c>
      <c r="B3365" s="37">
        <v>1084071672</v>
      </c>
      <c r="C3365" s="38">
        <v>0.50481021055244379</v>
      </c>
      <c r="D3365" s="14" t="s">
        <v>3406</v>
      </c>
      <c r="E3365" s="14" t="s">
        <v>43</v>
      </c>
    </row>
    <row r="3366" spans="1:5" x14ac:dyDescent="0.25">
      <c r="A3366" s="36">
        <v>3364</v>
      </c>
      <c r="B3366" s="37">
        <v>1477158980</v>
      </c>
      <c r="C3366" s="38">
        <v>0.68785575250529485</v>
      </c>
      <c r="D3366" s="14" t="s">
        <v>3407</v>
      </c>
      <c r="E3366" s="14" t="s">
        <v>46</v>
      </c>
    </row>
    <row r="3367" spans="1:5" x14ac:dyDescent="0.25">
      <c r="A3367" s="36">
        <v>3365</v>
      </c>
      <c r="B3367" s="37">
        <v>1221005132</v>
      </c>
      <c r="C3367" s="38">
        <v>0.56857482184123942</v>
      </c>
      <c r="D3367" s="14" t="s">
        <v>3408</v>
      </c>
      <c r="E3367" s="14" t="s">
        <v>48</v>
      </c>
    </row>
    <row r="3368" spans="1:5" x14ac:dyDescent="0.25">
      <c r="A3368" s="36">
        <v>3366</v>
      </c>
      <c r="B3368" s="37">
        <v>1025340194</v>
      </c>
      <c r="C3368" s="38">
        <v>0.47746123488874231</v>
      </c>
      <c r="D3368" s="14" t="s">
        <v>3409</v>
      </c>
      <c r="E3368" s="14" t="s">
        <v>37</v>
      </c>
    </row>
    <row r="3369" spans="1:5" x14ac:dyDescent="0.25">
      <c r="A3369" s="36">
        <v>3367</v>
      </c>
      <c r="B3369" s="37">
        <v>1361803411</v>
      </c>
      <c r="C3369" s="38">
        <v>0.63413912972162434</v>
      </c>
      <c r="D3369" s="14" t="s">
        <v>3410</v>
      </c>
      <c r="E3369" s="14" t="s">
        <v>40</v>
      </c>
    </row>
    <row r="3370" spans="1:5" x14ac:dyDescent="0.25">
      <c r="A3370" s="36">
        <v>3368</v>
      </c>
      <c r="B3370" s="37">
        <v>1947844618</v>
      </c>
      <c r="C3370" s="38">
        <v>0.90703583271570309</v>
      </c>
      <c r="D3370" s="14" t="s">
        <v>3411</v>
      </c>
      <c r="E3370" s="14" t="s">
        <v>43</v>
      </c>
    </row>
    <row r="3371" spans="1:5" x14ac:dyDescent="0.25">
      <c r="A3371" s="36">
        <v>3369</v>
      </c>
      <c r="B3371" s="37">
        <v>626178425</v>
      </c>
      <c r="C3371" s="38">
        <v>0.29158705160561343</v>
      </c>
      <c r="D3371" s="14" t="s">
        <v>3412</v>
      </c>
      <c r="E3371" s="14" t="s">
        <v>46</v>
      </c>
    </row>
    <row r="3372" spans="1:5" x14ac:dyDescent="0.25">
      <c r="A3372" s="36">
        <v>3370</v>
      </c>
      <c r="B3372" s="37">
        <v>878771310</v>
      </c>
      <c r="C3372" s="38">
        <v>0.40920977965426153</v>
      </c>
      <c r="D3372" s="14" t="s">
        <v>3413</v>
      </c>
      <c r="E3372" s="14" t="s">
        <v>48</v>
      </c>
    </row>
    <row r="3373" spans="1:5" x14ac:dyDescent="0.25">
      <c r="A3373" s="36">
        <v>3371</v>
      </c>
      <c r="B3373" s="37">
        <v>817364393</v>
      </c>
      <c r="C3373" s="38">
        <v>0.38061495562112657</v>
      </c>
      <c r="D3373" s="14" t="s">
        <v>3414</v>
      </c>
      <c r="E3373" s="14" t="s">
        <v>37</v>
      </c>
    </row>
    <row r="3374" spans="1:5" x14ac:dyDescent="0.25">
      <c r="A3374" s="36">
        <v>3372</v>
      </c>
      <c r="B3374" s="37">
        <v>1247991227</v>
      </c>
      <c r="C3374" s="38">
        <v>0.58114120158420002</v>
      </c>
      <c r="D3374" s="14" t="s">
        <v>3415</v>
      </c>
      <c r="E3374" s="14" t="s">
        <v>40</v>
      </c>
    </row>
    <row r="3375" spans="1:5" x14ac:dyDescent="0.25">
      <c r="A3375" s="36">
        <v>3373</v>
      </c>
      <c r="B3375" s="37">
        <v>1139675770</v>
      </c>
      <c r="C3375" s="38">
        <v>0.53070288641876673</v>
      </c>
      <c r="D3375" s="14" t="s">
        <v>3416</v>
      </c>
      <c r="E3375" s="14" t="s">
        <v>43</v>
      </c>
    </row>
    <row r="3376" spans="1:5" x14ac:dyDescent="0.25">
      <c r="A3376" s="36">
        <v>3374</v>
      </c>
      <c r="B3376" s="37">
        <v>1490680377</v>
      </c>
      <c r="C3376" s="38">
        <v>0.69415214364144584</v>
      </c>
      <c r="D3376" s="14" t="s">
        <v>3417</v>
      </c>
      <c r="E3376" s="14" t="s">
        <v>46</v>
      </c>
    </row>
    <row r="3377" spans="1:5" x14ac:dyDescent="0.25">
      <c r="A3377" s="36">
        <v>3375</v>
      </c>
      <c r="B3377" s="37">
        <v>148242350</v>
      </c>
      <c r="C3377" s="38">
        <v>6.903072356666938E-2</v>
      </c>
      <c r="D3377" s="14" t="s">
        <v>3418</v>
      </c>
      <c r="E3377" s="14" t="s">
        <v>48</v>
      </c>
    </row>
    <row r="3378" spans="1:5" x14ac:dyDescent="0.25">
      <c r="A3378" s="36">
        <v>3376</v>
      </c>
      <c r="B3378" s="37">
        <v>1798046732</v>
      </c>
      <c r="C3378" s="38">
        <v>0.83728075625248288</v>
      </c>
      <c r="D3378" s="14" t="s">
        <v>3419</v>
      </c>
      <c r="E3378" s="14" t="s">
        <v>37</v>
      </c>
    </row>
    <row r="3379" spans="1:5" x14ac:dyDescent="0.25">
      <c r="A3379" s="36">
        <v>3377</v>
      </c>
      <c r="B3379" s="37">
        <v>478753798</v>
      </c>
      <c r="C3379" s="38">
        <v>0.22293710998396254</v>
      </c>
      <c r="D3379" s="14" t="s">
        <v>3420</v>
      </c>
      <c r="E3379" s="14" t="s">
        <v>40</v>
      </c>
    </row>
    <row r="3380" spans="1:5" x14ac:dyDescent="0.25">
      <c r="A3380" s="36">
        <v>3378</v>
      </c>
      <c r="B3380" s="37">
        <v>1857856825</v>
      </c>
      <c r="C3380" s="38">
        <v>0.86513200116582778</v>
      </c>
      <c r="D3380" s="14" t="s">
        <v>3421</v>
      </c>
      <c r="E3380" s="14" t="s">
        <v>43</v>
      </c>
    </row>
    <row r="3381" spans="1:5" x14ac:dyDescent="0.25">
      <c r="A3381" s="36">
        <v>3379</v>
      </c>
      <c r="B3381" s="37">
        <v>679413350</v>
      </c>
      <c r="C3381" s="38">
        <v>0.31637649532238787</v>
      </c>
      <c r="D3381" s="14" t="s">
        <v>3422</v>
      </c>
      <c r="E3381" s="14" t="s">
        <v>46</v>
      </c>
    </row>
    <row r="3382" spans="1:5" x14ac:dyDescent="0.25">
      <c r="A3382" s="36">
        <v>3380</v>
      </c>
      <c r="B3382" s="37">
        <v>124580774</v>
      </c>
      <c r="C3382" s="38">
        <v>5.8012443621648681E-2</v>
      </c>
      <c r="D3382" s="14" t="s">
        <v>3423</v>
      </c>
      <c r="E3382" s="14" t="s">
        <v>48</v>
      </c>
    </row>
    <row r="3383" spans="1:5" x14ac:dyDescent="0.25">
      <c r="A3383" s="36">
        <v>3381</v>
      </c>
      <c r="B3383" s="37">
        <v>1363341312</v>
      </c>
      <c r="C3383" s="38">
        <v>0.63485527068136971</v>
      </c>
      <c r="D3383" s="14" t="s">
        <v>3424</v>
      </c>
      <c r="E3383" s="14" t="s">
        <v>37</v>
      </c>
    </row>
    <row r="3384" spans="1:5" x14ac:dyDescent="0.25">
      <c r="A3384" s="36">
        <v>3382</v>
      </c>
      <c r="B3384" s="37">
        <v>2021999419</v>
      </c>
      <c r="C3384" s="38">
        <v>0.94156685282549213</v>
      </c>
      <c r="D3384" s="14" t="s">
        <v>3425</v>
      </c>
      <c r="E3384" s="14" t="s">
        <v>40</v>
      </c>
    </row>
    <row r="3385" spans="1:5" x14ac:dyDescent="0.25">
      <c r="A3385" s="36">
        <v>3383</v>
      </c>
      <c r="B3385" s="37">
        <v>81250684</v>
      </c>
      <c r="C3385" s="38">
        <v>3.7835298123692768E-2</v>
      </c>
      <c r="D3385" s="14" t="s">
        <v>3426</v>
      </c>
      <c r="E3385" s="14" t="s">
        <v>43</v>
      </c>
    </row>
    <row r="3386" spans="1:5" x14ac:dyDescent="0.25">
      <c r="A3386" s="36">
        <v>3384</v>
      </c>
      <c r="B3386" s="37">
        <v>583568557</v>
      </c>
      <c r="C3386" s="38">
        <v>0.27174528561148109</v>
      </c>
      <c r="D3386" s="14" t="s">
        <v>3427</v>
      </c>
      <c r="E3386" s="14" t="s">
        <v>46</v>
      </c>
    </row>
    <row r="3387" spans="1:5" x14ac:dyDescent="0.25">
      <c r="A3387" s="36">
        <v>3385</v>
      </c>
      <c r="B3387" s="37">
        <v>630648079</v>
      </c>
      <c r="C3387" s="38">
        <v>0.29366839644204284</v>
      </c>
      <c r="D3387" s="14" t="s">
        <v>3428</v>
      </c>
      <c r="E3387" s="14" t="s">
        <v>48</v>
      </c>
    </row>
    <row r="3388" spans="1:5" x14ac:dyDescent="0.25">
      <c r="A3388" s="36">
        <v>3386</v>
      </c>
      <c r="B3388" s="37">
        <v>1846242452</v>
      </c>
      <c r="C3388" s="38">
        <v>0.85972363728085699</v>
      </c>
      <c r="D3388" s="14" t="s">
        <v>3429</v>
      </c>
      <c r="E3388" s="14" t="s">
        <v>37</v>
      </c>
    </row>
    <row r="3389" spans="1:5" x14ac:dyDescent="0.25">
      <c r="A3389" s="36">
        <v>3387</v>
      </c>
      <c r="B3389" s="37">
        <v>2060469466</v>
      </c>
      <c r="C3389" s="38">
        <v>0.95948086444264313</v>
      </c>
      <c r="D3389" s="14" t="s">
        <v>3430</v>
      </c>
      <c r="E3389" s="14" t="s">
        <v>40</v>
      </c>
    </row>
    <row r="3390" spans="1:5" x14ac:dyDescent="0.25">
      <c r="A3390" s="36">
        <v>3388</v>
      </c>
      <c r="B3390" s="37">
        <v>768847113</v>
      </c>
      <c r="C3390" s="38">
        <v>0.35802233654913601</v>
      </c>
      <c r="D3390" s="14" t="s">
        <v>3431</v>
      </c>
      <c r="E3390" s="14" t="s">
        <v>43</v>
      </c>
    </row>
    <row r="3391" spans="1:5" x14ac:dyDescent="0.25">
      <c r="A3391" s="36">
        <v>3389</v>
      </c>
      <c r="B3391" s="37">
        <v>1292528309</v>
      </c>
      <c r="C3391" s="38">
        <v>0.60188039653090775</v>
      </c>
      <c r="D3391" s="14" t="s">
        <v>3432</v>
      </c>
      <c r="E3391" s="14" t="s">
        <v>46</v>
      </c>
    </row>
    <row r="3392" spans="1:5" x14ac:dyDescent="0.25">
      <c r="A3392" s="36">
        <v>3390</v>
      </c>
      <c r="B3392" s="37">
        <v>943113733</v>
      </c>
      <c r="C3392" s="38">
        <v>0.43917155519089268</v>
      </c>
      <c r="D3392" s="14" t="s">
        <v>3433</v>
      </c>
      <c r="E3392" s="14" t="s">
        <v>48</v>
      </c>
    </row>
    <row r="3393" spans="1:5" x14ac:dyDescent="0.25">
      <c r="A3393" s="36">
        <v>3391</v>
      </c>
      <c r="B3393" s="37">
        <v>1084565284</v>
      </c>
      <c r="C3393" s="38">
        <v>0.50504006655190148</v>
      </c>
      <c r="D3393" s="14" t="s">
        <v>3434</v>
      </c>
      <c r="E3393" s="14" t="s">
        <v>37</v>
      </c>
    </row>
    <row r="3394" spans="1:5" x14ac:dyDescent="0.25">
      <c r="A3394" s="36">
        <v>3392</v>
      </c>
      <c r="B3394" s="37">
        <v>620436479</v>
      </c>
      <c r="C3394" s="38">
        <v>0.28891324963835685</v>
      </c>
      <c r="D3394" s="14" t="s">
        <v>3435</v>
      </c>
      <c r="E3394" s="14" t="s">
        <v>40</v>
      </c>
    </row>
    <row r="3395" spans="1:5" x14ac:dyDescent="0.25">
      <c r="A3395" s="36">
        <v>3393</v>
      </c>
      <c r="B3395" s="37">
        <v>1715818457</v>
      </c>
      <c r="C3395" s="38">
        <v>0.79899023184505769</v>
      </c>
      <c r="D3395" s="14" t="s">
        <v>3436</v>
      </c>
      <c r="E3395" s="14" t="s">
        <v>43</v>
      </c>
    </row>
    <row r="3396" spans="1:5" x14ac:dyDescent="0.25">
      <c r="A3396" s="36">
        <v>3394</v>
      </c>
      <c r="B3396" s="37">
        <v>1477034615</v>
      </c>
      <c r="C3396" s="38">
        <v>0.68779784053927184</v>
      </c>
      <c r="D3396" s="14" t="s">
        <v>3437</v>
      </c>
      <c r="E3396" s="14" t="s">
        <v>46</v>
      </c>
    </row>
    <row r="3397" spans="1:5" x14ac:dyDescent="0.25">
      <c r="A3397" s="36">
        <v>3395</v>
      </c>
      <c r="B3397" s="37">
        <v>370783619</v>
      </c>
      <c r="C3397" s="38">
        <v>0.17265957741656321</v>
      </c>
      <c r="D3397" s="14" t="s">
        <v>3438</v>
      </c>
      <c r="E3397" s="14" t="s">
        <v>48</v>
      </c>
    </row>
    <row r="3398" spans="1:5" x14ac:dyDescent="0.25">
      <c r="A3398" s="36">
        <v>3396</v>
      </c>
      <c r="B3398" s="37">
        <v>1407106986</v>
      </c>
      <c r="C3398" s="38">
        <v>0.65523525078559075</v>
      </c>
      <c r="D3398" s="14" t="s">
        <v>3439</v>
      </c>
      <c r="E3398" s="14" t="s">
        <v>37</v>
      </c>
    </row>
    <row r="3399" spans="1:5" x14ac:dyDescent="0.25">
      <c r="A3399" s="36">
        <v>3397</v>
      </c>
      <c r="B3399" s="37">
        <v>1992757088</v>
      </c>
      <c r="C3399" s="38">
        <v>0.92794983132181219</v>
      </c>
      <c r="D3399" s="14" t="s">
        <v>3440</v>
      </c>
      <c r="E3399" s="14" t="s">
        <v>40</v>
      </c>
    </row>
    <row r="3400" spans="1:5" x14ac:dyDescent="0.25">
      <c r="A3400" s="36">
        <v>3398</v>
      </c>
      <c r="B3400" s="37">
        <v>354585811</v>
      </c>
      <c r="C3400" s="38">
        <v>0.16511688528820728</v>
      </c>
      <c r="D3400" s="14" t="s">
        <v>3441</v>
      </c>
      <c r="E3400" s="14" t="s">
        <v>43</v>
      </c>
    </row>
    <row r="3401" spans="1:5" x14ac:dyDescent="0.25">
      <c r="A3401" s="36">
        <v>3399</v>
      </c>
      <c r="B3401" s="37">
        <v>1407933871</v>
      </c>
      <c r="C3401" s="38">
        <v>0.65562029911932551</v>
      </c>
      <c r="D3401" s="14" t="s">
        <v>3442</v>
      </c>
      <c r="E3401" s="14" t="s">
        <v>46</v>
      </c>
    </row>
    <row r="3402" spans="1:5" x14ac:dyDescent="0.25">
      <c r="A3402" s="36">
        <v>3400</v>
      </c>
      <c r="B3402" s="37">
        <v>1826493986</v>
      </c>
      <c r="C3402" s="38">
        <v>0.85052754117666163</v>
      </c>
      <c r="D3402" s="14" t="s">
        <v>3443</v>
      </c>
      <c r="E3402" s="14" t="s">
        <v>48</v>
      </c>
    </row>
    <row r="3403" spans="1:5" x14ac:dyDescent="0.25">
      <c r="A3403" s="36">
        <v>3401</v>
      </c>
      <c r="B3403" s="37">
        <v>1777285445</v>
      </c>
      <c r="C3403" s="38">
        <v>0.82761302861739561</v>
      </c>
      <c r="D3403" s="14" t="s">
        <v>3444</v>
      </c>
      <c r="E3403" s="14" t="s">
        <v>37</v>
      </c>
    </row>
    <row r="3404" spans="1:5" x14ac:dyDescent="0.25">
      <c r="A3404" s="36">
        <v>3402</v>
      </c>
      <c r="B3404" s="37">
        <v>104357647</v>
      </c>
      <c r="C3404" s="38">
        <v>4.8595316265055588E-2</v>
      </c>
      <c r="D3404" s="14" t="s">
        <v>3445</v>
      </c>
      <c r="E3404" s="14" t="s">
        <v>40</v>
      </c>
    </row>
    <row r="3405" spans="1:5" x14ac:dyDescent="0.25">
      <c r="A3405" s="36">
        <v>3403</v>
      </c>
      <c r="B3405" s="37">
        <v>1269038362</v>
      </c>
      <c r="C3405" s="38">
        <v>0.5909420375670037</v>
      </c>
      <c r="D3405" s="14" t="s">
        <v>3446</v>
      </c>
      <c r="E3405" s="14" t="s">
        <v>43</v>
      </c>
    </row>
    <row r="3406" spans="1:5" x14ac:dyDescent="0.25">
      <c r="A3406" s="36">
        <v>3404</v>
      </c>
      <c r="B3406" s="37">
        <v>573844487</v>
      </c>
      <c r="C3406" s="38">
        <v>0.26721716265530193</v>
      </c>
      <c r="D3406" s="14" t="s">
        <v>3447</v>
      </c>
      <c r="E3406" s="14" t="s">
        <v>46</v>
      </c>
    </row>
    <row r="3407" spans="1:5" x14ac:dyDescent="0.25">
      <c r="A3407" s="36">
        <v>3405</v>
      </c>
      <c r="B3407" s="37">
        <v>257278768</v>
      </c>
      <c r="C3407" s="38">
        <v>0.11980476235961764</v>
      </c>
      <c r="D3407" s="14" t="s">
        <v>3448</v>
      </c>
      <c r="E3407" s="14" t="s">
        <v>48</v>
      </c>
    </row>
    <row r="3408" spans="1:5" x14ac:dyDescent="0.25">
      <c r="A3408" s="36">
        <v>3406</v>
      </c>
      <c r="B3408" s="37">
        <v>1061291977</v>
      </c>
      <c r="C3408" s="38">
        <v>0.49420258844932663</v>
      </c>
      <c r="D3408" s="14" t="s">
        <v>3449</v>
      </c>
      <c r="E3408" s="14" t="s">
        <v>37</v>
      </c>
    </row>
    <row r="3409" spans="1:5" x14ac:dyDescent="0.25">
      <c r="A3409" s="36">
        <v>3407</v>
      </c>
      <c r="B3409" s="37">
        <v>76610537</v>
      </c>
      <c r="C3409" s="38">
        <v>3.5674561297369449E-2</v>
      </c>
      <c r="D3409" s="14" t="s">
        <v>3450</v>
      </c>
      <c r="E3409" s="14" t="s">
        <v>40</v>
      </c>
    </row>
    <row r="3410" spans="1:5" x14ac:dyDescent="0.25">
      <c r="A3410" s="36">
        <v>3408</v>
      </c>
      <c r="B3410" s="37">
        <v>1441561641</v>
      </c>
      <c r="C3410" s="38">
        <v>0.67127944979410592</v>
      </c>
      <c r="D3410" s="14" t="s">
        <v>3451</v>
      </c>
      <c r="E3410" s="14" t="s">
        <v>43</v>
      </c>
    </row>
    <row r="3411" spans="1:5" x14ac:dyDescent="0.25">
      <c r="A3411" s="36">
        <v>3409</v>
      </c>
      <c r="B3411" s="37">
        <v>1929094181</v>
      </c>
      <c r="C3411" s="38">
        <v>0.89830448008063457</v>
      </c>
      <c r="D3411" s="14" t="s">
        <v>3452</v>
      </c>
      <c r="E3411" s="14" t="s">
        <v>46</v>
      </c>
    </row>
    <row r="3412" spans="1:5" x14ac:dyDescent="0.25">
      <c r="A3412" s="36">
        <v>3410</v>
      </c>
      <c r="B3412" s="37">
        <v>1582356498</v>
      </c>
      <c r="C3412" s="38">
        <v>0.73684216418156501</v>
      </c>
      <c r="D3412" s="14" t="s">
        <v>3453</v>
      </c>
      <c r="E3412" s="14" t="s">
        <v>48</v>
      </c>
    </row>
    <row r="3413" spans="1:5" x14ac:dyDescent="0.25">
      <c r="A3413" s="36">
        <v>3411</v>
      </c>
      <c r="B3413" s="37">
        <v>1450561349</v>
      </c>
      <c r="C3413" s="38">
        <v>0.67547026540873123</v>
      </c>
      <c r="D3413" s="14" t="s">
        <v>3454</v>
      </c>
      <c r="E3413" s="14" t="s">
        <v>37</v>
      </c>
    </row>
    <row r="3414" spans="1:5" x14ac:dyDescent="0.25">
      <c r="A3414" s="36">
        <v>3412</v>
      </c>
      <c r="B3414" s="37">
        <v>1322131409</v>
      </c>
      <c r="C3414" s="38">
        <v>0.61566541419162668</v>
      </c>
      <c r="D3414" s="14" t="s">
        <v>3455</v>
      </c>
      <c r="E3414" s="14" t="s">
        <v>40</v>
      </c>
    </row>
    <row r="3415" spans="1:5" x14ac:dyDescent="0.25">
      <c r="A3415" s="36">
        <v>3413</v>
      </c>
      <c r="B3415" s="37">
        <v>2030860818</v>
      </c>
      <c r="C3415" s="38">
        <v>0.94569326329310111</v>
      </c>
      <c r="D3415" s="14" t="s">
        <v>3456</v>
      </c>
      <c r="E3415" s="14" t="s">
        <v>43</v>
      </c>
    </row>
    <row r="3416" spans="1:5" x14ac:dyDescent="0.25">
      <c r="A3416" s="36">
        <v>3414</v>
      </c>
      <c r="B3416" s="37">
        <v>1183733563</v>
      </c>
      <c r="C3416" s="38">
        <v>0.55121889503263821</v>
      </c>
      <c r="D3416" s="14" t="s">
        <v>3457</v>
      </c>
      <c r="E3416" s="14" t="s">
        <v>46</v>
      </c>
    </row>
    <row r="3417" spans="1:5" x14ac:dyDescent="0.25">
      <c r="A3417" s="36">
        <v>3415</v>
      </c>
      <c r="B3417" s="37">
        <v>222028652</v>
      </c>
      <c r="C3417" s="38">
        <v>0.10339014795766685</v>
      </c>
      <c r="D3417" s="14" t="s">
        <v>3458</v>
      </c>
      <c r="E3417" s="14" t="s">
        <v>48</v>
      </c>
    </row>
    <row r="3418" spans="1:5" x14ac:dyDescent="0.25">
      <c r="A3418" s="36">
        <v>3416</v>
      </c>
      <c r="B3418" s="37">
        <v>2057644058</v>
      </c>
      <c r="C3418" s="38">
        <v>0.95816518131558093</v>
      </c>
      <c r="D3418" s="14" t="s">
        <v>3459</v>
      </c>
      <c r="E3418" s="14" t="s">
        <v>37</v>
      </c>
    </row>
    <row r="3419" spans="1:5" x14ac:dyDescent="0.25">
      <c r="A3419" s="36">
        <v>3417</v>
      </c>
      <c r="B3419" s="37">
        <v>795782843</v>
      </c>
      <c r="C3419" s="38">
        <v>0.37056526326135047</v>
      </c>
      <c r="D3419" s="14" t="s">
        <v>3460</v>
      </c>
      <c r="E3419" s="14" t="s">
        <v>40</v>
      </c>
    </row>
    <row r="3420" spans="1:5" x14ac:dyDescent="0.25">
      <c r="A3420" s="36">
        <v>3418</v>
      </c>
      <c r="B3420" s="37">
        <v>1324924493</v>
      </c>
      <c r="C3420" s="38">
        <v>0.61696604528323096</v>
      </c>
      <c r="D3420" s="14" t="s">
        <v>3461</v>
      </c>
      <c r="E3420" s="14" t="s">
        <v>43</v>
      </c>
    </row>
    <row r="3421" spans="1:5" x14ac:dyDescent="0.25">
      <c r="A3421" s="36">
        <v>3419</v>
      </c>
      <c r="B3421" s="37">
        <v>1886910163</v>
      </c>
      <c r="C3421" s="38">
        <v>0.87866101594579449</v>
      </c>
      <c r="D3421" s="14" t="s">
        <v>3462</v>
      </c>
      <c r="E3421" s="14" t="s">
        <v>46</v>
      </c>
    </row>
    <row r="3422" spans="1:5" x14ac:dyDescent="0.25">
      <c r="A3422" s="36">
        <v>3420</v>
      </c>
      <c r="B3422" s="37">
        <v>1502601007</v>
      </c>
      <c r="C3422" s="38">
        <v>0.69970311955535003</v>
      </c>
      <c r="D3422" s="14" t="s">
        <v>3463</v>
      </c>
      <c r="E3422" s="14" t="s">
        <v>48</v>
      </c>
    </row>
    <row r="3423" spans="1:5" x14ac:dyDescent="0.25">
      <c r="A3423" s="36">
        <v>3421</v>
      </c>
      <c r="B3423" s="37">
        <v>1733478467</v>
      </c>
      <c r="C3423" s="38">
        <v>0.80721381483935462</v>
      </c>
      <c r="D3423" s="14" t="s">
        <v>3464</v>
      </c>
      <c r="E3423" s="14" t="s">
        <v>37</v>
      </c>
    </row>
    <row r="3424" spans="1:5" x14ac:dyDescent="0.25">
      <c r="A3424" s="36">
        <v>3422</v>
      </c>
      <c r="B3424" s="37">
        <v>101536082</v>
      </c>
      <c r="C3424" s="38">
        <v>4.7281422674321304E-2</v>
      </c>
      <c r="D3424" s="14" t="s">
        <v>3465</v>
      </c>
      <c r="E3424" s="14" t="s">
        <v>40</v>
      </c>
    </row>
    <row r="3425" spans="1:5" x14ac:dyDescent="0.25">
      <c r="A3425" s="36">
        <v>3423</v>
      </c>
      <c r="B3425" s="37">
        <v>1250292726</v>
      </c>
      <c r="C3425" s="38">
        <v>0.58221292057177654</v>
      </c>
      <c r="D3425" s="14" t="s">
        <v>3466</v>
      </c>
      <c r="E3425" s="14" t="s">
        <v>43</v>
      </c>
    </row>
    <row r="3426" spans="1:5" x14ac:dyDescent="0.25">
      <c r="A3426" s="36">
        <v>3424</v>
      </c>
      <c r="B3426" s="37">
        <v>931472497</v>
      </c>
      <c r="C3426" s="38">
        <v>0.43375068224675517</v>
      </c>
      <c r="D3426" s="14" t="s">
        <v>3467</v>
      </c>
      <c r="E3426" s="14" t="s">
        <v>46</v>
      </c>
    </row>
    <row r="3427" spans="1:5" x14ac:dyDescent="0.25">
      <c r="A3427" s="36">
        <v>3425</v>
      </c>
      <c r="B3427" s="37">
        <v>701159265</v>
      </c>
      <c r="C3427" s="38">
        <v>0.32650272609968795</v>
      </c>
      <c r="D3427" s="14" t="s">
        <v>3468</v>
      </c>
      <c r="E3427" s="14" t="s">
        <v>48</v>
      </c>
    </row>
    <row r="3428" spans="1:5" x14ac:dyDescent="0.25">
      <c r="A3428" s="36">
        <v>3426</v>
      </c>
      <c r="B3428" s="37">
        <v>906875964</v>
      </c>
      <c r="C3428" s="38">
        <v>0.42229702902133437</v>
      </c>
      <c r="D3428" s="14" t="s">
        <v>3469</v>
      </c>
      <c r="E3428" s="14" t="s">
        <v>37</v>
      </c>
    </row>
    <row r="3429" spans="1:5" x14ac:dyDescent="0.25">
      <c r="A3429" s="36">
        <v>3427</v>
      </c>
      <c r="B3429" s="37">
        <v>932797495</v>
      </c>
      <c r="C3429" s="38">
        <v>0.43436768252140268</v>
      </c>
      <c r="D3429" s="14" t="s">
        <v>3470</v>
      </c>
      <c r="E3429" s="14" t="s">
        <v>40</v>
      </c>
    </row>
    <row r="3430" spans="1:5" x14ac:dyDescent="0.25">
      <c r="A3430" s="36">
        <v>3428</v>
      </c>
      <c r="B3430" s="37">
        <v>727749746</v>
      </c>
      <c r="C3430" s="38">
        <v>0.33888488371804582</v>
      </c>
      <c r="D3430" s="14" t="s">
        <v>3471</v>
      </c>
      <c r="E3430" s="14" t="s">
        <v>43</v>
      </c>
    </row>
    <row r="3431" spans="1:5" x14ac:dyDescent="0.25">
      <c r="A3431" s="36">
        <v>3429</v>
      </c>
      <c r="B3431" s="37">
        <v>1789297819</v>
      </c>
      <c r="C3431" s="38">
        <v>0.83320672616046232</v>
      </c>
      <c r="D3431" s="14" t="s">
        <v>3472</v>
      </c>
      <c r="E3431" s="14" t="s">
        <v>46</v>
      </c>
    </row>
    <row r="3432" spans="1:5" x14ac:dyDescent="0.25">
      <c r="A3432" s="36">
        <v>3430</v>
      </c>
      <c r="B3432" s="37">
        <v>1928436427</v>
      </c>
      <c r="C3432" s="38">
        <v>0.89799818950612009</v>
      </c>
      <c r="D3432" s="14" t="s">
        <v>3473</v>
      </c>
      <c r="E3432" s="14" t="s">
        <v>48</v>
      </c>
    </row>
    <row r="3433" spans="1:5" x14ac:dyDescent="0.25">
      <c r="A3433" s="36">
        <v>3431</v>
      </c>
      <c r="B3433" s="37">
        <v>1951039618</v>
      </c>
      <c r="C3433" s="38">
        <v>0.9085236205293441</v>
      </c>
      <c r="D3433" s="14" t="s">
        <v>3474</v>
      </c>
      <c r="E3433" s="14" t="s">
        <v>37</v>
      </c>
    </row>
    <row r="3434" spans="1:5" x14ac:dyDescent="0.25">
      <c r="A3434" s="36">
        <v>3432</v>
      </c>
      <c r="B3434" s="37">
        <v>1614043453</v>
      </c>
      <c r="C3434" s="38">
        <v>0.75159755244459847</v>
      </c>
      <c r="D3434" s="14" t="s">
        <v>3475</v>
      </c>
      <c r="E3434" s="14" t="s">
        <v>40</v>
      </c>
    </row>
    <row r="3435" spans="1:5" x14ac:dyDescent="0.25">
      <c r="A3435" s="36">
        <v>3433</v>
      </c>
      <c r="B3435" s="37">
        <v>833478757</v>
      </c>
      <c r="C3435" s="38">
        <v>0.38811879110900627</v>
      </c>
      <c r="D3435" s="14" t="s">
        <v>3476</v>
      </c>
      <c r="E3435" s="14" t="s">
        <v>43</v>
      </c>
    </row>
    <row r="3436" spans="1:5" x14ac:dyDescent="0.25">
      <c r="A3436" s="36">
        <v>3434</v>
      </c>
      <c r="B3436" s="37">
        <v>1938977297</v>
      </c>
      <c r="C3436" s="38">
        <v>0.90290666460194935</v>
      </c>
      <c r="D3436" s="14" t="s">
        <v>3477</v>
      </c>
      <c r="E3436" s="14" t="s">
        <v>46</v>
      </c>
    </row>
    <row r="3437" spans="1:5" x14ac:dyDescent="0.25">
      <c r="A3437" s="36">
        <v>3435</v>
      </c>
      <c r="B3437" s="37">
        <v>403796731</v>
      </c>
      <c r="C3437" s="38">
        <v>0.18803250565567636</v>
      </c>
      <c r="D3437" s="14" t="s">
        <v>3478</v>
      </c>
      <c r="E3437" s="14" t="s">
        <v>48</v>
      </c>
    </row>
    <row r="3438" spans="1:5" x14ac:dyDescent="0.25">
      <c r="A3438" s="36">
        <v>3436</v>
      </c>
      <c r="B3438" s="37">
        <v>598315703</v>
      </c>
      <c r="C3438" s="38">
        <v>0.27861246060515404</v>
      </c>
      <c r="D3438" s="14" t="s">
        <v>3479</v>
      </c>
      <c r="E3438" s="14" t="s">
        <v>37</v>
      </c>
    </row>
    <row r="3439" spans="1:5" x14ac:dyDescent="0.25">
      <c r="A3439" s="36">
        <v>3437</v>
      </c>
      <c r="B3439" s="37">
        <v>1885758519</v>
      </c>
      <c r="C3439" s="38">
        <v>0.87812473991798456</v>
      </c>
      <c r="D3439" s="14" t="s">
        <v>3480</v>
      </c>
      <c r="E3439" s="14" t="s">
        <v>40</v>
      </c>
    </row>
    <row r="3440" spans="1:5" x14ac:dyDescent="0.25">
      <c r="A3440" s="36">
        <v>3438</v>
      </c>
      <c r="B3440" s="37">
        <v>117785031</v>
      </c>
      <c r="C3440" s="38">
        <v>5.4847929186582531E-2</v>
      </c>
      <c r="D3440" s="14" t="s">
        <v>3481</v>
      </c>
      <c r="E3440" s="14" t="s">
        <v>43</v>
      </c>
    </row>
    <row r="3441" spans="1:5" x14ac:dyDescent="0.25">
      <c r="A3441" s="36">
        <v>3439</v>
      </c>
      <c r="B3441" s="37">
        <v>475592986</v>
      </c>
      <c r="C3441" s="38">
        <v>0.2214652421984194</v>
      </c>
      <c r="D3441" s="14" t="s">
        <v>3482</v>
      </c>
      <c r="E3441" s="14" t="s">
        <v>46</v>
      </c>
    </row>
    <row r="3442" spans="1:5" x14ac:dyDescent="0.25">
      <c r="A3442" s="36">
        <v>3440</v>
      </c>
      <c r="B3442" s="37">
        <v>1942197675</v>
      </c>
      <c r="C3442" s="38">
        <v>0.9044062699677452</v>
      </c>
      <c r="D3442" s="14" t="s">
        <v>3483</v>
      </c>
      <c r="E3442" s="14" t="s">
        <v>48</v>
      </c>
    </row>
    <row r="3443" spans="1:5" x14ac:dyDescent="0.25">
      <c r="A3443" s="36">
        <v>3441</v>
      </c>
      <c r="B3443" s="37">
        <v>684304269</v>
      </c>
      <c r="C3443" s="38">
        <v>0.31865400696110635</v>
      </c>
      <c r="D3443" s="14" t="s">
        <v>3484</v>
      </c>
      <c r="E3443" s="14" t="s">
        <v>37</v>
      </c>
    </row>
    <row r="3444" spans="1:5" x14ac:dyDescent="0.25">
      <c r="A3444" s="36">
        <v>3442</v>
      </c>
      <c r="B3444" s="37">
        <v>71023472</v>
      </c>
      <c r="C3444" s="38">
        <v>3.3072881415985939E-2</v>
      </c>
      <c r="D3444" s="14" t="s">
        <v>3485</v>
      </c>
      <c r="E3444" s="14" t="s">
        <v>40</v>
      </c>
    </row>
    <row r="3445" spans="1:5" x14ac:dyDescent="0.25">
      <c r="A3445" s="36">
        <v>3443</v>
      </c>
      <c r="B3445" s="37">
        <v>236384026</v>
      </c>
      <c r="C3445" s="38">
        <v>0.11007488989740372</v>
      </c>
      <c r="D3445" s="14" t="s">
        <v>3486</v>
      </c>
      <c r="E3445" s="14" t="s">
        <v>43</v>
      </c>
    </row>
    <row r="3446" spans="1:5" x14ac:dyDescent="0.25">
      <c r="A3446" s="36">
        <v>3444</v>
      </c>
      <c r="B3446" s="37">
        <v>1886011239</v>
      </c>
      <c r="C3446" s="38">
        <v>0.87824242183856782</v>
      </c>
      <c r="D3446" s="14" t="s">
        <v>3487</v>
      </c>
      <c r="E3446" s="14" t="s">
        <v>46</v>
      </c>
    </row>
    <row r="3447" spans="1:5" x14ac:dyDescent="0.25">
      <c r="A3447" s="36">
        <v>3445</v>
      </c>
      <c r="B3447" s="37">
        <v>2017231866</v>
      </c>
      <c r="C3447" s="38">
        <v>0.93934678795717041</v>
      </c>
      <c r="D3447" s="14" t="s">
        <v>3488</v>
      </c>
      <c r="E3447" s="14" t="s">
        <v>48</v>
      </c>
    </row>
    <row r="3448" spans="1:5" x14ac:dyDescent="0.25">
      <c r="A3448" s="36">
        <v>3446</v>
      </c>
      <c r="B3448" s="37">
        <v>1469652671</v>
      </c>
      <c r="C3448" s="38">
        <v>0.68436035499179748</v>
      </c>
      <c r="D3448" s="14" t="s">
        <v>3489</v>
      </c>
      <c r="E3448" s="14" t="s">
        <v>37</v>
      </c>
    </row>
    <row r="3449" spans="1:5" x14ac:dyDescent="0.25">
      <c r="A3449" s="36">
        <v>3447</v>
      </c>
      <c r="B3449" s="37">
        <v>841875153</v>
      </c>
      <c r="C3449" s="38">
        <v>0.39202866768093253</v>
      </c>
      <c r="D3449" s="14" t="s">
        <v>3490</v>
      </c>
      <c r="E3449" s="14" t="s">
        <v>40</v>
      </c>
    </row>
    <row r="3450" spans="1:5" x14ac:dyDescent="0.25">
      <c r="A3450" s="36">
        <v>3448</v>
      </c>
      <c r="B3450" s="37">
        <v>2126454521</v>
      </c>
      <c r="C3450" s="38">
        <v>0.99020755011132333</v>
      </c>
      <c r="D3450" s="14" t="s">
        <v>3491</v>
      </c>
      <c r="E3450" s="14" t="s">
        <v>43</v>
      </c>
    </row>
    <row r="3451" spans="1:5" x14ac:dyDescent="0.25">
      <c r="A3451" s="36">
        <v>3449</v>
      </c>
      <c r="B3451" s="37">
        <v>1491395173</v>
      </c>
      <c r="C3451" s="38">
        <v>0.69448499646712325</v>
      </c>
      <c r="D3451" s="14" t="s">
        <v>3492</v>
      </c>
      <c r="E3451" s="14" t="s">
        <v>46</v>
      </c>
    </row>
    <row r="3452" spans="1:5" x14ac:dyDescent="0.25">
      <c r="A3452" s="36">
        <v>3450</v>
      </c>
      <c r="B3452" s="37">
        <v>238113812</v>
      </c>
      <c r="C3452" s="38">
        <v>0.11088038427330571</v>
      </c>
      <c r="D3452" s="14" t="s">
        <v>3493</v>
      </c>
      <c r="E3452" s="14" t="s">
        <v>48</v>
      </c>
    </row>
    <row r="3453" spans="1:5" x14ac:dyDescent="0.25">
      <c r="A3453" s="36">
        <v>3451</v>
      </c>
      <c r="B3453" s="37">
        <v>1382482262</v>
      </c>
      <c r="C3453" s="38">
        <v>0.64376847010281335</v>
      </c>
      <c r="D3453" s="14" t="s">
        <v>3494</v>
      </c>
      <c r="E3453" s="14" t="s">
        <v>37</v>
      </c>
    </row>
    <row r="3454" spans="1:5" x14ac:dyDescent="0.25">
      <c r="A3454" s="36">
        <v>3452</v>
      </c>
      <c r="B3454" s="37">
        <v>396927630</v>
      </c>
      <c r="C3454" s="38">
        <v>0.18483383123987998</v>
      </c>
      <c r="D3454" s="14" t="s">
        <v>3495</v>
      </c>
      <c r="E3454" s="14" t="s">
        <v>40</v>
      </c>
    </row>
    <row r="3455" spans="1:5" x14ac:dyDescent="0.25">
      <c r="A3455" s="36">
        <v>3453</v>
      </c>
      <c r="B3455" s="37">
        <v>10910306</v>
      </c>
      <c r="C3455" s="38">
        <v>5.0805071392471474E-3</v>
      </c>
      <c r="D3455" s="14" t="s">
        <v>3496</v>
      </c>
      <c r="E3455" s="14" t="s">
        <v>43</v>
      </c>
    </row>
    <row r="3456" spans="1:5" x14ac:dyDescent="0.25">
      <c r="A3456" s="36">
        <v>3454</v>
      </c>
      <c r="B3456" s="37">
        <v>221796194</v>
      </c>
      <c r="C3456" s="38">
        <v>0.10328190126609146</v>
      </c>
      <c r="D3456" s="14" t="s">
        <v>3497</v>
      </c>
      <c r="E3456" s="14" t="s">
        <v>46</v>
      </c>
    </row>
    <row r="3457" spans="1:5" x14ac:dyDescent="0.25">
      <c r="A3457" s="36">
        <v>3455</v>
      </c>
      <c r="B3457" s="37">
        <v>1672548068</v>
      </c>
      <c r="C3457" s="38">
        <v>0.77884088679162822</v>
      </c>
      <c r="D3457" s="14" t="s">
        <v>3498</v>
      </c>
      <c r="E3457" s="14" t="s">
        <v>48</v>
      </c>
    </row>
    <row r="3458" spans="1:5" x14ac:dyDescent="0.25">
      <c r="A3458" s="36">
        <v>3456</v>
      </c>
      <c r="B3458" s="37">
        <v>1286821123</v>
      </c>
      <c r="C3458" s="38">
        <v>0.59922278095000558</v>
      </c>
      <c r="D3458" s="14" t="s">
        <v>3499</v>
      </c>
      <c r="E3458" s="14" t="s">
        <v>37</v>
      </c>
    </row>
    <row r="3459" spans="1:5" x14ac:dyDescent="0.25">
      <c r="A3459" s="36">
        <v>3457</v>
      </c>
      <c r="B3459" s="37">
        <v>1656991411</v>
      </c>
      <c r="C3459" s="38">
        <v>0.77159675386342996</v>
      </c>
      <c r="D3459" s="14" t="s">
        <v>3500</v>
      </c>
      <c r="E3459" s="14" t="s">
        <v>40</v>
      </c>
    </row>
    <row r="3460" spans="1:5" x14ac:dyDescent="0.25">
      <c r="A3460" s="36">
        <v>3458</v>
      </c>
      <c r="B3460" s="37">
        <v>1200143724</v>
      </c>
      <c r="C3460" s="38">
        <v>0.55886047173238385</v>
      </c>
      <c r="D3460" s="14" t="s">
        <v>3501</v>
      </c>
      <c r="E3460" s="14" t="s">
        <v>43</v>
      </c>
    </row>
    <row r="3461" spans="1:5" x14ac:dyDescent="0.25">
      <c r="A3461" s="36">
        <v>3459</v>
      </c>
      <c r="B3461" s="37">
        <v>1500760984</v>
      </c>
      <c r="C3461" s="38">
        <v>0.69884629207609517</v>
      </c>
      <c r="D3461" s="14" t="s">
        <v>3502</v>
      </c>
      <c r="E3461" s="14" t="s">
        <v>46</v>
      </c>
    </row>
    <row r="3462" spans="1:5" x14ac:dyDescent="0.25">
      <c r="A3462" s="36">
        <v>3460</v>
      </c>
      <c r="B3462" s="37">
        <v>1280875014</v>
      </c>
      <c r="C3462" s="38">
        <v>0.59645390817730404</v>
      </c>
      <c r="D3462" s="14" t="s">
        <v>3503</v>
      </c>
      <c r="E3462" s="14" t="s">
        <v>48</v>
      </c>
    </row>
    <row r="3463" spans="1:5" x14ac:dyDescent="0.25">
      <c r="A3463" s="36">
        <v>3461</v>
      </c>
      <c r="B3463" s="37">
        <v>1962037209</v>
      </c>
      <c r="C3463" s="38">
        <v>0.91364477291407287</v>
      </c>
      <c r="D3463" s="14" t="s">
        <v>3504</v>
      </c>
      <c r="E3463" s="14" t="s">
        <v>37</v>
      </c>
    </row>
    <row r="3464" spans="1:5" x14ac:dyDescent="0.25">
      <c r="A3464" s="36">
        <v>3462</v>
      </c>
      <c r="B3464" s="37">
        <v>81112053</v>
      </c>
      <c r="C3464" s="38">
        <v>3.7770743033741949E-2</v>
      </c>
      <c r="D3464" s="14" t="s">
        <v>3505</v>
      </c>
      <c r="E3464" s="14" t="s">
        <v>40</v>
      </c>
    </row>
    <row r="3465" spans="1:5" x14ac:dyDescent="0.25">
      <c r="A3465" s="36">
        <v>3463</v>
      </c>
      <c r="B3465" s="37">
        <v>1757037158</v>
      </c>
      <c r="C3465" s="38">
        <v>0.81818418522280834</v>
      </c>
      <c r="D3465" s="14" t="s">
        <v>3506</v>
      </c>
      <c r="E3465" s="14" t="s">
        <v>43</v>
      </c>
    </row>
    <row r="3466" spans="1:5" x14ac:dyDescent="0.25">
      <c r="A3466" s="36">
        <v>3464</v>
      </c>
      <c r="B3466" s="37">
        <v>1080278637</v>
      </c>
      <c r="C3466" s="38">
        <v>0.50304394099071803</v>
      </c>
      <c r="D3466" s="14" t="s">
        <v>3507</v>
      </c>
      <c r="E3466" s="14" t="s">
        <v>46</v>
      </c>
    </row>
    <row r="3467" spans="1:5" x14ac:dyDescent="0.25">
      <c r="A3467" s="36">
        <v>3465</v>
      </c>
      <c r="B3467" s="37">
        <v>1477497785</v>
      </c>
      <c r="C3467" s="38">
        <v>0.68801352087781464</v>
      </c>
      <c r="D3467" s="14" t="s">
        <v>3508</v>
      </c>
      <c r="E3467" s="14" t="s">
        <v>48</v>
      </c>
    </row>
    <row r="3468" spans="1:5" x14ac:dyDescent="0.25">
      <c r="A3468" s="36">
        <v>3466</v>
      </c>
      <c r="B3468" s="37">
        <v>382198596</v>
      </c>
      <c r="C3468" s="38">
        <v>0.17797509030344669</v>
      </c>
      <c r="D3468" s="14" t="s">
        <v>3509</v>
      </c>
      <c r="E3468" s="14" t="s">
        <v>37</v>
      </c>
    </row>
    <row r="3469" spans="1:5" x14ac:dyDescent="0.25">
      <c r="A3469" s="36">
        <v>3467</v>
      </c>
      <c r="B3469" s="37">
        <v>986389255</v>
      </c>
      <c r="C3469" s="38">
        <v>0.45932329048371096</v>
      </c>
      <c r="D3469" s="14" t="s">
        <v>3510</v>
      </c>
      <c r="E3469" s="14" t="s">
        <v>40</v>
      </c>
    </row>
    <row r="3470" spans="1:5" x14ac:dyDescent="0.25">
      <c r="A3470" s="36">
        <v>3468</v>
      </c>
      <c r="B3470" s="37">
        <v>1228851013</v>
      </c>
      <c r="C3470" s="38">
        <v>0.57222834488946406</v>
      </c>
      <c r="D3470" s="14" t="s">
        <v>3511</v>
      </c>
      <c r="E3470" s="14" t="s">
        <v>43</v>
      </c>
    </row>
    <row r="3471" spans="1:5" x14ac:dyDescent="0.25">
      <c r="A3471" s="36">
        <v>3469</v>
      </c>
      <c r="B3471" s="37">
        <v>1842354312</v>
      </c>
      <c r="C3471" s="38">
        <v>0.85791308100238117</v>
      </c>
      <c r="D3471" s="14" t="s">
        <v>3512</v>
      </c>
      <c r="E3471" s="14" t="s">
        <v>46</v>
      </c>
    </row>
    <row r="3472" spans="1:5" x14ac:dyDescent="0.25">
      <c r="A3472" s="36">
        <v>3470</v>
      </c>
      <c r="B3472" s="37">
        <v>522464377</v>
      </c>
      <c r="C3472" s="38">
        <v>0.2432914344795474</v>
      </c>
      <c r="D3472" s="14" t="s">
        <v>3513</v>
      </c>
      <c r="E3472" s="14" t="s">
        <v>48</v>
      </c>
    </row>
    <row r="3473" spans="1:5" x14ac:dyDescent="0.25">
      <c r="A3473" s="36">
        <v>3471</v>
      </c>
      <c r="B3473" s="37">
        <v>315922793</v>
      </c>
      <c r="C3473" s="38">
        <v>0.14711301454674128</v>
      </c>
      <c r="D3473" s="14" t="s">
        <v>3514</v>
      </c>
      <c r="E3473" s="14" t="s">
        <v>37</v>
      </c>
    </row>
    <row r="3474" spans="1:5" x14ac:dyDescent="0.25">
      <c r="A3474" s="36">
        <v>3472</v>
      </c>
      <c r="B3474" s="37">
        <v>1637830717</v>
      </c>
      <c r="C3474" s="38">
        <v>0.7626743604255255</v>
      </c>
      <c r="D3474" s="14" t="s">
        <v>3515</v>
      </c>
      <c r="E3474" s="14" t="s">
        <v>40</v>
      </c>
    </row>
    <row r="3475" spans="1:5" x14ac:dyDescent="0.25">
      <c r="A3475" s="36">
        <v>3473</v>
      </c>
      <c r="B3475" s="37">
        <v>25604971</v>
      </c>
      <c r="C3475" s="38">
        <v>1.1923243762889524E-2</v>
      </c>
      <c r="D3475" s="14" t="s">
        <v>3516</v>
      </c>
      <c r="E3475" s="14" t="s">
        <v>43</v>
      </c>
    </row>
    <row r="3476" spans="1:5" x14ac:dyDescent="0.25">
      <c r="A3476" s="36">
        <v>3474</v>
      </c>
      <c r="B3476" s="37">
        <v>20315989</v>
      </c>
      <c r="C3476" s="38">
        <v>9.4603695950751989E-3</v>
      </c>
      <c r="D3476" s="14" t="s">
        <v>3517</v>
      </c>
      <c r="E3476" s="14" t="s">
        <v>46</v>
      </c>
    </row>
    <row r="3477" spans="1:5" x14ac:dyDescent="0.25">
      <c r="A3477" s="36">
        <v>3475</v>
      </c>
      <c r="B3477" s="37">
        <v>1060505139</v>
      </c>
      <c r="C3477" s="38">
        <v>0.49383618845317334</v>
      </c>
      <c r="D3477" s="14" t="s">
        <v>3518</v>
      </c>
      <c r="E3477" s="14" t="s">
        <v>48</v>
      </c>
    </row>
    <row r="3478" spans="1:5" x14ac:dyDescent="0.25">
      <c r="A3478" s="36">
        <v>3476</v>
      </c>
      <c r="B3478" s="37">
        <v>330113257</v>
      </c>
      <c r="C3478" s="38">
        <v>0.15372096428355247</v>
      </c>
      <c r="D3478" s="14" t="s">
        <v>3519</v>
      </c>
      <c r="E3478" s="14" t="s">
        <v>37</v>
      </c>
    </row>
    <row r="3479" spans="1:5" x14ac:dyDescent="0.25">
      <c r="A3479" s="36">
        <v>3477</v>
      </c>
      <c r="B3479" s="37">
        <v>1847286964</v>
      </c>
      <c r="C3479" s="38">
        <v>0.86021002608361186</v>
      </c>
      <c r="D3479" s="14" t="s">
        <v>3520</v>
      </c>
      <c r="E3479" s="14" t="s">
        <v>40</v>
      </c>
    </row>
    <row r="3480" spans="1:5" x14ac:dyDescent="0.25">
      <c r="A3480" s="36">
        <v>3478</v>
      </c>
      <c r="B3480" s="37">
        <v>1215052196</v>
      </c>
      <c r="C3480" s="38">
        <v>0.56580276999892798</v>
      </c>
      <c r="D3480" s="14" t="s">
        <v>3521</v>
      </c>
      <c r="E3480" s="14" t="s">
        <v>43</v>
      </c>
    </row>
    <row r="3481" spans="1:5" x14ac:dyDescent="0.25">
      <c r="A3481" s="36">
        <v>3479</v>
      </c>
      <c r="B3481" s="37">
        <v>704092052</v>
      </c>
      <c r="C3481" s="38">
        <v>0.32786841147014334</v>
      </c>
      <c r="D3481" s="14" t="s">
        <v>3522</v>
      </c>
      <c r="E3481" s="14" t="s">
        <v>46</v>
      </c>
    </row>
    <row r="3482" spans="1:5" x14ac:dyDescent="0.25">
      <c r="A3482" s="36">
        <v>3480</v>
      </c>
      <c r="B3482" s="37">
        <v>1373827508</v>
      </c>
      <c r="C3482" s="38">
        <v>0.63973828621196482</v>
      </c>
      <c r="D3482" s="14" t="s">
        <v>3523</v>
      </c>
      <c r="E3482" s="14" t="s">
        <v>48</v>
      </c>
    </row>
    <row r="3483" spans="1:5" x14ac:dyDescent="0.25">
      <c r="A3483" s="36">
        <v>3481</v>
      </c>
      <c r="B3483" s="37">
        <v>1810313503</v>
      </c>
      <c r="C3483" s="38">
        <v>0.84299291663011211</v>
      </c>
      <c r="D3483" s="14" t="s">
        <v>3524</v>
      </c>
      <c r="E3483" s="14" t="s">
        <v>37</v>
      </c>
    </row>
    <row r="3484" spans="1:5" x14ac:dyDescent="0.25">
      <c r="A3484" s="36">
        <v>3482</v>
      </c>
      <c r="B3484" s="37">
        <v>551236897</v>
      </c>
      <c r="C3484" s="38">
        <v>0.25668968318807411</v>
      </c>
      <c r="D3484" s="14" t="s">
        <v>3525</v>
      </c>
      <c r="E3484" s="14" t="s">
        <v>40</v>
      </c>
    </row>
    <row r="3485" spans="1:5" x14ac:dyDescent="0.25">
      <c r="A3485" s="36">
        <v>3483</v>
      </c>
      <c r="B3485" s="37">
        <v>1861964046</v>
      </c>
      <c r="C3485" s="38">
        <v>0.86704457498483578</v>
      </c>
      <c r="D3485" s="14" t="s">
        <v>3526</v>
      </c>
      <c r="E3485" s="14" t="s">
        <v>43</v>
      </c>
    </row>
    <row r="3486" spans="1:5" x14ac:dyDescent="0.25">
      <c r="A3486" s="36">
        <v>3484</v>
      </c>
      <c r="B3486" s="37">
        <v>1810999974</v>
      </c>
      <c r="C3486" s="38">
        <v>0.84331257959982031</v>
      </c>
      <c r="D3486" s="14" t="s">
        <v>3527</v>
      </c>
      <c r="E3486" s="14" t="s">
        <v>46</v>
      </c>
    </row>
    <row r="3487" spans="1:5" x14ac:dyDescent="0.25">
      <c r="A3487" s="36">
        <v>3485</v>
      </c>
      <c r="B3487" s="37">
        <v>738077968</v>
      </c>
      <c r="C3487" s="38">
        <v>0.34369433687240553</v>
      </c>
      <c r="D3487" s="14" t="s">
        <v>3528</v>
      </c>
      <c r="E3487" s="14" t="s">
        <v>48</v>
      </c>
    </row>
    <row r="3488" spans="1:5" x14ac:dyDescent="0.25">
      <c r="A3488" s="36">
        <v>3486</v>
      </c>
      <c r="B3488" s="37">
        <v>618944487</v>
      </c>
      <c r="C3488" s="38">
        <v>0.28821848672266048</v>
      </c>
      <c r="D3488" s="14" t="s">
        <v>3529</v>
      </c>
      <c r="E3488" s="14" t="s">
        <v>37</v>
      </c>
    </row>
    <row r="3489" spans="1:5" x14ac:dyDescent="0.25">
      <c r="A3489" s="36">
        <v>3487</v>
      </c>
      <c r="B3489" s="37">
        <v>748930589</v>
      </c>
      <c r="C3489" s="38">
        <v>0.34874798234028181</v>
      </c>
      <c r="D3489" s="14" t="s">
        <v>3530</v>
      </c>
      <c r="E3489" s="14" t="s">
        <v>40</v>
      </c>
    </row>
    <row r="3490" spans="1:5" x14ac:dyDescent="0.25">
      <c r="A3490" s="36">
        <v>3488</v>
      </c>
      <c r="B3490" s="37">
        <v>445475948</v>
      </c>
      <c r="C3490" s="38">
        <v>0.20744090350691272</v>
      </c>
      <c r="D3490" s="14" t="s">
        <v>3531</v>
      </c>
      <c r="E3490" s="14" t="s">
        <v>43</v>
      </c>
    </row>
    <row r="3491" spans="1:5" x14ac:dyDescent="0.25">
      <c r="A3491" s="36">
        <v>3489</v>
      </c>
      <c r="B3491" s="37">
        <v>90292646</v>
      </c>
      <c r="C3491" s="38">
        <v>4.2045789790361089E-2</v>
      </c>
      <c r="D3491" s="14" t="s">
        <v>3532</v>
      </c>
      <c r="E3491" s="14" t="s">
        <v>46</v>
      </c>
    </row>
    <row r="3492" spans="1:5" x14ac:dyDescent="0.25">
      <c r="A3492" s="36">
        <v>3490</v>
      </c>
      <c r="B3492" s="37">
        <v>1589968431</v>
      </c>
      <c r="C3492" s="38">
        <v>0.74038674670289584</v>
      </c>
      <c r="D3492" s="14" t="s">
        <v>3533</v>
      </c>
      <c r="E3492" s="14" t="s">
        <v>48</v>
      </c>
    </row>
    <row r="3493" spans="1:5" x14ac:dyDescent="0.25">
      <c r="A3493" s="36">
        <v>3491</v>
      </c>
      <c r="B3493" s="37">
        <v>1549820874</v>
      </c>
      <c r="C3493" s="38">
        <v>0.72169158361930941</v>
      </c>
      <c r="D3493" s="14" t="s">
        <v>3534</v>
      </c>
      <c r="E3493" s="14" t="s">
        <v>37</v>
      </c>
    </row>
    <row r="3494" spans="1:5" x14ac:dyDescent="0.25">
      <c r="A3494" s="36">
        <v>3492</v>
      </c>
      <c r="B3494" s="37">
        <v>333632795</v>
      </c>
      <c r="C3494" s="38">
        <v>0.15535987688012415</v>
      </c>
      <c r="D3494" s="14" t="s">
        <v>3535</v>
      </c>
      <c r="E3494" s="14" t="s">
        <v>40</v>
      </c>
    </row>
    <row r="3495" spans="1:5" x14ac:dyDescent="0.25">
      <c r="A3495" s="36">
        <v>3493</v>
      </c>
      <c r="B3495" s="37">
        <v>1870887398</v>
      </c>
      <c r="C3495" s="38">
        <v>0.87119983456619077</v>
      </c>
      <c r="D3495" s="14" t="s">
        <v>3536</v>
      </c>
      <c r="E3495" s="14" t="s">
        <v>43</v>
      </c>
    </row>
    <row r="3496" spans="1:5" x14ac:dyDescent="0.25">
      <c r="A3496" s="36">
        <v>3494</v>
      </c>
      <c r="B3496" s="37">
        <v>809101475</v>
      </c>
      <c r="C3496" s="38">
        <v>0.37676723458653655</v>
      </c>
      <c r="D3496" s="14" t="s">
        <v>3537</v>
      </c>
      <c r="E3496" s="14" t="s">
        <v>46</v>
      </c>
    </row>
    <row r="3497" spans="1:5" x14ac:dyDescent="0.25">
      <c r="A3497" s="36">
        <v>3495</v>
      </c>
      <c r="B3497" s="37">
        <v>2047166312</v>
      </c>
      <c r="C3497" s="38">
        <v>0.95328610062286545</v>
      </c>
      <c r="D3497" s="14" t="s">
        <v>3538</v>
      </c>
      <c r="E3497" s="14" t="s">
        <v>48</v>
      </c>
    </row>
    <row r="3498" spans="1:5" x14ac:dyDescent="0.25">
      <c r="A3498" s="36">
        <v>3496</v>
      </c>
      <c r="B3498" s="37">
        <v>40319480</v>
      </c>
      <c r="C3498" s="38">
        <v>1.8775220969121542E-2</v>
      </c>
      <c r="D3498" s="14" t="s">
        <v>3539</v>
      </c>
      <c r="E3498" s="14" t="s">
        <v>37</v>
      </c>
    </row>
    <row r="3499" spans="1:5" x14ac:dyDescent="0.25">
      <c r="A3499" s="36">
        <v>3497</v>
      </c>
      <c r="B3499" s="37">
        <v>637415179</v>
      </c>
      <c r="C3499" s="38">
        <v>0.29681957294085043</v>
      </c>
      <c r="D3499" s="14" t="s">
        <v>3540</v>
      </c>
      <c r="E3499" s="14" t="s">
        <v>40</v>
      </c>
    </row>
    <row r="3500" spans="1:5" x14ac:dyDescent="0.25">
      <c r="A3500" s="36">
        <v>3498</v>
      </c>
      <c r="B3500" s="37">
        <v>154157790</v>
      </c>
      <c r="C3500" s="38">
        <v>7.178531497334377E-2</v>
      </c>
      <c r="D3500" s="14" t="s">
        <v>3541</v>
      </c>
      <c r="E3500" s="14" t="s">
        <v>43</v>
      </c>
    </row>
    <row r="3501" spans="1:5" x14ac:dyDescent="0.25">
      <c r="A3501" s="36">
        <v>3499</v>
      </c>
      <c r="B3501" s="37">
        <v>1983291237</v>
      </c>
      <c r="C3501" s="38">
        <v>0.92354195095763636</v>
      </c>
      <c r="D3501" s="14" t="s">
        <v>3542</v>
      </c>
      <c r="E3501" s="14" t="s">
        <v>46</v>
      </c>
    </row>
    <row r="3502" spans="1:5" x14ac:dyDescent="0.25">
      <c r="A3502" s="36">
        <v>3500</v>
      </c>
      <c r="B3502" s="37">
        <v>296468075</v>
      </c>
      <c r="C3502" s="38">
        <v>0.13805370551443366</v>
      </c>
      <c r="D3502" s="14" t="s">
        <v>3543</v>
      </c>
      <c r="E3502" s="14" t="s">
        <v>48</v>
      </c>
    </row>
    <row r="3503" spans="1:5" x14ac:dyDescent="0.25">
      <c r="A3503" s="36">
        <v>3501</v>
      </c>
      <c r="B3503" s="37">
        <v>679264880</v>
      </c>
      <c r="C3503" s="38">
        <v>0.3163073585910291</v>
      </c>
      <c r="D3503" s="14" t="s">
        <v>3544</v>
      </c>
      <c r="E3503" s="14" t="s">
        <v>37</v>
      </c>
    </row>
    <row r="3504" spans="1:5" x14ac:dyDescent="0.25">
      <c r="A3504" s="36">
        <v>3502</v>
      </c>
      <c r="B3504" s="37">
        <v>2100657076</v>
      </c>
      <c r="C3504" s="38">
        <v>0.97819467865777887</v>
      </c>
      <c r="D3504" s="14" t="s">
        <v>3545</v>
      </c>
      <c r="E3504" s="14" t="s">
        <v>40</v>
      </c>
    </row>
    <row r="3505" spans="1:5" x14ac:dyDescent="0.25">
      <c r="A3505" s="36">
        <v>3503</v>
      </c>
      <c r="B3505" s="37">
        <v>2082261960</v>
      </c>
      <c r="C3505" s="38">
        <v>0.96962878525705487</v>
      </c>
      <c r="D3505" s="14" t="s">
        <v>3546</v>
      </c>
      <c r="E3505" s="14" t="s">
        <v>43</v>
      </c>
    </row>
    <row r="3506" spans="1:5" x14ac:dyDescent="0.25">
      <c r="A3506" s="36">
        <v>3504</v>
      </c>
      <c r="B3506" s="37">
        <v>1773640986</v>
      </c>
      <c r="C3506" s="38">
        <v>0.82591594514712507</v>
      </c>
      <c r="D3506" s="14" t="s">
        <v>3547</v>
      </c>
      <c r="E3506" s="14" t="s">
        <v>46</v>
      </c>
    </row>
    <row r="3507" spans="1:5" x14ac:dyDescent="0.25">
      <c r="A3507" s="36">
        <v>3505</v>
      </c>
      <c r="B3507" s="37">
        <v>452543447</v>
      </c>
      <c r="C3507" s="38">
        <v>0.2107319641908314</v>
      </c>
      <c r="D3507" s="14" t="s">
        <v>3548</v>
      </c>
      <c r="E3507" s="14" t="s">
        <v>48</v>
      </c>
    </row>
    <row r="3508" spans="1:5" x14ac:dyDescent="0.25">
      <c r="A3508" s="36">
        <v>3506</v>
      </c>
      <c r="B3508" s="37">
        <v>203647355</v>
      </c>
      <c r="C3508" s="38">
        <v>9.4830689530275153E-2</v>
      </c>
      <c r="D3508" s="14" t="s">
        <v>3549</v>
      </c>
      <c r="E3508" s="14" t="s">
        <v>37</v>
      </c>
    </row>
    <row r="3509" spans="1:5" x14ac:dyDescent="0.25">
      <c r="A3509" s="36">
        <v>3507</v>
      </c>
      <c r="B3509" s="37">
        <v>1128773942</v>
      </c>
      <c r="C3509" s="38">
        <v>0.52562632715591528</v>
      </c>
      <c r="D3509" s="14" t="s">
        <v>3550</v>
      </c>
      <c r="E3509" s="14" t="s">
        <v>40</v>
      </c>
    </row>
    <row r="3510" spans="1:5" x14ac:dyDescent="0.25">
      <c r="A3510" s="36">
        <v>3508</v>
      </c>
      <c r="B3510" s="37">
        <v>1362245827</v>
      </c>
      <c r="C3510" s="38">
        <v>0.6343451457258058</v>
      </c>
      <c r="D3510" s="14" t="s">
        <v>3551</v>
      </c>
      <c r="E3510" s="14" t="s">
        <v>43</v>
      </c>
    </row>
    <row r="3511" spans="1:5" x14ac:dyDescent="0.25">
      <c r="A3511" s="36">
        <v>3509</v>
      </c>
      <c r="B3511" s="37">
        <v>1773446097</v>
      </c>
      <c r="C3511" s="38">
        <v>0.82582519288446066</v>
      </c>
      <c r="D3511" s="14" t="s">
        <v>3552</v>
      </c>
      <c r="E3511" s="14" t="s">
        <v>46</v>
      </c>
    </row>
    <row r="3512" spans="1:5" x14ac:dyDescent="0.25">
      <c r="A3512" s="36">
        <v>3510</v>
      </c>
      <c r="B3512" s="37">
        <v>324961419</v>
      </c>
      <c r="C3512" s="38">
        <v>0.15132195276735441</v>
      </c>
      <c r="D3512" s="14" t="s">
        <v>3553</v>
      </c>
      <c r="E3512" s="14" t="s">
        <v>48</v>
      </c>
    </row>
    <row r="3513" spans="1:5" x14ac:dyDescent="0.25">
      <c r="A3513" s="36">
        <v>3511</v>
      </c>
      <c r="B3513" s="37">
        <v>1386342485</v>
      </c>
      <c r="C3513" s="38">
        <v>0.64556602651512529</v>
      </c>
      <c r="D3513" s="14" t="s">
        <v>3554</v>
      </c>
      <c r="E3513" s="14" t="s">
        <v>37</v>
      </c>
    </row>
    <row r="3514" spans="1:5" x14ac:dyDescent="0.25">
      <c r="A3514" s="36">
        <v>3512</v>
      </c>
      <c r="B3514" s="37">
        <v>563544881</v>
      </c>
      <c r="C3514" s="38">
        <v>0.26242103486434604</v>
      </c>
      <c r="D3514" s="14" t="s">
        <v>3555</v>
      </c>
      <c r="E3514" s="14" t="s">
        <v>40</v>
      </c>
    </row>
    <row r="3515" spans="1:5" x14ac:dyDescent="0.25">
      <c r="A3515" s="36">
        <v>3513</v>
      </c>
      <c r="B3515" s="37">
        <v>1815039266</v>
      </c>
      <c r="C3515" s="38">
        <v>0.84519352151322813</v>
      </c>
      <c r="D3515" s="14" t="s">
        <v>3556</v>
      </c>
      <c r="E3515" s="14" t="s">
        <v>43</v>
      </c>
    </row>
    <row r="3516" spans="1:5" x14ac:dyDescent="0.25">
      <c r="A3516" s="36">
        <v>3514</v>
      </c>
      <c r="B3516" s="37">
        <v>469295511</v>
      </c>
      <c r="C3516" s="38">
        <v>0.21853275188176555</v>
      </c>
      <c r="D3516" s="14" t="s">
        <v>3557</v>
      </c>
      <c r="E3516" s="14" t="s">
        <v>46</v>
      </c>
    </row>
    <row r="3517" spans="1:5" x14ac:dyDescent="0.25">
      <c r="A3517" s="36">
        <v>3515</v>
      </c>
      <c r="B3517" s="37">
        <v>1505304307</v>
      </c>
      <c r="C3517" s="38">
        <v>0.70096194171391513</v>
      </c>
      <c r="D3517" s="14" t="s">
        <v>3558</v>
      </c>
      <c r="E3517" s="14" t="s">
        <v>48</v>
      </c>
    </row>
    <row r="3518" spans="1:5" x14ac:dyDescent="0.25">
      <c r="A3518" s="36">
        <v>3516</v>
      </c>
      <c r="B3518" s="37">
        <v>318186855</v>
      </c>
      <c r="C3518" s="38">
        <v>0.14816730057269675</v>
      </c>
      <c r="D3518" s="14" t="s">
        <v>3559</v>
      </c>
      <c r="E3518" s="14" t="s">
        <v>37</v>
      </c>
    </row>
    <row r="3519" spans="1:5" x14ac:dyDescent="0.25">
      <c r="A3519" s="36">
        <v>3517</v>
      </c>
      <c r="B3519" s="37">
        <v>1391830782</v>
      </c>
      <c r="C3519" s="38">
        <v>0.64812171396246254</v>
      </c>
      <c r="D3519" s="14" t="s">
        <v>3560</v>
      </c>
      <c r="E3519" s="14" t="s">
        <v>40</v>
      </c>
    </row>
    <row r="3520" spans="1:5" x14ac:dyDescent="0.25">
      <c r="A3520" s="36">
        <v>3518</v>
      </c>
      <c r="B3520" s="37">
        <v>575674468</v>
      </c>
      <c r="C3520" s="38">
        <v>0.26806931396390743</v>
      </c>
      <c r="D3520" s="14" t="s">
        <v>3561</v>
      </c>
      <c r="E3520" s="14" t="s">
        <v>43</v>
      </c>
    </row>
    <row r="3521" spans="1:5" x14ac:dyDescent="0.25">
      <c r="A3521" s="36">
        <v>3519</v>
      </c>
      <c r="B3521" s="37">
        <v>1174591347</v>
      </c>
      <c r="C3521" s="38">
        <v>0.54696171895925039</v>
      </c>
      <c r="D3521" s="14" t="s">
        <v>3562</v>
      </c>
      <c r="E3521" s="14" t="s">
        <v>46</v>
      </c>
    </row>
    <row r="3522" spans="1:5" x14ac:dyDescent="0.25">
      <c r="A3522" s="36">
        <v>3520</v>
      </c>
      <c r="B3522" s="37">
        <v>1991547541</v>
      </c>
      <c r="C3522" s="38">
        <v>0.92738659210847063</v>
      </c>
      <c r="D3522" s="14" t="s">
        <v>3563</v>
      </c>
      <c r="E3522" s="14" t="s">
        <v>48</v>
      </c>
    </row>
    <row r="3523" spans="1:5" x14ac:dyDescent="0.25">
      <c r="A3523" s="36">
        <v>3521</v>
      </c>
      <c r="B3523" s="37">
        <v>1373026522</v>
      </c>
      <c r="C3523" s="38">
        <v>0.6393652980399156</v>
      </c>
      <c r="D3523" s="14" t="s">
        <v>3564</v>
      </c>
      <c r="E3523" s="14" t="s">
        <v>37</v>
      </c>
    </row>
    <row r="3524" spans="1:5" x14ac:dyDescent="0.25">
      <c r="A3524" s="36">
        <v>3522</v>
      </c>
      <c r="B3524" s="37">
        <v>2136436640</v>
      </c>
      <c r="C3524" s="38">
        <v>0.99485583649708698</v>
      </c>
      <c r="D3524" s="14" t="s">
        <v>3565</v>
      </c>
      <c r="E3524" s="14" t="s">
        <v>40</v>
      </c>
    </row>
    <row r="3525" spans="1:5" x14ac:dyDescent="0.25">
      <c r="A3525" s="36">
        <v>3523</v>
      </c>
      <c r="B3525" s="37">
        <v>1897046809</v>
      </c>
      <c r="C3525" s="38">
        <v>0.88338125957333546</v>
      </c>
      <c r="D3525" s="14" t="s">
        <v>3566</v>
      </c>
      <c r="E3525" s="14" t="s">
        <v>43</v>
      </c>
    </row>
    <row r="3526" spans="1:5" x14ac:dyDescent="0.25">
      <c r="A3526" s="36">
        <v>3524</v>
      </c>
      <c r="B3526" s="37">
        <v>1424269678</v>
      </c>
      <c r="C3526" s="38">
        <v>0.66322725203969857</v>
      </c>
      <c r="D3526" s="14" t="s">
        <v>3567</v>
      </c>
      <c r="E3526" s="14" t="s">
        <v>46</v>
      </c>
    </row>
    <row r="3527" spans="1:5" x14ac:dyDescent="0.25">
      <c r="A3527" s="36">
        <v>3525</v>
      </c>
      <c r="B3527" s="37">
        <v>1747702347</v>
      </c>
      <c r="C3527" s="38">
        <v>0.81383732511374973</v>
      </c>
      <c r="D3527" s="14" t="s">
        <v>3568</v>
      </c>
      <c r="E3527" s="14" t="s">
        <v>48</v>
      </c>
    </row>
    <row r="3528" spans="1:5" x14ac:dyDescent="0.25">
      <c r="A3528" s="36">
        <v>3526</v>
      </c>
      <c r="B3528" s="37">
        <v>98184907</v>
      </c>
      <c r="C3528" s="38">
        <v>4.5720910209101115E-2</v>
      </c>
      <c r="D3528" s="14" t="s">
        <v>3569</v>
      </c>
      <c r="E3528" s="14" t="s">
        <v>37</v>
      </c>
    </row>
    <row r="3529" spans="1:5" x14ac:dyDescent="0.25">
      <c r="A3529" s="36">
        <v>3527</v>
      </c>
      <c r="B3529" s="37">
        <v>150757110</v>
      </c>
      <c r="C3529" s="38">
        <v>7.0201749946084691E-2</v>
      </c>
      <c r="D3529" s="14" t="s">
        <v>3570</v>
      </c>
      <c r="E3529" s="14" t="s">
        <v>40</v>
      </c>
    </row>
    <row r="3530" spans="1:5" x14ac:dyDescent="0.25">
      <c r="A3530" s="36">
        <v>3528</v>
      </c>
      <c r="B3530" s="37">
        <v>85824082</v>
      </c>
      <c r="C3530" s="38">
        <v>3.9964952524735108E-2</v>
      </c>
      <c r="D3530" s="14" t="s">
        <v>3571</v>
      </c>
      <c r="E3530" s="14" t="s">
        <v>43</v>
      </c>
    </row>
    <row r="3531" spans="1:5" x14ac:dyDescent="0.25">
      <c r="A3531" s="36">
        <v>3529</v>
      </c>
      <c r="B3531" s="37">
        <v>289345892</v>
      </c>
      <c r="C3531" s="38">
        <v>0.13473718060866799</v>
      </c>
      <c r="D3531" s="14" t="s">
        <v>3572</v>
      </c>
      <c r="E3531" s="14" t="s">
        <v>46</v>
      </c>
    </row>
    <row r="3532" spans="1:5" x14ac:dyDescent="0.25">
      <c r="A3532" s="36">
        <v>3530</v>
      </c>
      <c r="B3532" s="37">
        <v>1884821892</v>
      </c>
      <c r="C3532" s="38">
        <v>0.87768858898323432</v>
      </c>
      <c r="D3532" s="14" t="s">
        <v>3573</v>
      </c>
      <c r="E3532" s="14" t="s">
        <v>48</v>
      </c>
    </row>
    <row r="3533" spans="1:5" x14ac:dyDescent="0.25">
      <c r="A3533" s="36">
        <v>3531</v>
      </c>
      <c r="B3533" s="37">
        <v>151855578</v>
      </c>
      <c r="C3533" s="38">
        <v>7.0713263969269233E-2</v>
      </c>
      <c r="D3533" s="14" t="s">
        <v>3574</v>
      </c>
      <c r="E3533" s="14" t="s">
        <v>37</v>
      </c>
    </row>
    <row r="3534" spans="1:5" x14ac:dyDescent="0.25">
      <c r="A3534" s="36">
        <v>3532</v>
      </c>
      <c r="B3534" s="37">
        <v>1004688185</v>
      </c>
      <c r="C3534" s="38">
        <v>0.4678443937878331</v>
      </c>
      <c r="D3534" s="14" t="s">
        <v>3575</v>
      </c>
      <c r="E3534" s="14" t="s">
        <v>40</v>
      </c>
    </row>
    <row r="3535" spans="1:5" x14ac:dyDescent="0.25">
      <c r="A3535" s="36">
        <v>3533</v>
      </c>
      <c r="B3535" s="37">
        <v>347260215</v>
      </c>
      <c r="C3535" s="38">
        <v>0.16170563882296235</v>
      </c>
      <c r="D3535" s="14" t="s">
        <v>3576</v>
      </c>
      <c r="E3535" s="14" t="s">
        <v>43</v>
      </c>
    </row>
    <row r="3536" spans="1:5" x14ac:dyDescent="0.25">
      <c r="A3536" s="36">
        <v>3534</v>
      </c>
      <c r="B3536" s="37">
        <v>1182399637</v>
      </c>
      <c r="C3536" s="38">
        <v>0.55059773733401562</v>
      </c>
      <c r="D3536" s="14" t="s">
        <v>3577</v>
      </c>
      <c r="E3536" s="14" t="s">
        <v>46</v>
      </c>
    </row>
    <row r="3537" spans="1:5" x14ac:dyDescent="0.25">
      <c r="A3537" s="36">
        <v>3535</v>
      </c>
      <c r="B3537" s="37">
        <v>366944500</v>
      </c>
      <c r="C3537" s="38">
        <v>0.17087184832006314</v>
      </c>
      <c r="D3537" s="14" t="s">
        <v>3578</v>
      </c>
      <c r="E3537" s="14" t="s">
        <v>48</v>
      </c>
    </row>
    <row r="3538" spans="1:5" x14ac:dyDescent="0.25">
      <c r="A3538" s="36">
        <v>3536</v>
      </c>
      <c r="B3538" s="37">
        <v>2008886983</v>
      </c>
      <c r="C3538" s="38">
        <v>0.93546089899514839</v>
      </c>
      <c r="D3538" s="14" t="s">
        <v>3579</v>
      </c>
      <c r="E3538" s="14" t="s">
        <v>37</v>
      </c>
    </row>
    <row r="3539" spans="1:5" x14ac:dyDescent="0.25">
      <c r="A3539" s="36">
        <v>3537</v>
      </c>
      <c r="B3539" s="37">
        <v>1127505892</v>
      </c>
      <c r="C3539" s="38">
        <v>0.5250358453602697</v>
      </c>
      <c r="D3539" s="14" t="s">
        <v>3580</v>
      </c>
      <c r="E3539" s="14" t="s">
        <v>40</v>
      </c>
    </row>
    <row r="3540" spans="1:5" x14ac:dyDescent="0.25">
      <c r="A3540" s="36">
        <v>3538</v>
      </c>
      <c r="B3540" s="37">
        <v>1637744578</v>
      </c>
      <c r="C3540" s="38">
        <v>0.76263424882787945</v>
      </c>
      <c r="D3540" s="14" t="s">
        <v>3581</v>
      </c>
      <c r="E3540" s="14" t="s">
        <v>43</v>
      </c>
    </row>
    <row r="3541" spans="1:5" x14ac:dyDescent="0.25">
      <c r="A3541" s="36">
        <v>3539</v>
      </c>
      <c r="B3541" s="37">
        <v>526490345</v>
      </c>
      <c r="C3541" s="38">
        <v>0.24516617192196016</v>
      </c>
      <c r="D3541" s="14" t="s">
        <v>3582</v>
      </c>
      <c r="E3541" s="14" t="s">
        <v>46</v>
      </c>
    </row>
    <row r="3542" spans="1:5" x14ac:dyDescent="0.25">
      <c r="A3542" s="36">
        <v>3540</v>
      </c>
      <c r="B3542" s="37">
        <v>1491329353</v>
      </c>
      <c r="C3542" s="38">
        <v>0.69445434664117844</v>
      </c>
      <c r="D3542" s="14" t="s">
        <v>3583</v>
      </c>
      <c r="E3542" s="14" t="s">
        <v>48</v>
      </c>
    </row>
    <row r="3543" spans="1:5" x14ac:dyDescent="0.25">
      <c r="A3543" s="36">
        <v>3541</v>
      </c>
      <c r="B3543" s="37">
        <v>200744309</v>
      </c>
      <c r="C3543" s="38">
        <v>9.3478853392172073E-2</v>
      </c>
      <c r="D3543" s="14" t="s">
        <v>3584</v>
      </c>
      <c r="E3543" s="14" t="s">
        <v>37</v>
      </c>
    </row>
    <row r="3544" spans="1:5" x14ac:dyDescent="0.25">
      <c r="A3544" s="36">
        <v>3542</v>
      </c>
      <c r="B3544" s="37">
        <v>774336542</v>
      </c>
      <c r="C3544" s="38">
        <v>0.36057855112505077</v>
      </c>
      <c r="D3544" s="14" t="s">
        <v>3585</v>
      </c>
      <c r="E3544" s="14" t="s">
        <v>40</v>
      </c>
    </row>
    <row r="3545" spans="1:5" x14ac:dyDescent="0.25">
      <c r="A3545" s="36">
        <v>3543</v>
      </c>
      <c r="B3545" s="37">
        <v>1041416549</v>
      </c>
      <c r="C3545" s="38">
        <v>0.48494737105674451</v>
      </c>
      <c r="D3545" s="14" t="s">
        <v>3586</v>
      </c>
      <c r="E3545" s="14" t="s">
        <v>43</v>
      </c>
    </row>
    <row r="3546" spans="1:5" x14ac:dyDescent="0.25">
      <c r="A3546" s="36">
        <v>3544</v>
      </c>
      <c r="B3546" s="37">
        <v>1062884519</v>
      </c>
      <c r="C3546" s="38">
        <v>0.49494417360748361</v>
      </c>
      <c r="D3546" s="14" t="s">
        <v>3587</v>
      </c>
      <c r="E3546" s="14" t="s">
        <v>46</v>
      </c>
    </row>
    <row r="3547" spans="1:5" x14ac:dyDescent="0.25">
      <c r="A3547" s="36">
        <v>3545</v>
      </c>
      <c r="B3547" s="37">
        <v>907762689</v>
      </c>
      <c r="C3547" s="38">
        <v>0.42270994252651461</v>
      </c>
      <c r="D3547" s="14" t="s">
        <v>3588</v>
      </c>
      <c r="E3547" s="14" t="s">
        <v>48</v>
      </c>
    </row>
    <row r="3548" spans="1:5" x14ac:dyDescent="0.25">
      <c r="A3548" s="36">
        <v>3546</v>
      </c>
      <c r="B3548" s="37">
        <v>1587462631</v>
      </c>
      <c r="C3548" s="38">
        <v>0.73921989264861676</v>
      </c>
      <c r="D3548" s="14" t="s">
        <v>3589</v>
      </c>
      <c r="E3548" s="14" t="s">
        <v>37</v>
      </c>
    </row>
    <row r="3549" spans="1:5" x14ac:dyDescent="0.25">
      <c r="A3549" s="36">
        <v>3547</v>
      </c>
      <c r="B3549" s="37">
        <v>996318348</v>
      </c>
      <c r="C3549" s="38">
        <v>0.46394688471404227</v>
      </c>
      <c r="D3549" s="14" t="s">
        <v>3590</v>
      </c>
      <c r="E3549" s="14" t="s">
        <v>40</v>
      </c>
    </row>
    <row r="3550" spans="1:5" x14ac:dyDescent="0.25">
      <c r="A3550" s="36">
        <v>3548</v>
      </c>
      <c r="B3550" s="37">
        <v>1418229526</v>
      </c>
      <c r="C3550" s="38">
        <v>0.66041458708253442</v>
      </c>
      <c r="D3550" s="14" t="s">
        <v>3591</v>
      </c>
      <c r="E3550" s="14" t="s">
        <v>43</v>
      </c>
    </row>
    <row r="3551" spans="1:5" x14ac:dyDescent="0.25">
      <c r="A3551" s="36">
        <v>3549</v>
      </c>
      <c r="B3551" s="37">
        <v>134646154</v>
      </c>
      <c r="C3551" s="38">
        <v>6.2699501431872834E-2</v>
      </c>
      <c r="D3551" s="14" t="s">
        <v>3592</v>
      </c>
      <c r="E3551" s="14" t="s">
        <v>46</v>
      </c>
    </row>
    <row r="3552" spans="1:5" x14ac:dyDescent="0.25">
      <c r="A3552" s="36">
        <v>3550</v>
      </c>
      <c r="B3552" s="37">
        <v>772571918</v>
      </c>
      <c r="C3552" s="38">
        <v>0.359756834041214</v>
      </c>
      <c r="D3552" s="14" t="s">
        <v>3593</v>
      </c>
      <c r="E3552" s="14" t="s">
        <v>48</v>
      </c>
    </row>
    <row r="3553" spans="1:5" x14ac:dyDescent="0.25">
      <c r="A3553" s="36">
        <v>3551</v>
      </c>
      <c r="B3553" s="37">
        <v>1538282045</v>
      </c>
      <c r="C3553" s="38">
        <v>0.71631839765064342</v>
      </c>
      <c r="D3553" s="14" t="s">
        <v>3594</v>
      </c>
      <c r="E3553" s="14" t="s">
        <v>37</v>
      </c>
    </row>
    <row r="3554" spans="1:5" x14ac:dyDescent="0.25">
      <c r="A3554" s="36">
        <v>3552</v>
      </c>
      <c r="B3554" s="37">
        <v>758030338</v>
      </c>
      <c r="C3554" s="38">
        <v>0.35298538317577233</v>
      </c>
      <c r="D3554" s="14" t="s">
        <v>3595</v>
      </c>
      <c r="E3554" s="14" t="s">
        <v>40</v>
      </c>
    </row>
    <row r="3555" spans="1:5" x14ac:dyDescent="0.25">
      <c r="A3555" s="36">
        <v>3553</v>
      </c>
      <c r="B3555" s="37">
        <v>1003017882</v>
      </c>
      <c r="C3555" s="38">
        <v>0.46706659834229697</v>
      </c>
      <c r="D3555" s="14" t="s">
        <v>3596</v>
      </c>
      <c r="E3555" s="14" t="s">
        <v>43</v>
      </c>
    </row>
    <row r="3556" spans="1:5" x14ac:dyDescent="0.25">
      <c r="A3556" s="36">
        <v>3554</v>
      </c>
      <c r="B3556" s="37">
        <v>1077482005</v>
      </c>
      <c r="C3556" s="38">
        <v>0.50174165773286561</v>
      </c>
      <c r="D3556" s="14" t="s">
        <v>3597</v>
      </c>
      <c r="E3556" s="14" t="s">
        <v>46</v>
      </c>
    </row>
    <row r="3557" spans="1:5" x14ac:dyDescent="0.25">
      <c r="A3557" s="36">
        <v>3555</v>
      </c>
      <c r="B3557" s="37">
        <v>10681034</v>
      </c>
      <c r="C3557" s="38">
        <v>4.973744044533812E-3</v>
      </c>
      <c r="D3557" s="14" t="s">
        <v>3598</v>
      </c>
      <c r="E3557" s="14" t="s">
        <v>48</v>
      </c>
    </row>
    <row r="3558" spans="1:5" x14ac:dyDescent="0.25">
      <c r="A3558" s="36">
        <v>3556</v>
      </c>
      <c r="B3558" s="37">
        <v>844909560</v>
      </c>
      <c r="C3558" s="38">
        <v>0.39344167355142612</v>
      </c>
      <c r="D3558" s="14" t="s">
        <v>3599</v>
      </c>
      <c r="E3558" s="14" t="s">
        <v>37</v>
      </c>
    </row>
    <row r="3559" spans="1:5" x14ac:dyDescent="0.25">
      <c r="A3559" s="36">
        <v>3557</v>
      </c>
      <c r="B3559" s="37">
        <v>2091228452</v>
      </c>
      <c r="C3559" s="38">
        <v>0.97380413346635375</v>
      </c>
      <c r="D3559" s="14" t="s">
        <v>3600</v>
      </c>
      <c r="E3559" s="14" t="s">
        <v>40</v>
      </c>
    </row>
    <row r="3560" spans="1:5" x14ac:dyDescent="0.25">
      <c r="A3560" s="36">
        <v>3558</v>
      </c>
      <c r="B3560" s="37">
        <v>1712390636</v>
      </c>
      <c r="C3560" s="38">
        <v>0.79739402830479389</v>
      </c>
      <c r="D3560" s="14" t="s">
        <v>3601</v>
      </c>
      <c r="E3560" s="14" t="s">
        <v>43</v>
      </c>
    </row>
    <row r="3561" spans="1:5" x14ac:dyDescent="0.25">
      <c r="A3561" s="36">
        <v>3559</v>
      </c>
      <c r="B3561" s="37">
        <v>1647334669</v>
      </c>
      <c r="C3561" s="38">
        <v>0.76709998295041737</v>
      </c>
      <c r="D3561" s="14" t="s">
        <v>3602</v>
      </c>
      <c r="E3561" s="14" t="s">
        <v>46</v>
      </c>
    </row>
    <row r="3562" spans="1:5" x14ac:dyDescent="0.25">
      <c r="A3562" s="36">
        <v>3560</v>
      </c>
      <c r="B3562" s="37">
        <v>1226763969</v>
      </c>
      <c r="C3562" s="38">
        <v>0.57125648929330353</v>
      </c>
      <c r="D3562" s="14" t="s">
        <v>3603</v>
      </c>
      <c r="E3562" s="14" t="s">
        <v>48</v>
      </c>
    </row>
    <row r="3563" spans="1:5" x14ac:dyDescent="0.25">
      <c r="A3563" s="36">
        <v>3561</v>
      </c>
      <c r="B3563" s="37">
        <v>386497411</v>
      </c>
      <c r="C3563" s="38">
        <v>0.17997688203117665</v>
      </c>
      <c r="D3563" s="14" t="s">
        <v>3604</v>
      </c>
      <c r="E3563" s="14" t="s">
        <v>37</v>
      </c>
    </row>
    <row r="3564" spans="1:5" x14ac:dyDescent="0.25">
      <c r="A3564" s="36">
        <v>3562</v>
      </c>
      <c r="B3564" s="37">
        <v>1055915326</v>
      </c>
      <c r="C3564" s="38">
        <v>0.49169889022209629</v>
      </c>
      <c r="D3564" s="14" t="s">
        <v>3605</v>
      </c>
      <c r="E3564" s="14" t="s">
        <v>40</v>
      </c>
    </row>
    <row r="3565" spans="1:5" x14ac:dyDescent="0.25">
      <c r="A3565" s="36">
        <v>3563</v>
      </c>
      <c r="B3565" s="37">
        <v>1218445458</v>
      </c>
      <c r="C3565" s="38">
        <v>0.56738288075075616</v>
      </c>
      <c r="D3565" s="14" t="s">
        <v>3606</v>
      </c>
      <c r="E3565" s="14" t="s">
        <v>43</v>
      </c>
    </row>
    <row r="3566" spans="1:5" x14ac:dyDescent="0.25">
      <c r="A3566" s="36">
        <v>3564</v>
      </c>
      <c r="B3566" s="37">
        <v>991530992</v>
      </c>
      <c r="C3566" s="38">
        <v>0.46171759835524373</v>
      </c>
      <c r="D3566" s="14" t="s">
        <v>3607</v>
      </c>
      <c r="E3566" s="14" t="s">
        <v>46</v>
      </c>
    </row>
    <row r="3567" spans="1:5" x14ac:dyDescent="0.25">
      <c r="A3567" s="36">
        <v>3565</v>
      </c>
      <c r="B3567" s="37">
        <v>2056297643</v>
      </c>
      <c r="C3567" s="38">
        <v>0.95753820797313849</v>
      </c>
      <c r="D3567" s="14" t="s">
        <v>3608</v>
      </c>
      <c r="E3567" s="14" t="s">
        <v>48</v>
      </c>
    </row>
    <row r="3568" spans="1:5" x14ac:dyDescent="0.25">
      <c r="A3568" s="36">
        <v>3566</v>
      </c>
      <c r="B3568" s="37">
        <v>1627282436</v>
      </c>
      <c r="C3568" s="38">
        <v>0.75776243431389445</v>
      </c>
      <c r="D3568" s="14" t="s">
        <v>3609</v>
      </c>
      <c r="E3568" s="14" t="s">
        <v>37</v>
      </c>
    </row>
    <row r="3569" spans="1:5" x14ac:dyDescent="0.25">
      <c r="A3569" s="36">
        <v>3567</v>
      </c>
      <c r="B3569" s="37">
        <v>2121954965</v>
      </c>
      <c r="C3569" s="38">
        <v>0.98811228107107441</v>
      </c>
      <c r="D3569" s="14" t="s">
        <v>3610</v>
      </c>
      <c r="E3569" s="14" t="s">
        <v>40</v>
      </c>
    </row>
    <row r="3570" spans="1:5" x14ac:dyDescent="0.25">
      <c r="A3570" s="36">
        <v>3568</v>
      </c>
      <c r="B3570" s="37">
        <v>143421362</v>
      </c>
      <c r="C3570" s="38">
        <v>6.6785776087448831E-2</v>
      </c>
      <c r="D3570" s="14" t="s">
        <v>3611</v>
      </c>
      <c r="E3570" s="14" t="s">
        <v>43</v>
      </c>
    </row>
    <row r="3571" spans="1:5" x14ac:dyDescent="0.25">
      <c r="A3571" s="36">
        <v>3569</v>
      </c>
      <c r="B3571" s="37">
        <v>141901224</v>
      </c>
      <c r="C3571" s="38">
        <v>6.6077906669153794E-2</v>
      </c>
      <c r="D3571" s="14" t="s">
        <v>3612</v>
      </c>
      <c r="E3571" s="14" t="s">
        <v>46</v>
      </c>
    </row>
    <row r="3572" spans="1:5" x14ac:dyDescent="0.25">
      <c r="A3572" s="36">
        <v>3570</v>
      </c>
      <c r="B3572" s="37">
        <v>1717416587</v>
      </c>
      <c r="C3572" s="38">
        <v>0.7997344191184893</v>
      </c>
      <c r="D3572" s="14" t="s">
        <v>3613</v>
      </c>
      <c r="E3572" s="14" t="s">
        <v>48</v>
      </c>
    </row>
    <row r="3573" spans="1:5" x14ac:dyDescent="0.25">
      <c r="A3573" s="36">
        <v>3571</v>
      </c>
      <c r="B3573" s="37">
        <v>872134232</v>
      </c>
      <c r="C3573" s="38">
        <v>0.40611914936738047</v>
      </c>
      <c r="D3573" s="14" t="s">
        <v>3614</v>
      </c>
      <c r="E3573" s="14" t="s">
        <v>37</v>
      </c>
    </row>
    <row r="3574" spans="1:5" x14ac:dyDescent="0.25">
      <c r="A3574" s="36">
        <v>3572</v>
      </c>
      <c r="B3574" s="37">
        <v>2038470258</v>
      </c>
      <c r="C3574" s="38">
        <v>0.94923668492084212</v>
      </c>
      <c r="D3574" s="14" t="s">
        <v>3615</v>
      </c>
      <c r="E3574" s="14" t="s">
        <v>40</v>
      </c>
    </row>
    <row r="3575" spans="1:5" x14ac:dyDescent="0.25">
      <c r="A3575" s="36">
        <v>3573</v>
      </c>
      <c r="B3575" s="37">
        <v>1428299557</v>
      </c>
      <c r="C3575" s="38">
        <v>0.66510381068340685</v>
      </c>
      <c r="D3575" s="14" t="s">
        <v>3616</v>
      </c>
      <c r="E3575" s="14" t="s">
        <v>43</v>
      </c>
    </row>
    <row r="3576" spans="1:5" x14ac:dyDescent="0.25">
      <c r="A3576" s="36">
        <v>3574</v>
      </c>
      <c r="B3576" s="37">
        <v>843131594</v>
      </c>
      <c r="C3576" s="38">
        <v>0.3926137436146912</v>
      </c>
      <c r="D3576" s="14" t="s">
        <v>3617</v>
      </c>
      <c r="E3576" s="14" t="s">
        <v>46</v>
      </c>
    </row>
    <row r="3577" spans="1:5" x14ac:dyDescent="0.25">
      <c r="A3577" s="36">
        <v>3575</v>
      </c>
      <c r="B3577" s="37">
        <v>1854837868</v>
      </c>
      <c r="C3577" s="38">
        <v>0.86372618976222637</v>
      </c>
      <c r="D3577" s="14" t="s">
        <v>3618</v>
      </c>
      <c r="E3577" s="14" t="s">
        <v>48</v>
      </c>
    </row>
    <row r="3578" spans="1:5" x14ac:dyDescent="0.25">
      <c r="A3578" s="36">
        <v>3576</v>
      </c>
      <c r="B3578" s="37">
        <v>661746905</v>
      </c>
      <c r="C3578" s="38">
        <v>0.30814991579770573</v>
      </c>
      <c r="D3578" s="14" t="s">
        <v>3619</v>
      </c>
      <c r="E3578" s="14" t="s">
        <v>37</v>
      </c>
    </row>
    <row r="3579" spans="1:5" x14ac:dyDescent="0.25">
      <c r="A3579" s="36">
        <v>3577</v>
      </c>
      <c r="B3579" s="37">
        <v>1526279167</v>
      </c>
      <c r="C3579" s="38">
        <v>0.71072912202716299</v>
      </c>
      <c r="D3579" s="14" t="s">
        <v>3620</v>
      </c>
      <c r="E3579" s="14" t="s">
        <v>40</v>
      </c>
    </row>
    <row r="3580" spans="1:5" x14ac:dyDescent="0.25">
      <c r="A3580" s="36">
        <v>3578</v>
      </c>
      <c r="B3580" s="37">
        <v>1855379076</v>
      </c>
      <c r="C3580" s="38">
        <v>0.86397820937632497</v>
      </c>
      <c r="D3580" s="14" t="s">
        <v>3621</v>
      </c>
      <c r="E3580" s="14" t="s">
        <v>43</v>
      </c>
    </row>
    <row r="3581" spans="1:5" x14ac:dyDescent="0.25">
      <c r="A3581" s="36">
        <v>3579</v>
      </c>
      <c r="B3581" s="37">
        <v>1720345012</v>
      </c>
      <c r="C3581" s="38">
        <v>0.80109807327440852</v>
      </c>
      <c r="D3581" s="14" t="s">
        <v>3622</v>
      </c>
      <c r="E3581" s="14" t="s">
        <v>46</v>
      </c>
    </row>
    <row r="3582" spans="1:5" x14ac:dyDescent="0.25">
      <c r="A3582" s="36">
        <v>3580</v>
      </c>
      <c r="B3582" s="37">
        <v>520878667</v>
      </c>
      <c r="C3582" s="38">
        <v>0.24255303071930681</v>
      </c>
      <c r="D3582" s="14" t="s">
        <v>3623</v>
      </c>
      <c r="E3582" s="14" t="s">
        <v>48</v>
      </c>
    </row>
    <row r="3583" spans="1:5" x14ac:dyDescent="0.25">
      <c r="A3583" s="36">
        <v>3581</v>
      </c>
      <c r="B3583" s="37">
        <v>119387206</v>
      </c>
      <c r="C3583" s="38">
        <v>5.5594000059922224E-2</v>
      </c>
      <c r="D3583" s="14" t="s">
        <v>3624</v>
      </c>
      <c r="E3583" s="14" t="s">
        <v>37</v>
      </c>
    </row>
    <row r="3584" spans="1:5" x14ac:dyDescent="0.25">
      <c r="A3584" s="36">
        <v>3582</v>
      </c>
      <c r="B3584" s="37">
        <v>161245287</v>
      </c>
      <c r="C3584" s="38">
        <v>7.5085687951690377E-2</v>
      </c>
      <c r="D3584" s="14" t="s">
        <v>3625</v>
      </c>
      <c r="E3584" s="14" t="s">
        <v>40</v>
      </c>
    </row>
    <row r="3585" spans="1:5" x14ac:dyDescent="0.25">
      <c r="A3585" s="36">
        <v>3583</v>
      </c>
      <c r="B3585" s="37">
        <v>1024078544</v>
      </c>
      <c r="C3585" s="38">
        <v>0.47687373332533695</v>
      </c>
      <c r="D3585" s="14" t="s">
        <v>3626</v>
      </c>
      <c r="E3585" s="14" t="s">
        <v>43</v>
      </c>
    </row>
    <row r="3586" spans="1:5" x14ac:dyDescent="0.25">
      <c r="A3586" s="36">
        <v>3584</v>
      </c>
      <c r="B3586" s="37">
        <v>1552843927</v>
      </c>
      <c r="C3586" s="38">
        <v>0.72309930237154441</v>
      </c>
      <c r="D3586" s="14" t="s">
        <v>3627</v>
      </c>
      <c r="E3586" s="14" t="s">
        <v>46</v>
      </c>
    </row>
    <row r="3587" spans="1:5" x14ac:dyDescent="0.25">
      <c r="A3587" s="36">
        <v>3585</v>
      </c>
      <c r="B3587" s="37">
        <v>726742699</v>
      </c>
      <c r="C3587" s="38">
        <v>0.33841594091542809</v>
      </c>
      <c r="D3587" s="14" t="s">
        <v>3628</v>
      </c>
      <c r="E3587" s="14" t="s">
        <v>48</v>
      </c>
    </row>
    <row r="3588" spans="1:5" x14ac:dyDescent="0.25">
      <c r="A3588" s="36">
        <v>3586</v>
      </c>
      <c r="B3588" s="37">
        <v>571634804</v>
      </c>
      <c r="C3588" s="38">
        <v>0.26618819882450073</v>
      </c>
      <c r="D3588" s="14" t="s">
        <v>3629</v>
      </c>
      <c r="E3588" s="14" t="s">
        <v>37</v>
      </c>
    </row>
    <row r="3589" spans="1:5" x14ac:dyDescent="0.25">
      <c r="A3589" s="36">
        <v>3587</v>
      </c>
      <c r="B3589" s="37">
        <v>824170504</v>
      </c>
      <c r="C3589" s="38">
        <v>0.38378429803242176</v>
      </c>
      <c r="D3589" s="14" t="s">
        <v>3630</v>
      </c>
      <c r="E3589" s="14" t="s">
        <v>40</v>
      </c>
    </row>
    <row r="3590" spans="1:5" x14ac:dyDescent="0.25">
      <c r="A3590" s="36">
        <v>3588</v>
      </c>
      <c r="B3590" s="37">
        <v>66181930</v>
      </c>
      <c r="C3590" s="38">
        <v>3.0818362734661608E-2</v>
      </c>
      <c r="D3590" s="14" t="s">
        <v>3631</v>
      </c>
      <c r="E3590" s="14" t="s">
        <v>43</v>
      </c>
    </row>
    <row r="3591" spans="1:5" x14ac:dyDescent="0.25">
      <c r="A3591" s="36">
        <v>3589</v>
      </c>
      <c r="B3591" s="37">
        <v>874813667</v>
      </c>
      <c r="C3591" s="38">
        <v>0.40736685851931892</v>
      </c>
      <c r="D3591" s="14" t="s">
        <v>3632</v>
      </c>
      <c r="E3591" s="14" t="s">
        <v>46</v>
      </c>
    </row>
    <row r="3592" spans="1:5" x14ac:dyDescent="0.25">
      <c r="A3592" s="36">
        <v>3590</v>
      </c>
      <c r="B3592" s="37">
        <v>1701478814</v>
      </c>
      <c r="C3592" s="38">
        <v>0.79231281522303487</v>
      </c>
      <c r="D3592" s="14" t="s">
        <v>3633</v>
      </c>
      <c r="E3592" s="14" t="s">
        <v>48</v>
      </c>
    </row>
    <row r="3593" spans="1:5" x14ac:dyDescent="0.25">
      <c r="A3593" s="36">
        <v>3591</v>
      </c>
      <c r="B3593" s="37">
        <v>2063506445</v>
      </c>
      <c r="C3593" s="38">
        <v>0.96089506799396829</v>
      </c>
      <c r="D3593" s="14" t="s">
        <v>3634</v>
      </c>
      <c r="E3593" s="14" t="s">
        <v>37</v>
      </c>
    </row>
    <row r="3594" spans="1:5" x14ac:dyDescent="0.25">
      <c r="A3594" s="36">
        <v>3592</v>
      </c>
      <c r="B3594" s="37">
        <v>719812050</v>
      </c>
      <c r="C3594" s="38">
        <v>0.33518860597870714</v>
      </c>
      <c r="D3594" s="14" t="s">
        <v>3635</v>
      </c>
      <c r="E3594" s="14" t="s">
        <v>40</v>
      </c>
    </row>
    <row r="3595" spans="1:5" x14ac:dyDescent="0.25">
      <c r="A3595" s="36">
        <v>3593</v>
      </c>
      <c r="B3595" s="37">
        <v>615259763</v>
      </c>
      <c r="C3595" s="38">
        <v>0.28650265340064773</v>
      </c>
      <c r="D3595" s="14" t="s">
        <v>3636</v>
      </c>
      <c r="E3595" s="14" t="s">
        <v>43</v>
      </c>
    </row>
    <row r="3596" spans="1:5" x14ac:dyDescent="0.25">
      <c r="A3596" s="36">
        <v>3594</v>
      </c>
      <c r="B3596" s="37">
        <v>647010321</v>
      </c>
      <c r="C3596" s="38">
        <v>0.3012876591185516</v>
      </c>
      <c r="D3596" s="14" t="s">
        <v>3637</v>
      </c>
      <c r="E3596" s="14" t="s">
        <v>46</v>
      </c>
    </row>
    <row r="3597" spans="1:5" x14ac:dyDescent="0.25">
      <c r="A3597" s="36">
        <v>3595</v>
      </c>
      <c r="B3597" s="37">
        <v>672012601</v>
      </c>
      <c r="C3597" s="38">
        <v>0.31293025301440164</v>
      </c>
      <c r="D3597" s="14" t="s">
        <v>3638</v>
      </c>
      <c r="E3597" s="14" t="s">
        <v>48</v>
      </c>
    </row>
    <row r="3598" spans="1:5" x14ac:dyDescent="0.25">
      <c r="A3598" s="36">
        <v>3596</v>
      </c>
      <c r="B3598" s="37">
        <v>1506534388</v>
      </c>
      <c r="C3598" s="38">
        <v>0.7015347428161347</v>
      </c>
      <c r="D3598" s="14" t="s">
        <v>3639</v>
      </c>
      <c r="E3598" s="14" t="s">
        <v>37</v>
      </c>
    </row>
    <row r="3599" spans="1:5" x14ac:dyDescent="0.25">
      <c r="A3599" s="36">
        <v>3597</v>
      </c>
      <c r="B3599" s="37">
        <v>1266847789</v>
      </c>
      <c r="C3599" s="38">
        <v>0.58992197252340706</v>
      </c>
      <c r="D3599" s="14" t="s">
        <v>3640</v>
      </c>
      <c r="E3599" s="14" t="s">
        <v>40</v>
      </c>
    </row>
    <row r="3600" spans="1:5" x14ac:dyDescent="0.25">
      <c r="A3600" s="36">
        <v>3598</v>
      </c>
      <c r="B3600" s="37">
        <v>737554268</v>
      </c>
      <c r="C3600" s="38">
        <v>0.34345047005612889</v>
      </c>
      <c r="D3600" s="14" t="s">
        <v>3641</v>
      </c>
      <c r="E3600" s="14" t="s">
        <v>43</v>
      </c>
    </row>
    <row r="3601" spans="1:5" x14ac:dyDescent="0.25">
      <c r="A3601" s="36">
        <v>3599</v>
      </c>
      <c r="B3601" s="37">
        <v>785562669</v>
      </c>
      <c r="C3601" s="38">
        <v>0.36580612387778522</v>
      </c>
      <c r="D3601" s="14" t="s">
        <v>3642</v>
      </c>
      <c r="E3601" s="14" t="s">
        <v>46</v>
      </c>
    </row>
    <row r="3602" spans="1:5" x14ac:dyDescent="0.25">
      <c r="A3602" s="36">
        <v>3600</v>
      </c>
      <c r="B3602" s="37">
        <v>1955248677</v>
      </c>
      <c r="C3602" s="38">
        <v>0.91048361636255104</v>
      </c>
      <c r="D3602" s="14" t="s">
        <v>3643</v>
      </c>
      <c r="E3602" s="14" t="s">
        <v>48</v>
      </c>
    </row>
    <row r="3603" spans="1:5" x14ac:dyDescent="0.25">
      <c r="A3603" s="36">
        <v>3601</v>
      </c>
      <c r="B3603" s="37">
        <v>458835267</v>
      </c>
      <c r="C3603" s="38">
        <v>0.21366182119290431</v>
      </c>
      <c r="D3603" s="14" t="s">
        <v>3644</v>
      </c>
      <c r="E3603" s="14" t="s">
        <v>37</v>
      </c>
    </row>
    <row r="3604" spans="1:5" x14ac:dyDescent="0.25">
      <c r="A3604" s="36">
        <v>3602</v>
      </c>
      <c r="B3604" s="37">
        <v>1965070083</v>
      </c>
      <c r="C3604" s="38">
        <v>0.91505706492581274</v>
      </c>
      <c r="D3604" s="14" t="s">
        <v>3645</v>
      </c>
      <c r="E3604" s="14" t="s">
        <v>40</v>
      </c>
    </row>
    <row r="3605" spans="1:5" x14ac:dyDescent="0.25">
      <c r="A3605" s="36">
        <v>3603</v>
      </c>
      <c r="B3605" s="37">
        <v>1789136453</v>
      </c>
      <c r="C3605" s="38">
        <v>0.83313158426113965</v>
      </c>
      <c r="D3605" s="14" t="s">
        <v>3646</v>
      </c>
      <c r="E3605" s="14" t="s">
        <v>43</v>
      </c>
    </row>
    <row r="3606" spans="1:5" x14ac:dyDescent="0.25">
      <c r="A3606" s="36">
        <v>3604</v>
      </c>
      <c r="B3606" s="37">
        <v>1766151152</v>
      </c>
      <c r="C3606" s="38">
        <v>0.82242821940333966</v>
      </c>
      <c r="D3606" s="14" t="s">
        <v>3647</v>
      </c>
      <c r="E3606" s="14" t="s">
        <v>46</v>
      </c>
    </row>
    <row r="3607" spans="1:5" x14ac:dyDescent="0.25">
      <c r="A3607" s="36">
        <v>3605</v>
      </c>
      <c r="B3607" s="37">
        <v>1726659079</v>
      </c>
      <c r="C3607" s="38">
        <v>0.80403828984314496</v>
      </c>
      <c r="D3607" s="14" t="s">
        <v>3648</v>
      </c>
      <c r="E3607" s="14" t="s">
        <v>48</v>
      </c>
    </row>
    <row r="3608" spans="1:5" x14ac:dyDescent="0.25">
      <c r="A3608" s="36">
        <v>3606</v>
      </c>
      <c r="B3608" s="37">
        <v>658283424</v>
      </c>
      <c r="C3608" s="38">
        <v>0.30653710677592882</v>
      </c>
      <c r="D3608" s="14" t="s">
        <v>3649</v>
      </c>
      <c r="E3608" s="14" t="s">
        <v>37</v>
      </c>
    </row>
    <row r="3609" spans="1:5" x14ac:dyDescent="0.25">
      <c r="A3609" s="36">
        <v>3607</v>
      </c>
      <c r="B3609" s="37">
        <v>321676190</v>
      </c>
      <c r="C3609" s="38">
        <v>0.14979214880140132</v>
      </c>
      <c r="D3609" s="14" t="s">
        <v>3650</v>
      </c>
      <c r="E3609" s="14" t="s">
        <v>40</v>
      </c>
    </row>
    <row r="3610" spans="1:5" x14ac:dyDescent="0.25">
      <c r="A3610" s="36">
        <v>3608</v>
      </c>
      <c r="B3610" s="37">
        <v>533906522</v>
      </c>
      <c r="C3610" s="38">
        <v>0.24861959845229034</v>
      </c>
      <c r="D3610" s="14" t="s">
        <v>3651</v>
      </c>
      <c r="E3610" s="14" t="s">
        <v>43</v>
      </c>
    </row>
    <row r="3611" spans="1:5" x14ac:dyDescent="0.25">
      <c r="A3611" s="36">
        <v>3609</v>
      </c>
      <c r="B3611" s="37">
        <v>19863675</v>
      </c>
      <c r="C3611" s="38">
        <v>9.2497444754698049E-3</v>
      </c>
      <c r="D3611" s="14" t="s">
        <v>3652</v>
      </c>
      <c r="E3611" s="14" t="s">
        <v>46</v>
      </c>
    </row>
    <row r="3612" spans="1:5" x14ac:dyDescent="0.25">
      <c r="A3612" s="36">
        <v>3610</v>
      </c>
      <c r="B3612" s="37">
        <v>1939304386</v>
      </c>
      <c r="C3612" s="38">
        <v>0.90305897728682449</v>
      </c>
      <c r="D3612" s="14" t="s">
        <v>3653</v>
      </c>
      <c r="E3612" s="14" t="s">
        <v>48</v>
      </c>
    </row>
    <row r="3613" spans="1:5" x14ac:dyDescent="0.25">
      <c r="A3613" s="36">
        <v>3611</v>
      </c>
      <c r="B3613" s="37">
        <v>1538251765</v>
      </c>
      <c r="C3613" s="38">
        <v>0.71630429742685719</v>
      </c>
      <c r="D3613" s="14" t="s">
        <v>3654</v>
      </c>
      <c r="E3613" s="14" t="s">
        <v>37</v>
      </c>
    </row>
    <row r="3614" spans="1:5" x14ac:dyDescent="0.25">
      <c r="A3614" s="36">
        <v>3612</v>
      </c>
      <c r="B3614" s="37">
        <v>1895820866</v>
      </c>
      <c r="C3614" s="38">
        <v>0.88281038537752365</v>
      </c>
      <c r="D3614" s="14" t="s">
        <v>3655</v>
      </c>
      <c r="E3614" s="14" t="s">
        <v>40</v>
      </c>
    </row>
    <row r="3615" spans="1:5" x14ac:dyDescent="0.25">
      <c r="A3615" s="36">
        <v>3613</v>
      </c>
      <c r="B3615" s="37">
        <v>920962253</v>
      </c>
      <c r="C3615" s="38">
        <v>0.42885646849351772</v>
      </c>
      <c r="D3615" s="14" t="s">
        <v>3656</v>
      </c>
      <c r="E3615" s="14" t="s">
        <v>43</v>
      </c>
    </row>
    <row r="3616" spans="1:5" x14ac:dyDescent="0.25">
      <c r="A3616" s="36">
        <v>3614</v>
      </c>
      <c r="B3616" s="37">
        <v>1686537274</v>
      </c>
      <c r="C3616" s="38">
        <v>0.78535511846903483</v>
      </c>
      <c r="D3616" s="14" t="s">
        <v>3657</v>
      </c>
      <c r="E3616" s="14" t="s">
        <v>46</v>
      </c>
    </row>
    <row r="3617" spans="1:5" x14ac:dyDescent="0.25">
      <c r="A3617" s="36">
        <v>3615</v>
      </c>
      <c r="B3617" s="37">
        <v>1504753852</v>
      </c>
      <c r="C3617" s="38">
        <v>0.7007056161298908</v>
      </c>
      <c r="D3617" s="14" t="s">
        <v>3658</v>
      </c>
      <c r="E3617" s="14" t="s">
        <v>48</v>
      </c>
    </row>
    <row r="3618" spans="1:5" x14ac:dyDescent="0.25">
      <c r="A3618" s="36">
        <v>3616</v>
      </c>
      <c r="B3618" s="37">
        <v>1047595249</v>
      </c>
      <c r="C3618" s="38">
        <v>0.48782455245397266</v>
      </c>
      <c r="D3618" s="14" t="s">
        <v>3659</v>
      </c>
      <c r="E3618" s="14" t="s">
        <v>37</v>
      </c>
    </row>
    <row r="3619" spans="1:5" x14ac:dyDescent="0.25">
      <c r="A3619" s="36">
        <v>3617</v>
      </c>
      <c r="B3619" s="37">
        <v>1364316536</v>
      </c>
      <c r="C3619" s="38">
        <v>0.63530939474483461</v>
      </c>
      <c r="D3619" s="14" t="s">
        <v>3660</v>
      </c>
      <c r="E3619" s="14" t="s">
        <v>40</v>
      </c>
    </row>
    <row r="3620" spans="1:5" x14ac:dyDescent="0.25">
      <c r="A3620" s="36">
        <v>3618</v>
      </c>
      <c r="B3620" s="37">
        <v>1809090887</v>
      </c>
      <c r="C3620" s="38">
        <v>0.84242359168940395</v>
      </c>
      <c r="D3620" s="14" t="s">
        <v>3661</v>
      </c>
      <c r="E3620" s="14" t="s">
        <v>43</v>
      </c>
    </row>
    <row r="3621" spans="1:5" x14ac:dyDescent="0.25">
      <c r="A3621" s="36">
        <v>3619</v>
      </c>
      <c r="B3621" s="37">
        <v>1290836853</v>
      </c>
      <c r="C3621" s="38">
        <v>0.60109275095215664</v>
      </c>
      <c r="D3621" s="14" t="s">
        <v>3662</v>
      </c>
      <c r="E3621" s="14" t="s">
        <v>46</v>
      </c>
    </row>
    <row r="3622" spans="1:5" x14ac:dyDescent="0.25">
      <c r="A3622" s="36">
        <v>3620</v>
      </c>
      <c r="B3622" s="37">
        <v>823376550</v>
      </c>
      <c r="C3622" s="38">
        <v>0.38341458439054649</v>
      </c>
      <c r="D3622" s="14" t="s">
        <v>3663</v>
      </c>
      <c r="E3622" s="14" t="s">
        <v>48</v>
      </c>
    </row>
    <row r="3623" spans="1:5" x14ac:dyDescent="0.25">
      <c r="A3623" s="36">
        <v>3621</v>
      </c>
      <c r="B3623" s="37">
        <v>1359826632</v>
      </c>
      <c r="C3623" s="38">
        <v>0.63321862026733278</v>
      </c>
      <c r="D3623" s="14" t="s">
        <v>3664</v>
      </c>
      <c r="E3623" s="14" t="s">
        <v>37</v>
      </c>
    </row>
    <row r="3624" spans="1:5" x14ac:dyDescent="0.25">
      <c r="A3624" s="36">
        <v>3622</v>
      </c>
      <c r="B3624" s="37">
        <v>1494726847</v>
      </c>
      <c r="C3624" s="38">
        <v>0.6960364280715754</v>
      </c>
      <c r="D3624" s="14" t="s">
        <v>3665</v>
      </c>
      <c r="E3624" s="14" t="s">
        <v>40</v>
      </c>
    </row>
    <row r="3625" spans="1:5" x14ac:dyDescent="0.25">
      <c r="A3625" s="36">
        <v>3623</v>
      </c>
      <c r="B3625" s="37">
        <v>1090002108</v>
      </c>
      <c r="C3625" s="38">
        <v>0.50757178501578593</v>
      </c>
      <c r="D3625" s="14" t="s">
        <v>3666</v>
      </c>
      <c r="E3625" s="14" t="s">
        <v>43</v>
      </c>
    </row>
    <row r="3626" spans="1:5" x14ac:dyDescent="0.25">
      <c r="A3626" s="36">
        <v>3624</v>
      </c>
      <c r="B3626" s="37">
        <v>853816621</v>
      </c>
      <c r="C3626" s="38">
        <v>0.39758934704474608</v>
      </c>
      <c r="D3626" s="14" t="s">
        <v>3667</v>
      </c>
      <c r="E3626" s="14" t="s">
        <v>46</v>
      </c>
    </row>
    <row r="3627" spans="1:5" x14ac:dyDescent="0.25">
      <c r="A3627" s="36">
        <v>3625</v>
      </c>
      <c r="B3627" s="37">
        <v>1889840589</v>
      </c>
      <c r="C3627" s="38">
        <v>0.88002560188995005</v>
      </c>
      <c r="D3627" s="14" t="s">
        <v>3668</v>
      </c>
      <c r="E3627" s="14" t="s">
        <v>48</v>
      </c>
    </row>
    <row r="3628" spans="1:5" x14ac:dyDescent="0.25">
      <c r="A3628" s="36">
        <v>3626</v>
      </c>
      <c r="B3628" s="37">
        <v>187092673</v>
      </c>
      <c r="C3628" s="38">
        <v>8.7121814995595168E-2</v>
      </c>
      <c r="D3628" s="14" t="s">
        <v>3669</v>
      </c>
      <c r="E3628" s="14" t="s">
        <v>37</v>
      </c>
    </row>
    <row r="3629" spans="1:5" x14ac:dyDescent="0.25">
      <c r="A3629" s="36">
        <v>3627</v>
      </c>
      <c r="B3629" s="37">
        <v>1956876196</v>
      </c>
      <c r="C3629" s="38">
        <v>0.91124148895556178</v>
      </c>
      <c r="D3629" s="14" t="s">
        <v>3670</v>
      </c>
      <c r="E3629" s="14" t="s">
        <v>40</v>
      </c>
    </row>
    <row r="3630" spans="1:5" x14ac:dyDescent="0.25">
      <c r="A3630" s="36">
        <v>3628</v>
      </c>
      <c r="B3630" s="37">
        <v>1528019875</v>
      </c>
      <c r="C3630" s="38">
        <v>0.71153970235564734</v>
      </c>
      <c r="D3630" s="14" t="s">
        <v>3671</v>
      </c>
      <c r="E3630" s="14" t="s">
        <v>43</v>
      </c>
    </row>
    <row r="3631" spans="1:5" x14ac:dyDescent="0.25">
      <c r="A3631" s="36">
        <v>3629</v>
      </c>
      <c r="B3631" s="37">
        <v>204439326</v>
      </c>
      <c r="C3631" s="38">
        <v>9.5199479765817274E-2</v>
      </c>
      <c r="D3631" s="14" t="s">
        <v>3672</v>
      </c>
      <c r="E3631" s="14" t="s">
        <v>46</v>
      </c>
    </row>
    <row r="3632" spans="1:5" x14ac:dyDescent="0.25">
      <c r="A3632" s="36">
        <v>3630</v>
      </c>
      <c r="B3632" s="37">
        <v>829343459</v>
      </c>
      <c r="C3632" s="38">
        <v>0.38619314291802848</v>
      </c>
      <c r="D3632" s="14" t="s">
        <v>3673</v>
      </c>
      <c r="E3632" s="14" t="s">
        <v>48</v>
      </c>
    </row>
    <row r="3633" spans="1:5" x14ac:dyDescent="0.25">
      <c r="A3633" s="36">
        <v>3631</v>
      </c>
      <c r="B3633" s="37">
        <v>1317162482</v>
      </c>
      <c r="C3633" s="38">
        <v>0.61335157724719103</v>
      </c>
      <c r="D3633" s="14" t="s">
        <v>3674</v>
      </c>
      <c r="E3633" s="14" t="s">
        <v>37</v>
      </c>
    </row>
    <row r="3634" spans="1:5" x14ac:dyDescent="0.25">
      <c r="A3634" s="36">
        <v>3632</v>
      </c>
      <c r="B3634" s="37">
        <v>1087170740</v>
      </c>
      <c r="C3634" s="38">
        <v>0.50625332654745003</v>
      </c>
      <c r="D3634" s="14" t="s">
        <v>3675</v>
      </c>
      <c r="E3634" s="14" t="s">
        <v>40</v>
      </c>
    </row>
    <row r="3635" spans="1:5" x14ac:dyDescent="0.25">
      <c r="A3635" s="36">
        <v>3633</v>
      </c>
      <c r="B3635" s="37">
        <v>1697601586</v>
      </c>
      <c r="C3635" s="38">
        <v>0.79050734024052849</v>
      </c>
      <c r="D3635" s="14" t="s">
        <v>3676</v>
      </c>
      <c r="E3635" s="14" t="s">
        <v>43</v>
      </c>
    </row>
    <row r="3636" spans="1:5" x14ac:dyDescent="0.25">
      <c r="A3636" s="36">
        <v>3634</v>
      </c>
      <c r="B3636" s="37">
        <v>1508928980</v>
      </c>
      <c r="C3636" s="38">
        <v>0.70264981160995077</v>
      </c>
      <c r="D3636" s="14" t="s">
        <v>3677</v>
      </c>
      <c r="E3636" s="14" t="s">
        <v>46</v>
      </c>
    </row>
    <row r="3637" spans="1:5" x14ac:dyDescent="0.25">
      <c r="A3637" s="36">
        <v>3635</v>
      </c>
      <c r="B3637" s="37">
        <v>1395447757</v>
      </c>
      <c r="C3637" s="38">
        <v>0.64980599919790683</v>
      </c>
      <c r="D3637" s="14" t="s">
        <v>3678</v>
      </c>
      <c r="E3637" s="14" t="s">
        <v>48</v>
      </c>
    </row>
    <row r="3638" spans="1:5" x14ac:dyDescent="0.25">
      <c r="A3638" s="36">
        <v>3636</v>
      </c>
      <c r="B3638" s="37">
        <v>1724323802</v>
      </c>
      <c r="C3638" s="38">
        <v>0.80295084174859843</v>
      </c>
      <c r="D3638" s="14" t="s">
        <v>3679</v>
      </c>
      <c r="E3638" s="14" t="s">
        <v>37</v>
      </c>
    </row>
    <row r="3639" spans="1:5" x14ac:dyDescent="0.25">
      <c r="A3639" s="36">
        <v>3637</v>
      </c>
      <c r="B3639" s="37">
        <v>476736069</v>
      </c>
      <c r="C3639" s="38">
        <v>0.22199753169994688</v>
      </c>
      <c r="D3639" s="14" t="s">
        <v>3680</v>
      </c>
      <c r="E3639" s="14" t="s">
        <v>40</v>
      </c>
    </row>
    <row r="3640" spans="1:5" x14ac:dyDescent="0.25">
      <c r="A3640" s="36">
        <v>3638</v>
      </c>
      <c r="B3640" s="37">
        <v>1961917008</v>
      </c>
      <c r="C3640" s="38">
        <v>0.9135887999616511</v>
      </c>
      <c r="D3640" s="14" t="s">
        <v>3681</v>
      </c>
      <c r="E3640" s="14" t="s">
        <v>43</v>
      </c>
    </row>
    <row r="3641" spans="1:5" x14ac:dyDescent="0.25">
      <c r="A3641" s="36">
        <v>3639</v>
      </c>
      <c r="B3641" s="37">
        <v>1867005346</v>
      </c>
      <c r="C3641" s="38">
        <v>0.86939211323363341</v>
      </c>
      <c r="D3641" s="14" t="s">
        <v>3682</v>
      </c>
      <c r="E3641" s="14" t="s">
        <v>46</v>
      </c>
    </row>
    <row r="3642" spans="1:5" x14ac:dyDescent="0.25">
      <c r="A3642" s="36">
        <v>3640</v>
      </c>
      <c r="B3642" s="37">
        <v>814789998</v>
      </c>
      <c r="C3642" s="38">
        <v>0.37941615953082969</v>
      </c>
      <c r="D3642" s="14" t="s">
        <v>3683</v>
      </c>
      <c r="E3642" s="14" t="s">
        <v>48</v>
      </c>
    </row>
    <row r="3643" spans="1:5" x14ac:dyDescent="0.25">
      <c r="A3643" s="36">
        <v>3641</v>
      </c>
      <c r="B3643" s="37">
        <v>333029617</v>
      </c>
      <c r="C3643" s="38">
        <v>0.15507900023603766</v>
      </c>
      <c r="D3643" s="14" t="s">
        <v>3684</v>
      </c>
      <c r="E3643" s="14" t="s">
        <v>37</v>
      </c>
    </row>
    <row r="3644" spans="1:5" x14ac:dyDescent="0.25">
      <c r="A3644" s="36">
        <v>3642</v>
      </c>
      <c r="B3644" s="37">
        <v>740890097</v>
      </c>
      <c r="C3644" s="38">
        <v>0.34500383648323074</v>
      </c>
      <c r="D3644" s="14" t="s">
        <v>3685</v>
      </c>
      <c r="E3644" s="14" t="s">
        <v>40</v>
      </c>
    </row>
    <row r="3645" spans="1:5" x14ac:dyDescent="0.25">
      <c r="A3645" s="36">
        <v>3643</v>
      </c>
      <c r="B3645" s="37">
        <v>2111101399</v>
      </c>
      <c r="C3645" s="38">
        <v>0.98305819555328144</v>
      </c>
      <c r="D3645" s="14" t="s">
        <v>3686</v>
      </c>
      <c r="E3645" s="14" t="s">
        <v>43</v>
      </c>
    </row>
    <row r="3646" spans="1:5" x14ac:dyDescent="0.25">
      <c r="A3646" s="36">
        <v>3644</v>
      </c>
      <c r="B3646" s="37">
        <v>891397423</v>
      </c>
      <c r="C3646" s="38">
        <v>0.41508927169027238</v>
      </c>
      <c r="D3646" s="14" t="s">
        <v>3687</v>
      </c>
      <c r="E3646" s="14" t="s">
        <v>46</v>
      </c>
    </row>
    <row r="3647" spans="1:5" x14ac:dyDescent="0.25">
      <c r="A3647" s="36">
        <v>3645</v>
      </c>
      <c r="B3647" s="37">
        <v>2023136176</v>
      </c>
      <c r="C3647" s="38">
        <v>0.94209619655371468</v>
      </c>
      <c r="D3647" s="14" t="s">
        <v>3688</v>
      </c>
      <c r="E3647" s="14" t="s">
        <v>48</v>
      </c>
    </row>
    <row r="3648" spans="1:5" x14ac:dyDescent="0.25">
      <c r="A3648" s="36">
        <v>3646</v>
      </c>
      <c r="B3648" s="37">
        <v>308603102</v>
      </c>
      <c r="C3648" s="38">
        <v>0.1437045178113992</v>
      </c>
      <c r="D3648" s="14" t="s">
        <v>3689</v>
      </c>
      <c r="E3648" s="14" t="s">
        <v>37</v>
      </c>
    </row>
    <row r="3649" spans="1:5" x14ac:dyDescent="0.25">
      <c r="A3649" s="36">
        <v>3647</v>
      </c>
      <c r="B3649" s="37">
        <v>503898373</v>
      </c>
      <c r="C3649" s="38">
        <v>0.2346459651527209</v>
      </c>
      <c r="D3649" s="14" t="s">
        <v>3690</v>
      </c>
      <c r="E3649" s="14" t="s">
        <v>40</v>
      </c>
    </row>
    <row r="3650" spans="1:5" x14ac:dyDescent="0.25">
      <c r="A3650" s="36">
        <v>3648</v>
      </c>
      <c r="B3650" s="37">
        <v>1175278670</v>
      </c>
      <c r="C3650" s="38">
        <v>0.5472817786723756</v>
      </c>
      <c r="D3650" s="14" t="s">
        <v>3691</v>
      </c>
      <c r="E3650" s="14" t="s">
        <v>43</v>
      </c>
    </row>
    <row r="3651" spans="1:5" x14ac:dyDescent="0.25">
      <c r="A3651" s="36">
        <v>3649</v>
      </c>
      <c r="B3651" s="37">
        <v>1449080265</v>
      </c>
      <c r="C3651" s="38">
        <v>0.67478058192635915</v>
      </c>
      <c r="D3651" s="14" t="s">
        <v>3692</v>
      </c>
      <c r="E3651" s="14" t="s">
        <v>46</v>
      </c>
    </row>
    <row r="3652" spans="1:5" x14ac:dyDescent="0.25">
      <c r="A3652" s="36">
        <v>3650</v>
      </c>
      <c r="B3652" s="37">
        <v>1332013065</v>
      </c>
      <c r="C3652" s="38">
        <v>0.62026691884746166</v>
      </c>
      <c r="D3652" s="14" t="s">
        <v>3693</v>
      </c>
      <c r="E3652" s="14" t="s">
        <v>48</v>
      </c>
    </row>
    <row r="3653" spans="1:5" x14ac:dyDescent="0.25">
      <c r="A3653" s="36">
        <v>3651</v>
      </c>
      <c r="B3653" s="37">
        <v>569578198</v>
      </c>
      <c r="C3653" s="38">
        <v>0.26523051702660999</v>
      </c>
      <c r="D3653" s="14" t="s">
        <v>3694</v>
      </c>
      <c r="E3653" s="14" t="s">
        <v>37</v>
      </c>
    </row>
    <row r="3654" spans="1:5" x14ac:dyDescent="0.25">
      <c r="A3654" s="36">
        <v>3652</v>
      </c>
      <c r="B3654" s="37">
        <v>641001672</v>
      </c>
      <c r="C3654" s="38">
        <v>0.29848966388892834</v>
      </c>
      <c r="D3654" s="14" t="s">
        <v>3695</v>
      </c>
      <c r="E3654" s="14" t="s">
        <v>40</v>
      </c>
    </row>
    <row r="3655" spans="1:5" x14ac:dyDescent="0.25">
      <c r="A3655" s="36">
        <v>3653</v>
      </c>
      <c r="B3655" s="37">
        <v>2104363602</v>
      </c>
      <c r="C3655" s="38">
        <v>0.97992066432718217</v>
      </c>
      <c r="D3655" s="14" t="s">
        <v>3696</v>
      </c>
      <c r="E3655" s="14" t="s">
        <v>43</v>
      </c>
    </row>
    <row r="3656" spans="1:5" x14ac:dyDescent="0.25">
      <c r="A3656" s="36">
        <v>3654</v>
      </c>
      <c r="B3656" s="37">
        <v>1966934279</v>
      </c>
      <c r="C3656" s="38">
        <v>0.91592514883537091</v>
      </c>
      <c r="D3656" s="14" t="s">
        <v>3697</v>
      </c>
      <c r="E3656" s="14" t="s">
        <v>46</v>
      </c>
    </row>
    <row r="3657" spans="1:5" x14ac:dyDescent="0.25">
      <c r="A3657" s="36">
        <v>3655</v>
      </c>
      <c r="B3657" s="37">
        <v>1676113438</v>
      </c>
      <c r="C3657" s="38">
        <v>0.78050114157632977</v>
      </c>
      <c r="D3657" s="14" t="s">
        <v>3698</v>
      </c>
      <c r="E3657" s="14" t="s">
        <v>48</v>
      </c>
    </row>
    <row r="3658" spans="1:5" x14ac:dyDescent="0.25">
      <c r="A3658" s="36">
        <v>3656</v>
      </c>
      <c r="B3658" s="37">
        <v>289520065</v>
      </c>
      <c r="C3658" s="38">
        <v>0.13481828623210002</v>
      </c>
      <c r="D3658" s="14" t="s">
        <v>3699</v>
      </c>
      <c r="E3658" s="14" t="s">
        <v>37</v>
      </c>
    </row>
    <row r="3659" spans="1:5" x14ac:dyDescent="0.25">
      <c r="A3659" s="36">
        <v>3657</v>
      </c>
      <c r="B3659" s="37">
        <v>1889842372</v>
      </c>
      <c r="C3659" s="38">
        <v>0.88002643216402565</v>
      </c>
      <c r="D3659" s="14" t="s">
        <v>3700</v>
      </c>
      <c r="E3659" s="14" t="s">
        <v>40</v>
      </c>
    </row>
    <row r="3660" spans="1:5" x14ac:dyDescent="0.25">
      <c r="A3660" s="36">
        <v>3658</v>
      </c>
      <c r="B3660" s="37">
        <v>1007457101</v>
      </c>
      <c r="C3660" s="38">
        <v>0.46913377077744051</v>
      </c>
      <c r="D3660" s="14" t="s">
        <v>3701</v>
      </c>
      <c r="E3660" s="14" t="s">
        <v>43</v>
      </c>
    </row>
    <row r="3661" spans="1:5" x14ac:dyDescent="0.25">
      <c r="A3661" s="36">
        <v>3659</v>
      </c>
      <c r="B3661" s="37">
        <v>777258653</v>
      </c>
      <c r="C3661" s="38">
        <v>0.36193926509560054</v>
      </c>
      <c r="D3661" s="14" t="s">
        <v>3702</v>
      </c>
      <c r="E3661" s="14" t="s">
        <v>46</v>
      </c>
    </row>
    <row r="3662" spans="1:5" x14ac:dyDescent="0.25">
      <c r="A3662" s="36">
        <v>3660</v>
      </c>
      <c r="B3662" s="37">
        <v>917768369</v>
      </c>
      <c r="C3662" s="38">
        <v>0.42736920035787357</v>
      </c>
      <c r="D3662" s="14" t="s">
        <v>3703</v>
      </c>
      <c r="E3662" s="14" t="s">
        <v>48</v>
      </c>
    </row>
    <row r="3663" spans="1:5" x14ac:dyDescent="0.25">
      <c r="A3663" s="36">
        <v>3661</v>
      </c>
      <c r="B3663" s="37">
        <v>408798499</v>
      </c>
      <c r="C3663" s="38">
        <v>0.1903616353824556</v>
      </c>
      <c r="D3663" s="14" t="s">
        <v>3704</v>
      </c>
      <c r="E3663" s="14" t="s">
        <v>37</v>
      </c>
    </row>
    <row r="3664" spans="1:5" x14ac:dyDescent="0.25">
      <c r="A3664" s="36">
        <v>3662</v>
      </c>
      <c r="B3664" s="37">
        <v>372096484</v>
      </c>
      <c r="C3664" s="38">
        <v>0.17327092782280917</v>
      </c>
      <c r="D3664" s="14" t="s">
        <v>3705</v>
      </c>
      <c r="E3664" s="14" t="s">
        <v>40</v>
      </c>
    </row>
    <row r="3665" spans="1:5" x14ac:dyDescent="0.25">
      <c r="A3665" s="36">
        <v>3663</v>
      </c>
      <c r="B3665" s="37">
        <v>565368465</v>
      </c>
      <c r="C3665" s="38">
        <v>0.26327020733769529</v>
      </c>
      <c r="D3665" s="14" t="s">
        <v>3706</v>
      </c>
      <c r="E3665" s="14" t="s">
        <v>43</v>
      </c>
    </row>
    <row r="3666" spans="1:5" x14ac:dyDescent="0.25">
      <c r="A3666" s="36">
        <v>3664</v>
      </c>
      <c r="B3666" s="37">
        <v>674320008</v>
      </c>
      <c r="C3666" s="38">
        <v>0.3140047231288649</v>
      </c>
      <c r="D3666" s="14" t="s">
        <v>3707</v>
      </c>
      <c r="E3666" s="14" t="s">
        <v>46</v>
      </c>
    </row>
    <row r="3667" spans="1:5" x14ac:dyDescent="0.25">
      <c r="A3667" s="36">
        <v>3665</v>
      </c>
      <c r="B3667" s="37">
        <v>394926580</v>
      </c>
      <c r="C3667" s="38">
        <v>0.18390201972047893</v>
      </c>
      <c r="D3667" s="14" t="s">
        <v>3708</v>
      </c>
      <c r="E3667" s="14" t="s">
        <v>48</v>
      </c>
    </row>
    <row r="3668" spans="1:5" x14ac:dyDescent="0.25">
      <c r="A3668" s="36">
        <v>3666</v>
      </c>
      <c r="B3668" s="37">
        <v>2107779200</v>
      </c>
      <c r="C3668" s="38">
        <v>0.98151117608952854</v>
      </c>
      <c r="D3668" s="14" t="s">
        <v>3709</v>
      </c>
      <c r="E3668" s="14" t="s">
        <v>37</v>
      </c>
    </row>
    <row r="3669" spans="1:5" x14ac:dyDescent="0.25">
      <c r="A3669" s="36">
        <v>3667</v>
      </c>
      <c r="B3669" s="37">
        <v>778497973</v>
      </c>
      <c r="C3669" s="38">
        <v>0.36251636844245549</v>
      </c>
      <c r="D3669" s="14" t="s">
        <v>3710</v>
      </c>
      <c r="E3669" s="14" t="s">
        <v>40</v>
      </c>
    </row>
    <row r="3670" spans="1:5" x14ac:dyDescent="0.25">
      <c r="A3670" s="36">
        <v>3668</v>
      </c>
      <c r="B3670" s="37">
        <v>65106602</v>
      </c>
      <c r="C3670" s="38">
        <v>3.0317624113670377E-2</v>
      </c>
      <c r="D3670" s="14" t="s">
        <v>3711</v>
      </c>
      <c r="E3670" s="14" t="s">
        <v>43</v>
      </c>
    </row>
    <row r="3671" spans="1:5" x14ac:dyDescent="0.25">
      <c r="A3671" s="36">
        <v>3669</v>
      </c>
      <c r="B3671" s="37">
        <v>1965836065</v>
      </c>
      <c r="C3671" s="38">
        <v>0.91541375309015338</v>
      </c>
      <c r="D3671" s="14" t="s">
        <v>3712</v>
      </c>
      <c r="E3671" s="14" t="s">
        <v>46</v>
      </c>
    </row>
    <row r="3672" spans="1:5" x14ac:dyDescent="0.25">
      <c r="A3672" s="36">
        <v>3670</v>
      </c>
      <c r="B3672" s="37">
        <v>1180038685</v>
      </c>
      <c r="C3672" s="38">
        <v>0.54949833338591192</v>
      </c>
      <c r="D3672" s="14" t="s">
        <v>3713</v>
      </c>
      <c r="E3672" s="14" t="s">
        <v>48</v>
      </c>
    </row>
    <row r="3673" spans="1:5" x14ac:dyDescent="0.25">
      <c r="A3673" s="36">
        <v>3671</v>
      </c>
      <c r="B3673" s="37">
        <v>398390710</v>
      </c>
      <c r="C3673" s="38">
        <v>0.18551513095643143</v>
      </c>
      <c r="D3673" s="14" t="s">
        <v>3714</v>
      </c>
      <c r="E3673" s="14" t="s">
        <v>37</v>
      </c>
    </row>
    <row r="3674" spans="1:5" x14ac:dyDescent="0.25">
      <c r="A3674" s="36">
        <v>3672</v>
      </c>
      <c r="B3674" s="37">
        <v>97691608</v>
      </c>
      <c r="C3674" s="38">
        <v>4.5491199961626531E-2</v>
      </c>
      <c r="D3674" s="14" t="s">
        <v>3715</v>
      </c>
      <c r="E3674" s="14" t="s">
        <v>40</v>
      </c>
    </row>
    <row r="3675" spans="1:5" x14ac:dyDescent="0.25">
      <c r="A3675" s="36">
        <v>3673</v>
      </c>
      <c r="B3675" s="37">
        <v>1528475936</v>
      </c>
      <c r="C3675" s="38">
        <v>0.71175207230809712</v>
      </c>
      <c r="D3675" s="14" t="s">
        <v>3716</v>
      </c>
      <c r="E3675" s="14" t="s">
        <v>43</v>
      </c>
    </row>
    <row r="3676" spans="1:5" x14ac:dyDescent="0.25">
      <c r="A3676" s="36">
        <v>3674</v>
      </c>
      <c r="B3676" s="37">
        <v>1267647960</v>
      </c>
      <c r="C3676" s="38">
        <v>0.59029458118150691</v>
      </c>
      <c r="D3676" s="14" t="s">
        <v>3717</v>
      </c>
      <c r="E3676" s="14" t="s">
        <v>46</v>
      </c>
    </row>
    <row r="3677" spans="1:5" x14ac:dyDescent="0.25">
      <c r="A3677" s="36">
        <v>3675</v>
      </c>
      <c r="B3677" s="37">
        <v>1202326903</v>
      </c>
      <c r="C3677" s="38">
        <v>0.55987709367642047</v>
      </c>
      <c r="D3677" s="14" t="s">
        <v>3718</v>
      </c>
      <c r="E3677" s="14" t="s">
        <v>48</v>
      </c>
    </row>
    <row r="3678" spans="1:5" x14ac:dyDescent="0.25">
      <c r="A3678" s="36">
        <v>3676</v>
      </c>
      <c r="B3678" s="37">
        <v>1914455235</v>
      </c>
      <c r="C3678" s="38">
        <v>0.89148768963827174</v>
      </c>
      <c r="D3678" s="14" t="s">
        <v>3719</v>
      </c>
      <c r="E3678" s="14" t="s">
        <v>37</v>
      </c>
    </row>
    <row r="3679" spans="1:5" x14ac:dyDescent="0.25">
      <c r="A3679" s="36">
        <v>3677</v>
      </c>
      <c r="B3679" s="37">
        <v>40224710</v>
      </c>
      <c r="C3679" s="38">
        <v>1.8731090248902835E-2</v>
      </c>
      <c r="D3679" s="14" t="s">
        <v>3720</v>
      </c>
      <c r="E3679" s="14" t="s">
        <v>40</v>
      </c>
    </row>
    <row r="3680" spans="1:5" x14ac:dyDescent="0.25">
      <c r="A3680" s="36">
        <v>3678</v>
      </c>
      <c r="B3680" s="37">
        <v>1804170807</v>
      </c>
      <c r="C3680" s="38">
        <v>0.84013250090187996</v>
      </c>
      <c r="D3680" s="14" t="s">
        <v>3721</v>
      </c>
      <c r="E3680" s="14" t="s">
        <v>43</v>
      </c>
    </row>
    <row r="3681" spans="1:5" x14ac:dyDescent="0.25">
      <c r="A3681" s="36">
        <v>3679</v>
      </c>
      <c r="B3681" s="37">
        <v>49820864</v>
      </c>
      <c r="C3681" s="38">
        <v>2.3199647675826982E-2</v>
      </c>
      <c r="D3681" s="14" t="s">
        <v>3722</v>
      </c>
      <c r="E3681" s="14" t="s">
        <v>46</v>
      </c>
    </row>
    <row r="3682" spans="1:5" x14ac:dyDescent="0.25">
      <c r="A3682" s="36">
        <v>3680</v>
      </c>
      <c r="B3682" s="37">
        <v>1859041271</v>
      </c>
      <c r="C3682" s="38">
        <v>0.86568355181519108</v>
      </c>
      <c r="D3682" s="14" t="s">
        <v>3723</v>
      </c>
      <c r="E3682" s="14" t="s">
        <v>48</v>
      </c>
    </row>
    <row r="3683" spans="1:5" x14ac:dyDescent="0.25">
      <c r="A3683" s="36">
        <v>3681</v>
      </c>
      <c r="B3683" s="37">
        <v>829403554</v>
      </c>
      <c r="C3683" s="38">
        <v>0.38622112683310228</v>
      </c>
      <c r="D3683" s="14" t="s">
        <v>3724</v>
      </c>
      <c r="E3683" s="14" t="s">
        <v>37</v>
      </c>
    </row>
    <row r="3684" spans="1:5" x14ac:dyDescent="0.25">
      <c r="A3684" s="36">
        <v>3682</v>
      </c>
      <c r="B3684" s="37">
        <v>415060948</v>
      </c>
      <c r="C3684" s="38">
        <v>0.19327781544685263</v>
      </c>
      <c r="D3684" s="14" t="s">
        <v>3725</v>
      </c>
      <c r="E3684" s="14" t="s">
        <v>40</v>
      </c>
    </row>
    <row r="3685" spans="1:5" x14ac:dyDescent="0.25">
      <c r="A3685" s="36">
        <v>3683</v>
      </c>
      <c r="B3685" s="37">
        <v>489395671</v>
      </c>
      <c r="C3685" s="38">
        <v>0.22789261826681562</v>
      </c>
      <c r="D3685" s="14" t="s">
        <v>3726</v>
      </c>
      <c r="E3685" s="14" t="s">
        <v>43</v>
      </c>
    </row>
    <row r="3686" spans="1:5" x14ac:dyDescent="0.25">
      <c r="A3686" s="36">
        <v>3684</v>
      </c>
      <c r="B3686" s="37">
        <v>928908047</v>
      </c>
      <c r="C3686" s="38">
        <v>0.43255651715796278</v>
      </c>
      <c r="D3686" s="14" t="s">
        <v>3727</v>
      </c>
      <c r="E3686" s="14" t="s">
        <v>46</v>
      </c>
    </row>
    <row r="3687" spans="1:5" x14ac:dyDescent="0.25">
      <c r="A3687" s="36">
        <v>3685</v>
      </c>
      <c r="B3687" s="37">
        <v>1307513251</v>
      </c>
      <c r="C3687" s="38">
        <v>0.60885830391610896</v>
      </c>
      <c r="D3687" s="14" t="s">
        <v>3728</v>
      </c>
      <c r="E3687" s="14" t="s">
        <v>48</v>
      </c>
    </row>
    <row r="3688" spans="1:5" x14ac:dyDescent="0.25">
      <c r="A3688" s="36">
        <v>3686</v>
      </c>
      <c r="B3688" s="37">
        <v>731136378</v>
      </c>
      <c r="C3688" s="38">
        <v>0.34046190713553776</v>
      </c>
      <c r="D3688" s="14" t="s">
        <v>3729</v>
      </c>
      <c r="E3688" s="14" t="s">
        <v>37</v>
      </c>
    </row>
    <row r="3689" spans="1:5" x14ac:dyDescent="0.25">
      <c r="A3689" s="36">
        <v>3687</v>
      </c>
      <c r="B3689" s="37">
        <v>1778354244</v>
      </c>
      <c r="C3689" s="38">
        <v>0.82811072693584054</v>
      </c>
      <c r="D3689" s="14" t="s">
        <v>3730</v>
      </c>
      <c r="E3689" s="14" t="s">
        <v>40</v>
      </c>
    </row>
    <row r="3690" spans="1:5" x14ac:dyDescent="0.25">
      <c r="A3690" s="36">
        <v>3688</v>
      </c>
      <c r="B3690" s="37">
        <v>1030553406</v>
      </c>
      <c r="C3690" s="38">
        <v>0.4798888259008009</v>
      </c>
      <c r="D3690" s="14" t="s">
        <v>3731</v>
      </c>
      <c r="E3690" s="14" t="s">
        <v>43</v>
      </c>
    </row>
    <row r="3691" spans="1:5" x14ac:dyDescent="0.25">
      <c r="A3691" s="36">
        <v>3689</v>
      </c>
      <c r="B3691" s="37">
        <v>902090184</v>
      </c>
      <c r="C3691" s="38">
        <v>0.42006847654472501</v>
      </c>
      <c r="D3691" s="14" t="s">
        <v>3732</v>
      </c>
      <c r="E3691" s="14" t="s">
        <v>46</v>
      </c>
    </row>
    <row r="3692" spans="1:5" x14ac:dyDescent="0.25">
      <c r="A3692" s="36">
        <v>3690</v>
      </c>
      <c r="B3692" s="37">
        <v>2046673365</v>
      </c>
      <c r="C3692" s="38">
        <v>0.95305655428816405</v>
      </c>
      <c r="D3692" s="14" t="s">
        <v>3733</v>
      </c>
      <c r="E3692" s="14" t="s">
        <v>48</v>
      </c>
    </row>
    <row r="3693" spans="1:5" x14ac:dyDescent="0.25">
      <c r="A3693" s="36">
        <v>3691</v>
      </c>
      <c r="B3693" s="37">
        <v>2003951106</v>
      </c>
      <c r="C3693" s="38">
        <v>0.93316245215626548</v>
      </c>
      <c r="D3693" s="14" t="s">
        <v>3734</v>
      </c>
      <c r="E3693" s="14" t="s">
        <v>37</v>
      </c>
    </row>
    <row r="3694" spans="1:5" x14ac:dyDescent="0.25">
      <c r="A3694" s="36">
        <v>3692</v>
      </c>
      <c r="B3694" s="37">
        <v>1509275889</v>
      </c>
      <c r="C3694" s="38">
        <v>0.70281135370154457</v>
      </c>
      <c r="D3694" s="14" t="s">
        <v>3735</v>
      </c>
      <c r="E3694" s="14" t="s">
        <v>40</v>
      </c>
    </row>
    <row r="3695" spans="1:5" x14ac:dyDescent="0.25">
      <c r="A3695" s="36">
        <v>3693</v>
      </c>
      <c r="B3695" s="37">
        <v>1161049939</v>
      </c>
      <c r="C3695" s="38">
        <v>0.54065600947507475</v>
      </c>
      <c r="D3695" s="14" t="s">
        <v>3736</v>
      </c>
      <c r="E3695" s="14" t="s">
        <v>43</v>
      </c>
    </row>
    <row r="3696" spans="1:5" x14ac:dyDescent="0.25">
      <c r="A3696" s="36">
        <v>3694</v>
      </c>
      <c r="B3696" s="37">
        <v>1967755253</v>
      </c>
      <c r="C3696" s="38">
        <v>0.91630744464523506</v>
      </c>
      <c r="D3696" s="14" t="s">
        <v>3737</v>
      </c>
      <c r="E3696" s="14" t="s">
        <v>46</v>
      </c>
    </row>
    <row r="3697" spans="1:5" x14ac:dyDescent="0.25">
      <c r="A3697" s="36">
        <v>3695</v>
      </c>
      <c r="B3697" s="37">
        <v>260777649</v>
      </c>
      <c r="C3697" s="38">
        <v>0.12143405579097293</v>
      </c>
      <c r="D3697" s="14" t="s">
        <v>3738</v>
      </c>
      <c r="E3697" s="14" t="s">
        <v>48</v>
      </c>
    </row>
    <row r="3698" spans="1:5" x14ac:dyDescent="0.25">
      <c r="A3698" s="36">
        <v>3696</v>
      </c>
      <c r="B3698" s="37">
        <v>1060537838</v>
      </c>
      <c r="C3698" s="38">
        <v>0.49385141511161412</v>
      </c>
      <c r="D3698" s="14" t="s">
        <v>3739</v>
      </c>
      <c r="E3698" s="14" t="s">
        <v>37</v>
      </c>
    </row>
    <row r="3699" spans="1:5" x14ac:dyDescent="0.25">
      <c r="A3699" s="36">
        <v>3697</v>
      </c>
      <c r="B3699" s="37">
        <v>1071325057</v>
      </c>
      <c r="C3699" s="38">
        <v>0.49887460539996376</v>
      </c>
      <c r="D3699" s="14" t="s">
        <v>3740</v>
      </c>
      <c r="E3699" s="14" t="s">
        <v>40</v>
      </c>
    </row>
    <row r="3700" spans="1:5" x14ac:dyDescent="0.25">
      <c r="A3700" s="36">
        <v>3698</v>
      </c>
      <c r="B3700" s="37">
        <v>1556258465</v>
      </c>
      <c r="C3700" s="38">
        <v>0.72468932053292601</v>
      </c>
      <c r="D3700" s="14" t="s">
        <v>3741</v>
      </c>
      <c r="E3700" s="14" t="s">
        <v>43</v>
      </c>
    </row>
    <row r="3701" spans="1:5" x14ac:dyDescent="0.25">
      <c r="A3701" s="36">
        <v>3699</v>
      </c>
      <c r="B3701" s="37">
        <v>2068877187</v>
      </c>
      <c r="C3701" s="38">
        <v>0.96339601462865065</v>
      </c>
      <c r="D3701" s="14" t="s">
        <v>3742</v>
      </c>
      <c r="E3701" s="14" t="s">
        <v>46</v>
      </c>
    </row>
    <row r="3702" spans="1:5" x14ac:dyDescent="0.25">
      <c r="A3702" s="36">
        <v>3700</v>
      </c>
      <c r="B3702" s="37">
        <v>479717139</v>
      </c>
      <c r="C3702" s="38">
        <v>0.22338570059434776</v>
      </c>
      <c r="D3702" s="14" t="s">
        <v>3743</v>
      </c>
      <c r="E3702" s="14" t="s">
        <v>48</v>
      </c>
    </row>
    <row r="3703" spans="1:5" x14ac:dyDescent="0.25">
      <c r="A3703" s="36">
        <v>3701</v>
      </c>
      <c r="B3703" s="37">
        <v>1192750541</v>
      </c>
      <c r="C3703" s="38">
        <v>0.55541775261769899</v>
      </c>
      <c r="D3703" s="14" t="s">
        <v>3744</v>
      </c>
      <c r="E3703" s="14" t="s">
        <v>37</v>
      </c>
    </row>
    <row r="3704" spans="1:5" x14ac:dyDescent="0.25">
      <c r="A3704" s="36">
        <v>3702</v>
      </c>
      <c r="B3704" s="37">
        <v>444125219</v>
      </c>
      <c r="C3704" s="38">
        <v>0.20681192130167592</v>
      </c>
      <c r="D3704" s="14" t="s">
        <v>3745</v>
      </c>
      <c r="E3704" s="14" t="s">
        <v>40</v>
      </c>
    </row>
    <row r="3705" spans="1:5" x14ac:dyDescent="0.25">
      <c r="A3705" s="36">
        <v>3703</v>
      </c>
      <c r="B3705" s="37">
        <v>183482330</v>
      </c>
      <c r="C3705" s="38">
        <v>8.5440618025809809E-2</v>
      </c>
      <c r="D3705" s="14" t="s">
        <v>3746</v>
      </c>
      <c r="E3705" s="14" t="s">
        <v>43</v>
      </c>
    </row>
    <row r="3706" spans="1:5" x14ac:dyDescent="0.25">
      <c r="A3706" s="36">
        <v>3704</v>
      </c>
      <c r="B3706" s="37">
        <v>1109938427</v>
      </c>
      <c r="C3706" s="38">
        <v>0.51685535698982665</v>
      </c>
      <c r="D3706" s="14" t="s">
        <v>3747</v>
      </c>
      <c r="E3706" s="14" t="s">
        <v>46</v>
      </c>
    </row>
    <row r="3707" spans="1:5" x14ac:dyDescent="0.25">
      <c r="A3707" s="36">
        <v>3705</v>
      </c>
      <c r="B3707" s="37">
        <v>290403005</v>
      </c>
      <c r="C3707" s="38">
        <v>0.13522943720930694</v>
      </c>
      <c r="D3707" s="14" t="s">
        <v>3748</v>
      </c>
      <c r="E3707" s="14" t="s">
        <v>48</v>
      </c>
    </row>
    <row r="3708" spans="1:5" x14ac:dyDescent="0.25">
      <c r="A3708" s="36">
        <v>3706</v>
      </c>
      <c r="B3708" s="37">
        <v>539247677</v>
      </c>
      <c r="C3708" s="38">
        <v>0.25110676756645867</v>
      </c>
      <c r="D3708" s="14" t="s">
        <v>3749</v>
      </c>
      <c r="E3708" s="14" t="s">
        <v>37</v>
      </c>
    </row>
    <row r="3709" spans="1:5" x14ac:dyDescent="0.25">
      <c r="A3709" s="36">
        <v>3707</v>
      </c>
      <c r="B3709" s="37">
        <v>2071075117</v>
      </c>
      <c r="C3709" s="38">
        <v>0.96441950554233957</v>
      </c>
      <c r="D3709" s="14" t="s">
        <v>3750</v>
      </c>
      <c r="E3709" s="14" t="s">
        <v>40</v>
      </c>
    </row>
    <row r="3710" spans="1:5" x14ac:dyDescent="0.25">
      <c r="A3710" s="36">
        <v>3708</v>
      </c>
      <c r="B3710" s="37">
        <v>1824499548</v>
      </c>
      <c r="C3710" s="38">
        <v>0.84959880860969372</v>
      </c>
      <c r="D3710" s="14" t="s">
        <v>3751</v>
      </c>
      <c r="E3710" s="14" t="s">
        <v>43</v>
      </c>
    </row>
    <row r="3711" spans="1:5" x14ac:dyDescent="0.25">
      <c r="A3711" s="36">
        <v>3709</v>
      </c>
      <c r="B3711" s="37">
        <v>1995091757</v>
      </c>
      <c r="C3711" s="38">
        <v>0.92903699629429592</v>
      </c>
      <c r="D3711" s="14" t="s">
        <v>3752</v>
      </c>
      <c r="E3711" s="14" t="s">
        <v>46</v>
      </c>
    </row>
    <row r="3712" spans="1:5" x14ac:dyDescent="0.25">
      <c r="A3712" s="36">
        <v>3710</v>
      </c>
      <c r="B3712" s="37">
        <v>1671585613</v>
      </c>
      <c r="C3712" s="38">
        <v>0.77839270875714384</v>
      </c>
      <c r="D3712" s="14" t="s">
        <v>3753</v>
      </c>
      <c r="E3712" s="14" t="s">
        <v>48</v>
      </c>
    </row>
    <row r="3713" spans="1:5" x14ac:dyDescent="0.25">
      <c r="A3713" s="36">
        <v>3711</v>
      </c>
      <c r="B3713" s="37">
        <v>1279212910</v>
      </c>
      <c r="C3713" s="38">
        <v>0.59567993068866432</v>
      </c>
      <c r="D3713" s="14" t="s">
        <v>3754</v>
      </c>
      <c r="E3713" s="14" t="s">
        <v>37</v>
      </c>
    </row>
    <row r="3714" spans="1:5" x14ac:dyDescent="0.25">
      <c r="A3714" s="36">
        <v>3712</v>
      </c>
      <c r="B3714" s="37">
        <v>1307313945</v>
      </c>
      <c r="C3714" s="38">
        <v>0.60876549482753761</v>
      </c>
      <c r="D3714" s="14" t="s">
        <v>3755</v>
      </c>
      <c r="E3714" s="14" t="s">
        <v>40</v>
      </c>
    </row>
    <row r="3715" spans="1:5" x14ac:dyDescent="0.25">
      <c r="A3715" s="36">
        <v>3713</v>
      </c>
      <c r="B3715" s="37">
        <v>1841282013</v>
      </c>
      <c r="C3715" s="38">
        <v>0.85741375286942989</v>
      </c>
      <c r="D3715" s="14" t="s">
        <v>3756</v>
      </c>
      <c r="E3715" s="14" t="s">
        <v>43</v>
      </c>
    </row>
    <row r="3716" spans="1:5" x14ac:dyDescent="0.25">
      <c r="A3716" s="36">
        <v>3714</v>
      </c>
      <c r="B3716" s="37">
        <v>212882059</v>
      </c>
      <c r="C3716" s="38">
        <v>9.9130933684823536E-2</v>
      </c>
      <c r="D3716" s="14" t="s">
        <v>3757</v>
      </c>
      <c r="E3716" s="14" t="s">
        <v>46</v>
      </c>
    </row>
    <row r="3717" spans="1:5" x14ac:dyDescent="0.25">
      <c r="A3717" s="36">
        <v>3715</v>
      </c>
      <c r="B3717" s="37">
        <v>836504316</v>
      </c>
      <c r="C3717" s="38">
        <v>0.38952767680842787</v>
      </c>
      <c r="D3717" s="14" t="s">
        <v>3758</v>
      </c>
      <c r="E3717" s="14" t="s">
        <v>48</v>
      </c>
    </row>
    <row r="3718" spans="1:5" x14ac:dyDescent="0.25">
      <c r="A3718" s="36">
        <v>3716</v>
      </c>
      <c r="B3718" s="37">
        <v>60935910</v>
      </c>
      <c r="C3718" s="38">
        <v>2.837549430708191E-2</v>
      </c>
      <c r="D3718" s="14" t="s">
        <v>3759</v>
      </c>
      <c r="E3718" s="14" t="s">
        <v>37</v>
      </c>
    </row>
    <row r="3719" spans="1:5" x14ac:dyDescent="0.25">
      <c r="A3719" s="36">
        <v>3717</v>
      </c>
      <c r="B3719" s="37">
        <v>411881869</v>
      </c>
      <c r="C3719" s="38">
        <v>0.19179744142657026</v>
      </c>
      <c r="D3719" s="14" t="s">
        <v>3760</v>
      </c>
      <c r="E3719" s="14" t="s">
        <v>40</v>
      </c>
    </row>
    <row r="3720" spans="1:5" x14ac:dyDescent="0.25">
      <c r="A3720" s="36">
        <v>3718</v>
      </c>
      <c r="B3720" s="37">
        <v>232629404</v>
      </c>
      <c r="C3720" s="38">
        <v>0.1083265077827156</v>
      </c>
      <c r="D3720" s="14" t="s">
        <v>3761</v>
      </c>
      <c r="E3720" s="14" t="s">
        <v>43</v>
      </c>
    </row>
    <row r="3721" spans="1:5" x14ac:dyDescent="0.25">
      <c r="A3721" s="36">
        <v>3719</v>
      </c>
      <c r="B3721" s="37">
        <v>1401239459</v>
      </c>
      <c r="C3721" s="38">
        <v>0.65250297060818552</v>
      </c>
      <c r="D3721" s="14" t="s">
        <v>3762</v>
      </c>
      <c r="E3721" s="14" t="s">
        <v>46</v>
      </c>
    </row>
    <row r="3722" spans="1:5" x14ac:dyDescent="0.25">
      <c r="A3722" s="36">
        <v>3720</v>
      </c>
      <c r="B3722" s="37">
        <v>2103003969</v>
      </c>
      <c r="C3722" s="38">
        <v>0.97928753587384132</v>
      </c>
      <c r="D3722" s="14" t="s">
        <v>3763</v>
      </c>
      <c r="E3722" s="14" t="s">
        <v>48</v>
      </c>
    </row>
    <row r="3723" spans="1:5" x14ac:dyDescent="0.25">
      <c r="A3723" s="36">
        <v>3721</v>
      </c>
      <c r="B3723" s="37">
        <v>124095245</v>
      </c>
      <c r="C3723" s="38">
        <v>5.7786351562378158E-2</v>
      </c>
      <c r="D3723" s="14" t="s">
        <v>3764</v>
      </c>
      <c r="E3723" s="14" t="s">
        <v>37</v>
      </c>
    </row>
    <row r="3724" spans="1:5" x14ac:dyDescent="0.25">
      <c r="A3724" s="36">
        <v>3722</v>
      </c>
      <c r="B3724" s="37">
        <v>642033859</v>
      </c>
      <c r="C3724" s="38">
        <v>0.29897031341631447</v>
      </c>
      <c r="D3724" s="14" t="s">
        <v>3765</v>
      </c>
      <c r="E3724" s="14" t="s">
        <v>40</v>
      </c>
    </row>
    <row r="3725" spans="1:5" x14ac:dyDescent="0.25">
      <c r="A3725" s="36">
        <v>3723</v>
      </c>
      <c r="B3725" s="37">
        <v>71028530</v>
      </c>
      <c r="C3725" s="38">
        <v>3.3075236730778237E-2</v>
      </c>
      <c r="D3725" s="14" t="s">
        <v>3766</v>
      </c>
      <c r="E3725" s="14" t="s">
        <v>43</v>
      </c>
    </row>
    <row r="3726" spans="1:5" x14ac:dyDescent="0.25">
      <c r="A3726" s="36">
        <v>3724</v>
      </c>
      <c r="B3726" s="37">
        <v>65616888</v>
      </c>
      <c r="C3726" s="38">
        <v>3.0555244549436145E-2</v>
      </c>
      <c r="D3726" s="14" t="s">
        <v>3767</v>
      </c>
      <c r="E3726" s="14" t="s">
        <v>46</v>
      </c>
    </row>
    <row r="3727" spans="1:5" x14ac:dyDescent="0.25">
      <c r="A3727" s="36">
        <v>3725</v>
      </c>
      <c r="B3727" s="37">
        <v>946116003</v>
      </c>
      <c r="C3727" s="38">
        <v>0.44056959610458912</v>
      </c>
      <c r="D3727" s="14" t="s">
        <v>3768</v>
      </c>
      <c r="E3727" s="14" t="s">
        <v>48</v>
      </c>
    </row>
    <row r="3728" spans="1:5" x14ac:dyDescent="0.25">
      <c r="A3728" s="36">
        <v>3726</v>
      </c>
      <c r="B3728" s="37">
        <v>1243590465</v>
      </c>
      <c r="C3728" s="38">
        <v>0.5790919370851908</v>
      </c>
      <c r="D3728" s="14" t="s">
        <v>3769</v>
      </c>
      <c r="E3728" s="14" t="s">
        <v>37</v>
      </c>
    </row>
    <row r="3729" spans="1:5" x14ac:dyDescent="0.25">
      <c r="A3729" s="36">
        <v>3727</v>
      </c>
      <c r="B3729" s="37">
        <v>1028027637</v>
      </c>
      <c r="C3729" s="38">
        <v>0.47871267305627124</v>
      </c>
      <c r="D3729" s="14" t="s">
        <v>3770</v>
      </c>
      <c r="E3729" s="14" t="s">
        <v>40</v>
      </c>
    </row>
    <row r="3730" spans="1:5" x14ac:dyDescent="0.25">
      <c r="A3730" s="36">
        <v>3728</v>
      </c>
      <c r="B3730" s="37">
        <v>1469426285</v>
      </c>
      <c r="C3730" s="38">
        <v>0.68425493579555996</v>
      </c>
      <c r="D3730" s="14" t="s">
        <v>3771</v>
      </c>
      <c r="E3730" s="14" t="s">
        <v>43</v>
      </c>
    </row>
    <row r="3731" spans="1:5" x14ac:dyDescent="0.25">
      <c r="A3731" s="36">
        <v>3729</v>
      </c>
      <c r="B3731" s="37">
        <v>1973840375</v>
      </c>
      <c r="C3731" s="38">
        <v>0.9191410503904992</v>
      </c>
      <c r="D3731" s="14" t="s">
        <v>3772</v>
      </c>
      <c r="E3731" s="14" t="s">
        <v>46</v>
      </c>
    </row>
    <row r="3732" spans="1:5" x14ac:dyDescent="0.25">
      <c r="A3732" s="36">
        <v>3730</v>
      </c>
      <c r="B3732" s="37">
        <v>1565595447</v>
      </c>
      <c r="C3732" s="38">
        <v>0.72903719159263991</v>
      </c>
      <c r="D3732" s="14" t="s">
        <v>3773</v>
      </c>
      <c r="E3732" s="14" t="s">
        <v>48</v>
      </c>
    </row>
    <row r="3733" spans="1:5" x14ac:dyDescent="0.25">
      <c r="A3733" s="36">
        <v>3731</v>
      </c>
      <c r="B3733" s="37">
        <v>222203751</v>
      </c>
      <c r="C3733" s="38">
        <v>0.10347168478345112</v>
      </c>
      <c r="D3733" s="14" t="s">
        <v>3774</v>
      </c>
      <c r="E3733" s="14" t="s">
        <v>37</v>
      </c>
    </row>
    <row r="3734" spans="1:5" x14ac:dyDescent="0.25">
      <c r="A3734" s="36">
        <v>3732</v>
      </c>
      <c r="B3734" s="37">
        <v>1456531041</v>
      </c>
      <c r="C3734" s="38">
        <v>0.67825011987157635</v>
      </c>
      <c r="D3734" s="14" t="s">
        <v>3775</v>
      </c>
      <c r="E3734" s="14" t="s">
        <v>40</v>
      </c>
    </row>
    <row r="3735" spans="1:5" x14ac:dyDescent="0.25">
      <c r="A3735" s="36">
        <v>3733</v>
      </c>
      <c r="B3735" s="37">
        <v>1616873040</v>
      </c>
      <c r="C3735" s="38">
        <v>0.75291518157018122</v>
      </c>
      <c r="D3735" s="14" t="s">
        <v>3776</v>
      </c>
      <c r="E3735" s="14" t="s">
        <v>43</v>
      </c>
    </row>
    <row r="3736" spans="1:5" x14ac:dyDescent="0.25">
      <c r="A3736" s="36">
        <v>3734</v>
      </c>
      <c r="B3736" s="37">
        <v>1320142061</v>
      </c>
      <c r="C3736" s="38">
        <v>0.61473905184061217</v>
      </c>
      <c r="D3736" s="14" t="s">
        <v>3777</v>
      </c>
      <c r="E3736" s="14" t="s">
        <v>46</v>
      </c>
    </row>
    <row r="3737" spans="1:5" x14ac:dyDescent="0.25">
      <c r="A3737" s="36">
        <v>3735</v>
      </c>
      <c r="B3737" s="37">
        <v>2131164792</v>
      </c>
      <c r="C3737" s="38">
        <v>0.99240094096977305</v>
      </c>
      <c r="D3737" s="14" t="s">
        <v>3778</v>
      </c>
      <c r="E3737" s="14" t="s">
        <v>48</v>
      </c>
    </row>
    <row r="3738" spans="1:5" x14ac:dyDescent="0.25">
      <c r="A3738" s="36">
        <v>3736</v>
      </c>
      <c r="B3738" s="37">
        <v>1392436251</v>
      </c>
      <c r="C3738" s="38">
        <v>0.64840365743655881</v>
      </c>
      <c r="D3738" s="14" t="s">
        <v>3779</v>
      </c>
      <c r="E3738" s="14" t="s">
        <v>37</v>
      </c>
    </row>
    <row r="3739" spans="1:5" x14ac:dyDescent="0.25">
      <c r="A3739" s="36">
        <v>3737</v>
      </c>
      <c r="B3739" s="37">
        <v>1224131250</v>
      </c>
      <c r="C3739" s="38">
        <v>0.57003053397407311</v>
      </c>
      <c r="D3739" s="14" t="s">
        <v>3780</v>
      </c>
      <c r="E3739" s="14" t="s">
        <v>40</v>
      </c>
    </row>
    <row r="3740" spans="1:5" x14ac:dyDescent="0.25">
      <c r="A3740" s="36">
        <v>3738</v>
      </c>
      <c r="B3740" s="37">
        <v>1174027463</v>
      </c>
      <c r="C3740" s="38">
        <v>0.5466991400097958</v>
      </c>
      <c r="D3740" s="14" t="s">
        <v>3781</v>
      </c>
      <c r="E3740" s="14" t="s">
        <v>43</v>
      </c>
    </row>
    <row r="3741" spans="1:5" x14ac:dyDescent="0.25">
      <c r="A3741" s="36">
        <v>3739</v>
      </c>
      <c r="B3741" s="37">
        <v>1842886180</v>
      </c>
      <c r="C3741" s="38">
        <v>0.85816075134005432</v>
      </c>
      <c r="D3741" s="14" t="s">
        <v>3782</v>
      </c>
      <c r="E3741" s="14" t="s">
        <v>46</v>
      </c>
    </row>
    <row r="3742" spans="1:5" x14ac:dyDescent="0.25">
      <c r="A3742" s="36">
        <v>3740</v>
      </c>
      <c r="B3742" s="37">
        <v>1066784513</v>
      </c>
      <c r="C3742" s="38">
        <v>0.49676024983486172</v>
      </c>
      <c r="D3742" s="14" t="s">
        <v>3783</v>
      </c>
      <c r="E3742" s="14" t="s">
        <v>48</v>
      </c>
    </row>
    <row r="3743" spans="1:5" x14ac:dyDescent="0.25">
      <c r="A3743" s="36">
        <v>3741</v>
      </c>
      <c r="B3743" s="37">
        <v>702210658</v>
      </c>
      <c r="C3743" s="38">
        <v>0.32699231911776228</v>
      </c>
      <c r="D3743" s="14" t="s">
        <v>3784</v>
      </c>
      <c r="E3743" s="14" t="s">
        <v>37</v>
      </c>
    </row>
    <row r="3744" spans="1:5" x14ac:dyDescent="0.25">
      <c r="A3744" s="36">
        <v>3742</v>
      </c>
      <c r="B3744" s="37">
        <v>777636984</v>
      </c>
      <c r="C3744" s="38">
        <v>0.36211543919617095</v>
      </c>
      <c r="D3744" s="14" t="s">
        <v>3785</v>
      </c>
      <c r="E3744" s="14" t="s">
        <v>40</v>
      </c>
    </row>
    <row r="3745" spans="1:5" x14ac:dyDescent="0.25">
      <c r="A3745" s="36">
        <v>3743</v>
      </c>
      <c r="B3745" s="37">
        <v>1446467573</v>
      </c>
      <c r="C3745" s="38">
        <v>0.67356395240573397</v>
      </c>
      <c r="D3745" s="14" t="s">
        <v>3786</v>
      </c>
      <c r="E3745" s="14" t="s">
        <v>43</v>
      </c>
    </row>
    <row r="3746" spans="1:5" x14ac:dyDescent="0.25">
      <c r="A3746" s="36">
        <v>3744</v>
      </c>
      <c r="B3746" s="37">
        <v>1095246940</v>
      </c>
      <c r="C3746" s="38">
        <v>0.51001410023775606</v>
      </c>
      <c r="D3746" s="14" t="s">
        <v>3787</v>
      </c>
      <c r="E3746" s="14" t="s">
        <v>46</v>
      </c>
    </row>
    <row r="3747" spans="1:5" x14ac:dyDescent="0.25">
      <c r="A3747" s="36">
        <v>3745</v>
      </c>
      <c r="B3747" s="37">
        <v>1486776366</v>
      </c>
      <c r="C3747" s="38">
        <v>0.69233419685267572</v>
      </c>
      <c r="D3747" s="14" t="s">
        <v>3788</v>
      </c>
      <c r="E3747" s="14" t="s">
        <v>48</v>
      </c>
    </row>
    <row r="3748" spans="1:5" x14ac:dyDescent="0.25">
      <c r="A3748" s="36">
        <v>3746</v>
      </c>
      <c r="B3748" s="37">
        <v>109848397</v>
      </c>
      <c r="C3748" s="38">
        <v>5.1152145979531174E-2</v>
      </c>
      <c r="D3748" s="14" t="s">
        <v>3789</v>
      </c>
      <c r="E3748" s="14" t="s">
        <v>37</v>
      </c>
    </row>
    <row r="3749" spans="1:5" x14ac:dyDescent="0.25">
      <c r="A3749" s="36">
        <v>3747</v>
      </c>
      <c r="B3749" s="37">
        <v>1069280480</v>
      </c>
      <c r="C3749" s="38">
        <v>0.49792252504170059</v>
      </c>
      <c r="D3749" s="14" t="s">
        <v>3790</v>
      </c>
      <c r="E3749" s="14" t="s">
        <v>40</v>
      </c>
    </row>
    <row r="3750" spans="1:5" x14ac:dyDescent="0.25">
      <c r="A3750" s="36">
        <v>3748</v>
      </c>
      <c r="B3750" s="37">
        <v>2068308035</v>
      </c>
      <c r="C3750" s="38">
        <v>0.96313098257553342</v>
      </c>
      <c r="D3750" s="14" t="s">
        <v>3791</v>
      </c>
      <c r="E3750" s="14" t="s">
        <v>43</v>
      </c>
    </row>
    <row r="3751" spans="1:5" x14ac:dyDescent="0.25">
      <c r="A3751" s="36">
        <v>3749</v>
      </c>
      <c r="B3751" s="37">
        <v>152272666</v>
      </c>
      <c r="C3751" s="38">
        <v>7.0907485704360285E-2</v>
      </c>
      <c r="D3751" s="14" t="s">
        <v>3792</v>
      </c>
      <c r="E3751" s="14" t="s">
        <v>46</v>
      </c>
    </row>
    <row r="3752" spans="1:5" x14ac:dyDescent="0.25">
      <c r="A3752" s="36">
        <v>3750</v>
      </c>
      <c r="B3752" s="37">
        <v>1620873404</v>
      </c>
      <c r="C3752" s="38">
        <v>0.75477799622098818</v>
      </c>
      <c r="D3752" s="14" t="s">
        <v>3793</v>
      </c>
      <c r="E3752" s="14" t="s">
        <v>48</v>
      </c>
    </row>
    <row r="3753" spans="1:5" x14ac:dyDescent="0.25">
      <c r="A3753" s="36">
        <v>3751</v>
      </c>
      <c r="B3753" s="37">
        <v>679239814</v>
      </c>
      <c r="C3753" s="38">
        <v>0.31629568632519606</v>
      </c>
      <c r="D3753" s="14" t="s">
        <v>3794</v>
      </c>
      <c r="E3753" s="14" t="s">
        <v>37</v>
      </c>
    </row>
    <row r="3754" spans="1:5" x14ac:dyDescent="0.25">
      <c r="A3754" s="36">
        <v>3752</v>
      </c>
      <c r="B3754" s="37">
        <v>1179862719</v>
      </c>
      <c r="C3754" s="38">
        <v>0.54941639283179133</v>
      </c>
      <c r="D3754" s="14" t="s">
        <v>3795</v>
      </c>
      <c r="E3754" s="14" t="s">
        <v>40</v>
      </c>
    </row>
    <row r="3755" spans="1:5" x14ac:dyDescent="0.25">
      <c r="A3755" s="36">
        <v>3753</v>
      </c>
      <c r="B3755" s="37">
        <v>1703844199</v>
      </c>
      <c r="C3755" s="38">
        <v>0.79341428344762621</v>
      </c>
      <c r="D3755" s="14" t="s">
        <v>3796</v>
      </c>
      <c r="E3755" s="14" t="s">
        <v>43</v>
      </c>
    </row>
    <row r="3756" spans="1:5" x14ac:dyDescent="0.25">
      <c r="A3756" s="36">
        <v>3754</v>
      </c>
      <c r="B3756" s="37">
        <v>820964972</v>
      </c>
      <c r="C3756" s="38">
        <v>0.38229160587410049</v>
      </c>
      <c r="D3756" s="14" t="s">
        <v>3797</v>
      </c>
      <c r="E3756" s="14" t="s">
        <v>46</v>
      </c>
    </row>
    <row r="3757" spans="1:5" x14ac:dyDescent="0.25">
      <c r="A3757" s="36">
        <v>3755</v>
      </c>
      <c r="B3757" s="37">
        <v>874892425</v>
      </c>
      <c r="C3757" s="38">
        <v>0.4074035330710018</v>
      </c>
      <c r="D3757" s="14" t="s">
        <v>3798</v>
      </c>
      <c r="E3757" s="14" t="s">
        <v>48</v>
      </c>
    </row>
    <row r="3758" spans="1:5" x14ac:dyDescent="0.25">
      <c r="A3758" s="36">
        <v>3756</v>
      </c>
      <c r="B3758" s="37">
        <v>1799636297</v>
      </c>
      <c r="C3758" s="38">
        <v>0.83802095513698693</v>
      </c>
      <c r="D3758" s="14" t="s">
        <v>3799</v>
      </c>
      <c r="E3758" s="14" t="s">
        <v>37</v>
      </c>
    </row>
    <row r="3759" spans="1:5" x14ac:dyDescent="0.25">
      <c r="A3759" s="36">
        <v>3757</v>
      </c>
      <c r="B3759" s="37">
        <v>649582319</v>
      </c>
      <c r="C3759" s="38">
        <v>0.30248533901874225</v>
      </c>
      <c r="D3759" s="14" t="s">
        <v>3800</v>
      </c>
      <c r="E3759" s="14" t="s">
        <v>40</v>
      </c>
    </row>
    <row r="3760" spans="1:5" x14ac:dyDescent="0.25">
      <c r="A3760" s="36">
        <v>3758</v>
      </c>
      <c r="B3760" s="37">
        <v>1892075080</v>
      </c>
      <c r="C3760" s="38">
        <v>0.88106611784597211</v>
      </c>
      <c r="D3760" s="14" t="s">
        <v>3801</v>
      </c>
      <c r="E3760" s="14" t="s">
        <v>43</v>
      </c>
    </row>
    <row r="3761" spans="1:5" x14ac:dyDescent="0.25">
      <c r="A3761" s="36">
        <v>3759</v>
      </c>
      <c r="B3761" s="37">
        <v>111547844</v>
      </c>
      <c r="C3761" s="38">
        <v>5.1943512657630961E-2</v>
      </c>
      <c r="D3761" s="14" t="s">
        <v>3802</v>
      </c>
      <c r="E3761" s="14" t="s">
        <v>46</v>
      </c>
    </row>
    <row r="3762" spans="1:5" x14ac:dyDescent="0.25">
      <c r="A3762" s="36">
        <v>3760</v>
      </c>
      <c r="B3762" s="37">
        <v>1605335056</v>
      </c>
      <c r="C3762" s="38">
        <v>0.74754238908530324</v>
      </c>
      <c r="D3762" s="14" t="s">
        <v>3803</v>
      </c>
      <c r="E3762" s="14" t="s">
        <v>48</v>
      </c>
    </row>
    <row r="3763" spans="1:5" x14ac:dyDescent="0.25">
      <c r="A3763" s="36">
        <v>3761</v>
      </c>
      <c r="B3763" s="37">
        <v>1003579582</v>
      </c>
      <c r="C3763" s="38">
        <v>0.46732816028749952</v>
      </c>
      <c r="D3763" s="14" t="s">
        <v>3804</v>
      </c>
      <c r="E3763" s="14" t="s">
        <v>37</v>
      </c>
    </row>
    <row r="3764" spans="1:5" x14ac:dyDescent="0.25">
      <c r="A3764" s="36">
        <v>3762</v>
      </c>
      <c r="B3764" s="37">
        <v>1885788060</v>
      </c>
      <c r="C3764" s="38">
        <v>0.87813849601807936</v>
      </c>
      <c r="D3764" s="14" t="s">
        <v>3805</v>
      </c>
      <c r="E3764" s="14" t="s">
        <v>40</v>
      </c>
    </row>
    <row r="3765" spans="1:5" x14ac:dyDescent="0.25">
      <c r="A3765" s="36">
        <v>3763</v>
      </c>
      <c r="B3765" s="37">
        <v>2044877822</v>
      </c>
      <c r="C3765" s="38">
        <v>0.95222043942297829</v>
      </c>
      <c r="D3765" s="14" t="s">
        <v>3806</v>
      </c>
      <c r="E3765" s="14" t="s">
        <v>43</v>
      </c>
    </row>
    <row r="3766" spans="1:5" x14ac:dyDescent="0.25">
      <c r="A3766" s="36">
        <v>3764</v>
      </c>
      <c r="B3766" s="37">
        <v>427492008</v>
      </c>
      <c r="C3766" s="38">
        <v>0.19906647885174791</v>
      </c>
      <c r="D3766" s="14" t="s">
        <v>3807</v>
      </c>
      <c r="E3766" s="14" t="s">
        <v>46</v>
      </c>
    </row>
    <row r="3767" spans="1:5" x14ac:dyDescent="0.25">
      <c r="A3767" s="36">
        <v>3765</v>
      </c>
      <c r="B3767" s="37">
        <v>1294603326</v>
      </c>
      <c r="C3767" s="38">
        <v>0.60284665161876316</v>
      </c>
      <c r="D3767" s="14" t="s">
        <v>3808</v>
      </c>
      <c r="E3767" s="14" t="s">
        <v>48</v>
      </c>
    </row>
    <row r="3768" spans="1:5" x14ac:dyDescent="0.25">
      <c r="A3768" s="36">
        <v>3766</v>
      </c>
      <c r="B3768" s="37">
        <v>1707081282</v>
      </c>
      <c r="C3768" s="38">
        <v>0.79492166768523009</v>
      </c>
      <c r="D3768" s="14" t="s">
        <v>3809</v>
      </c>
      <c r="E3768" s="14" t="s">
        <v>37</v>
      </c>
    </row>
    <row r="3769" spans="1:5" x14ac:dyDescent="0.25">
      <c r="A3769" s="36">
        <v>3767</v>
      </c>
      <c r="B3769" s="37">
        <v>990075224</v>
      </c>
      <c r="C3769" s="38">
        <v>0.46103970355402663</v>
      </c>
      <c r="D3769" s="14" t="s">
        <v>3810</v>
      </c>
      <c r="E3769" s="14" t="s">
        <v>40</v>
      </c>
    </row>
    <row r="3770" spans="1:5" x14ac:dyDescent="0.25">
      <c r="A3770" s="36">
        <v>3768</v>
      </c>
      <c r="B3770" s="37">
        <v>1255621259</v>
      </c>
      <c r="C3770" s="38">
        <v>0.58469421210917372</v>
      </c>
      <c r="D3770" s="14" t="s">
        <v>3811</v>
      </c>
      <c r="E3770" s="14" t="s">
        <v>43</v>
      </c>
    </row>
    <row r="3771" spans="1:5" x14ac:dyDescent="0.25">
      <c r="A3771" s="36">
        <v>3769</v>
      </c>
      <c r="B3771" s="37">
        <v>1300402212</v>
      </c>
      <c r="C3771" s="38">
        <v>0.60554696833973143</v>
      </c>
      <c r="D3771" s="14" t="s">
        <v>3812</v>
      </c>
      <c r="E3771" s="14" t="s">
        <v>46</v>
      </c>
    </row>
    <row r="3772" spans="1:5" x14ac:dyDescent="0.25">
      <c r="A3772" s="36">
        <v>3770</v>
      </c>
      <c r="B3772" s="37">
        <v>1158807167</v>
      </c>
      <c r="C3772" s="38">
        <v>0.53961163737793061</v>
      </c>
      <c r="D3772" s="14" t="s">
        <v>3813</v>
      </c>
      <c r="E3772" s="14" t="s">
        <v>48</v>
      </c>
    </row>
    <row r="3773" spans="1:5" x14ac:dyDescent="0.25">
      <c r="A3773" s="36">
        <v>3771</v>
      </c>
      <c r="B3773" s="37">
        <v>1144270439</v>
      </c>
      <c r="C3773" s="38">
        <v>0.53284244590105601</v>
      </c>
      <c r="D3773" s="14" t="s">
        <v>3814</v>
      </c>
      <c r="E3773" s="14" t="s">
        <v>37</v>
      </c>
    </row>
    <row r="3774" spans="1:5" x14ac:dyDescent="0.25">
      <c r="A3774" s="36">
        <v>3772</v>
      </c>
      <c r="B3774" s="37">
        <v>95346988</v>
      </c>
      <c r="C3774" s="38">
        <v>4.4399401193670647E-2</v>
      </c>
      <c r="D3774" s="14" t="s">
        <v>3815</v>
      </c>
      <c r="E3774" s="14" t="s">
        <v>40</v>
      </c>
    </row>
    <row r="3775" spans="1:5" x14ac:dyDescent="0.25">
      <c r="A3775" s="36">
        <v>3773</v>
      </c>
      <c r="B3775" s="37">
        <v>827657035</v>
      </c>
      <c r="C3775" s="38">
        <v>0.3854078405468761</v>
      </c>
      <c r="D3775" s="14" t="s">
        <v>3816</v>
      </c>
      <c r="E3775" s="14" t="s">
        <v>43</v>
      </c>
    </row>
    <row r="3776" spans="1:5" x14ac:dyDescent="0.25">
      <c r="A3776" s="36">
        <v>3774</v>
      </c>
      <c r="B3776" s="37">
        <v>983380511</v>
      </c>
      <c r="C3776" s="38">
        <v>0.4579222348788391</v>
      </c>
      <c r="D3776" s="14" t="s">
        <v>3817</v>
      </c>
      <c r="E3776" s="14" t="s">
        <v>46</v>
      </c>
    </row>
    <row r="3777" spans="1:5" x14ac:dyDescent="0.25">
      <c r="A3777" s="36">
        <v>3775</v>
      </c>
      <c r="B3777" s="37">
        <v>1031109217</v>
      </c>
      <c r="C3777" s="38">
        <v>0.48014764556668121</v>
      </c>
      <c r="D3777" s="14" t="s">
        <v>3818</v>
      </c>
      <c r="E3777" s="14" t="s">
        <v>48</v>
      </c>
    </row>
    <row r="3778" spans="1:5" x14ac:dyDescent="0.25">
      <c r="A3778" s="36">
        <v>3776</v>
      </c>
      <c r="B3778" s="37">
        <v>497943102</v>
      </c>
      <c r="C3778" s="38">
        <v>0.2318728259913031</v>
      </c>
      <c r="D3778" s="14" t="s">
        <v>3819</v>
      </c>
      <c r="E3778" s="14" t="s">
        <v>37</v>
      </c>
    </row>
    <row r="3779" spans="1:5" x14ac:dyDescent="0.25">
      <c r="A3779" s="36">
        <v>3777</v>
      </c>
      <c r="B3779" s="37">
        <v>1262331947</v>
      </c>
      <c r="C3779" s="38">
        <v>0.58781911972342948</v>
      </c>
      <c r="D3779" s="14" t="s">
        <v>3820</v>
      </c>
      <c r="E3779" s="14" t="s">
        <v>40</v>
      </c>
    </row>
    <row r="3780" spans="1:5" x14ac:dyDescent="0.25">
      <c r="A3780" s="36">
        <v>3778</v>
      </c>
      <c r="B3780" s="37">
        <v>198413718</v>
      </c>
      <c r="C3780" s="38">
        <v>9.2393587386418868E-2</v>
      </c>
      <c r="D3780" s="14" t="s">
        <v>3821</v>
      </c>
      <c r="E3780" s="14" t="s">
        <v>43</v>
      </c>
    </row>
    <row r="3781" spans="1:5" x14ac:dyDescent="0.25">
      <c r="A3781" s="36">
        <v>3779</v>
      </c>
      <c r="B3781" s="37">
        <v>1950302396</v>
      </c>
      <c r="C3781" s="38">
        <v>0.90818032478363264</v>
      </c>
      <c r="D3781" s="14" t="s">
        <v>3822</v>
      </c>
      <c r="E3781" s="14" t="s">
        <v>46</v>
      </c>
    </row>
    <row r="3782" spans="1:5" x14ac:dyDescent="0.25">
      <c r="A3782" s="36">
        <v>3780</v>
      </c>
      <c r="B3782" s="37">
        <v>702756340</v>
      </c>
      <c r="C3782" s="38">
        <v>0.32724642210046129</v>
      </c>
      <c r="D3782" s="14" t="s">
        <v>3823</v>
      </c>
      <c r="E3782" s="14" t="s">
        <v>48</v>
      </c>
    </row>
    <row r="3783" spans="1:5" x14ac:dyDescent="0.25">
      <c r="A3783" s="36">
        <v>3781</v>
      </c>
      <c r="B3783" s="37">
        <v>693385353</v>
      </c>
      <c r="C3783" s="38">
        <v>0.32288271622866521</v>
      </c>
      <c r="D3783" s="14" t="s">
        <v>3824</v>
      </c>
      <c r="E3783" s="14" t="s">
        <v>37</v>
      </c>
    </row>
    <row r="3784" spans="1:5" x14ac:dyDescent="0.25">
      <c r="A3784" s="36">
        <v>3782</v>
      </c>
      <c r="B3784" s="37">
        <v>1772460986</v>
      </c>
      <c r="C3784" s="38">
        <v>0.82536646482784604</v>
      </c>
      <c r="D3784" s="14" t="s">
        <v>3825</v>
      </c>
      <c r="E3784" s="14" t="s">
        <v>40</v>
      </c>
    </row>
    <row r="3785" spans="1:5" x14ac:dyDescent="0.25">
      <c r="A3785" s="36">
        <v>3783</v>
      </c>
      <c r="B3785" s="37">
        <v>1260580452</v>
      </c>
      <c r="C3785" s="38">
        <v>0.58700351630663661</v>
      </c>
      <c r="D3785" s="14" t="s">
        <v>3826</v>
      </c>
      <c r="E3785" s="14" t="s">
        <v>43</v>
      </c>
    </row>
    <row r="3786" spans="1:5" x14ac:dyDescent="0.25">
      <c r="A3786" s="36">
        <v>3784</v>
      </c>
      <c r="B3786" s="37">
        <v>1073991469</v>
      </c>
      <c r="C3786" s="38">
        <v>0.50011625024495476</v>
      </c>
      <c r="D3786" s="14" t="s">
        <v>3827</v>
      </c>
      <c r="E3786" s="14" t="s">
        <v>46</v>
      </c>
    </row>
    <row r="3787" spans="1:5" x14ac:dyDescent="0.25">
      <c r="A3787" s="36">
        <v>3785</v>
      </c>
      <c r="B3787" s="37">
        <v>1016994416</v>
      </c>
      <c r="C3787" s="38">
        <v>0.47357492915986799</v>
      </c>
      <c r="D3787" s="14" t="s">
        <v>3828</v>
      </c>
      <c r="E3787" s="14" t="s">
        <v>48</v>
      </c>
    </row>
    <row r="3788" spans="1:5" x14ac:dyDescent="0.25">
      <c r="A3788" s="36">
        <v>3786</v>
      </c>
      <c r="B3788" s="37">
        <v>1677390404</v>
      </c>
      <c r="C3788" s="38">
        <v>0.78109577520801488</v>
      </c>
      <c r="D3788" s="14" t="s">
        <v>3829</v>
      </c>
      <c r="E3788" s="14" t="s">
        <v>37</v>
      </c>
    </row>
    <row r="3789" spans="1:5" x14ac:dyDescent="0.25">
      <c r="A3789" s="36">
        <v>3787</v>
      </c>
      <c r="B3789" s="37">
        <v>1970024332</v>
      </c>
      <c r="C3789" s="38">
        <v>0.91736406689387007</v>
      </c>
      <c r="D3789" s="14" t="s">
        <v>3830</v>
      </c>
      <c r="E3789" s="14" t="s">
        <v>40</v>
      </c>
    </row>
    <row r="3790" spans="1:5" x14ac:dyDescent="0.25">
      <c r="A3790" s="36">
        <v>3788</v>
      </c>
      <c r="B3790" s="37">
        <v>1923248698</v>
      </c>
      <c r="C3790" s="38">
        <v>0.89558246494065152</v>
      </c>
      <c r="D3790" s="14" t="s">
        <v>3831</v>
      </c>
      <c r="E3790" s="14" t="s">
        <v>43</v>
      </c>
    </row>
    <row r="3791" spans="1:5" x14ac:dyDescent="0.25">
      <c r="A3791" s="36">
        <v>3789</v>
      </c>
      <c r="B3791" s="37">
        <v>1878170480</v>
      </c>
      <c r="C3791" s="38">
        <v>0.87459128390745788</v>
      </c>
      <c r="D3791" s="14" t="s">
        <v>3832</v>
      </c>
      <c r="E3791" s="14" t="s">
        <v>46</v>
      </c>
    </row>
    <row r="3792" spans="1:5" x14ac:dyDescent="0.25">
      <c r="A3792" s="36">
        <v>3790</v>
      </c>
      <c r="B3792" s="37">
        <v>1135980210</v>
      </c>
      <c r="C3792" s="38">
        <v>0.52898200719104238</v>
      </c>
      <c r="D3792" s="14" t="s">
        <v>3833</v>
      </c>
      <c r="E3792" s="14" t="s">
        <v>48</v>
      </c>
    </row>
    <row r="3793" spans="1:5" x14ac:dyDescent="0.25">
      <c r="A3793" s="36">
        <v>3791</v>
      </c>
      <c r="B3793" s="37">
        <v>531836385</v>
      </c>
      <c r="C3793" s="38">
        <v>0.24765561579151807</v>
      </c>
      <c r="D3793" s="14" t="s">
        <v>3834</v>
      </c>
      <c r="E3793" s="14" t="s">
        <v>37</v>
      </c>
    </row>
    <row r="3794" spans="1:5" x14ac:dyDescent="0.25">
      <c r="A3794" s="36">
        <v>3792</v>
      </c>
      <c r="B3794" s="37">
        <v>936327185</v>
      </c>
      <c r="C3794" s="38">
        <v>0.43601132251136532</v>
      </c>
      <c r="D3794" s="14" t="s">
        <v>3835</v>
      </c>
      <c r="E3794" s="14" t="s">
        <v>40</v>
      </c>
    </row>
    <row r="3795" spans="1:5" x14ac:dyDescent="0.25">
      <c r="A3795" s="36">
        <v>3793</v>
      </c>
      <c r="B3795" s="37">
        <v>469738804</v>
      </c>
      <c r="C3795" s="38">
        <v>0.21873917627089617</v>
      </c>
      <c r="D3795" s="14" t="s">
        <v>3836</v>
      </c>
      <c r="E3795" s="14" t="s">
        <v>43</v>
      </c>
    </row>
    <row r="3796" spans="1:5" x14ac:dyDescent="0.25">
      <c r="A3796" s="36">
        <v>3794</v>
      </c>
      <c r="B3796" s="37">
        <v>643210564</v>
      </c>
      <c r="C3796" s="38">
        <v>0.29951825938165105</v>
      </c>
      <c r="D3796" s="14" t="s">
        <v>3837</v>
      </c>
      <c r="E3796" s="14" t="s">
        <v>46</v>
      </c>
    </row>
    <row r="3797" spans="1:5" x14ac:dyDescent="0.25">
      <c r="A3797" s="36">
        <v>3795</v>
      </c>
      <c r="B3797" s="37">
        <v>220832591</v>
      </c>
      <c r="C3797" s="38">
        <v>0.10283318865244891</v>
      </c>
      <c r="D3797" s="14" t="s">
        <v>3838</v>
      </c>
      <c r="E3797" s="14" t="s">
        <v>48</v>
      </c>
    </row>
    <row r="3798" spans="1:5" x14ac:dyDescent="0.25">
      <c r="A3798" s="36">
        <v>3796</v>
      </c>
      <c r="B3798" s="37">
        <v>1901548802</v>
      </c>
      <c r="C3798" s="38">
        <v>0.88547766343014211</v>
      </c>
      <c r="D3798" s="14" t="s">
        <v>3839</v>
      </c>
      <c r="E3798" s="14" t="s">
        <v>37</v>
      </c>
    </row>
    <row r="3799" spans="1:5" x14ac:dyDescent="0.25">
      <c r="A3799" s="36">
        <v>3797</v>
      </c>
      <c r="B3799" s="37">
        <v>386239973</v>
      </c>
      <c r="C3799" s="38">
        <v>0.1798570031206389</v>
      </c>
      <c r="D3799" s="14" t="s">
        <v>3840</v>
      </c>
      <c r="E3799" s="14" t="s">
        <v>40</v>
      </c>
    </row>
    <row r="3800" spans="1:5" x14ac:dyDescent="0.25">
      <c r="A3800" s="36">
        <v>3798</v>
      </c>
      <c r="B3800" s="37">
        <v>2040657776</v>
      </c>
      <c r="C3800" s="38">
        <v>0.95025532736920537</v>
      </c>
      <c r="D3800" s="14" t="s">
        <v>3841</v>
      </c>
      <c r="E3800" s="14" t="s">
        <v>43</v>
      </c>
    </row>
    <row r="3801" spans="1:5" x14ac:dyDescent="0.25">
      <c r="A3801" s="36">
        <v>3799</v>
      </c>
      <c r="B3801" s="37">
        <v>474433195</v>
      </c>
      <c r="C3801" s="38">
        <v>0.22092517242809998</v>
      </c>
      <c r="D3801" s="14" t="s">
        <v>3842</v>
      </c>
      <c r="E3801" s="14" t="s">
        <v>46</v>
      </c>
    </row>
    <row r="3802" spans="1:5" x14ac:dyDescent="0.25">
      <c r="A3802" s="36">
        <v>3800</v>
      </c>
      <c r="B3802" s="37">
        <v>2028882053</v>
      </c>
      <c r="C3802" s="38">
        <v>0.94477182903549251</v>
      </c>
      <c r="D3802" s="14" t="s">
        <v>3843</v>
      </c>
      <c r="E3802" s="14" t="s">
        <v>48</v>
      </c>
    </row>
    <row r="3803" spans="1:5" x14ac:dyDescent="0.25">
      <c r="A3803" s="36">
        <v>3801</v>
      </c>
      <c r="B3803" s="37">
        <v>1719836436</v>
      </c>
      <c r="C3803" s="38">
        <v>0.80086124911944445</v>
      </c>
      <c r="D3803" s="14" t="s">
        <v>3844</v>
      </c>
      <c r="E3803" s="14" t="s">
        <v>37</v>
      </c>
    </row>
    <row r="3804" spans="1:5" x14ac:dyDescent="0.25">
      <c r="A3804" s="36">
        <v>3802</v>
      </c>
      <c r="B3804" s="37">
        <v>91969185</v>
      </c>
      <c r="C3804" s="38">
        <v>4.2826489099686262E-2</v>
      </c>
      <c r="D3804" s="14" t="s">
        <v>3845</v>
      </c>
      <c r="E3804" s="14" t="s">
        <v>40</v>
      </c>
    </row>
    <row r="3805" spans="1:5" x14ac:dyDescent="0.25">
      <c r="A3805" s="36">
        <v>3803</v>
      </c>
      <c r="B3805" s="37">
        <v>502306306</v>
      </c>
      <c r="C3805" s="38">
        <v>0.23390460118367551</v>
      </c>
      <c r="D3805" s="14" t="s">
        <v>3846</v>
      </c>
      <c r="E3805" s="14" t="s">
        <v>43</v>
      </c>
    </row>
    <row r="3806" spans="1:5" x14ac:dyDescent="0.25">
      <c r="A3806" s="36">
        <v>3804</v>
      </c>
      <c r="B3806" s="37">
        <v>1134775893</v>
      </c>
      <c r="C3806" s="38">
        <v>0.52842120338623466</v>
      </c>
      <c r="D3806" s="14" t="s">
        <v>3847</v>
      </c>
      <c r="E3806" s="14" t="s">
        <v>46</v>
      </c>
    </row>
    <row r="3807" spans="1:5" x14ac:dyDescent="0.25">
      <c r="A3807" s="36">
        <v>3805</v>
      </c>
      <c r="B3807" s="37">
        <v>1665808258</v>
      </c>
      <c r="C3807" s="38">
        <v>0.77570241818935726</v>
      </c>
      <c r="D3807" s="14" t="s">
        <v>3848</v>
      </c>
      <c r="E3807" s="14" t="s">
        <v>48</v>
      </c>
    </row>
    <row r="3808" spans="1:5" x14ac:dyDescent="0.25">
      <c r="A3808" s="36">
        <v>3806</v>
      </c>
      <c r="B3808" s="37">
        <v>1159152801</v>
      </c>
      <c r="C3808" s="38">
        <v>0.53977258575138287</v>
      </c>
      <c r="D3808" s="14" t="s">
        <v>3849</v>
      </c>
      <c r="E3808" s="14" t="s">
        <v>37</v>
      </c>
    </row>
    <row r="3809" spans="1:5" x14ac:dyDescent="0.25">
      <c r="A3809" s="36">
        <v>3807</v>
      </c>
      <c r="B3809" s="37">
        <v>935086893</v>
      </c>
      <c r="C3809" s="38">
        <v>0.43543376654173888</v>
      </c>
      <c r="D3809" s="14" t="s">
        <v>3850</v>
      </c>
      <c r="E3809" s="14" t="s">
        <v>40</v>
      </c>
    </row>
    <row r="3810" spans="1:5" x14ac:dyDescent="0.25">
      <c r="A3810" s="36">
        <v>3808</v>
      </c>
      <c r="B3810" s="37">
        <v>1851965918</v>
      </c>
      <c r="C3810" s="38">
        <v>0.86238883382752018</v>
      </c>
      <c r="D3810" s="14" t="s">
        <v>3851</v>
      </c>
      <c r="E3810" s="14" t="s">
        <v>43</v>
      </c>
    </row>
    <row r="3811" spans="1:5" x14ac:dyDescent="0.25">
      <c r="A3811" s="36">
        <v>3809</v>
      </c>
      <c r="B3811" s="37">
        <v>527771377</v>
      </c>
      <c r="C3811" s="38">
        <v>0.24576269893244035</v>
      </c>
      <c r="D3811" s="14" t="s">
        <v>3852</v>
      </c>
      <c r="E3811" s="14" t="s">
        <v>46</v>
      </c>
    </row>
    <row r="3812" spans="1:5" x14ac:dyDescent="0.25">
      <c r="A3812" s="36">
        <v>3810</v>
      </c>
      <c r="B3812" s="37">
        <v>1349857682</v>
      </c>
      <c r="C3812" s="38">
        <v>0.62857646617506469</v>
      </c>
      <c r="D3812" s="14" t="s">
        <v>3853</v>
      </c>
      <c r="E3812" s="14" t="s">
        <v>48</v>
      </c>
    </row>
    <row r="3813" spans="1:5" x14ac:dyDescent="0.25">
      <c r="A3813" s="36">
        <v>3811</v>
      </c>
      <c r="B3813" s="37">
        <v>1534368466</v>
      </c>
      <c r="C3813" s="38">
        <v>0.71449599541467423</v>
      </c>
      <c r="D3813" s="14" t="s">
        <v>3854</v>
      </c>
      <c r="E3813" s="14" t="s">
        <v>37</v>
      </c>
    </row>
    <row r="3814" spans="1:5" x14ac:dyDescent="0.25">
      <c r="A3814" s="36">
        <v>3812</v>
      </c>
      <c r="B3814" s="37">
        <v>1973330361</v>
      </c>
      <c r="C3814" s="38">
        <v>0.91890355661460366</v>
      </c>
      <c r="D3814" s="14" t="s">
        <v>3855</v>
      </c>
      <c r="E3814" s="14" t="s">
        <v>40</v>
      </c>
    </row>
    <row r="3815" spans="1:5" x14ac:dyDescent="0.25">
      <c r="A3815" s="36">
        <v>3813</v>
      </c>
      <c r="B3815" s="37">
        <v>890582662</v>
      </c>
      <c r="C3815" s="38">
        <v>0.4147098690339876</v>
      </c>
      <c r="D3815" s="14" t="s">
        <v>3856</v>
      </c>
      <c r="E3815" s="14" t="s">
        <v>43</v>
      </c>
    </row>
    <row r="3816" spans="1:5" x14ac:dyDescent="0.25">
      <c r="A3816" s="36">
        <v>3814</v>
      </c>
      <c r="B3816" s="37">
        <v>895263908</v>
      </c>
      <c r="C3816" s="38">
        <v>0.41688974407356688</v>
      </c>
      <c r="D3816" s="14" t="s">
        <v>3857</v>
      </c>
      <c r="E3816" s="14" t="s">
        <v>46</v>
      </c>
    </row>
    <row r="3817" spans="1:5" x14ac:dyDescent="0.25">
      <c r="A3817" s="36">
        <v>3815</v>
      </c>
      <c r="B3817" s="37">
        <v>1875590742</v>
      </c>
      <c r="C3817" s="38">
        <v>0.87338999978890175</v>
      </c>
      <c r="D3817" s="14" t="s">
        <v>3858</v>
      </c>
      <c r="E3817" s="14" t="s">
        <v>48</v>
      </c>
    </row>
    <row r="3818" spans="1:5" x14ac:dyDescent="0.25">
      <c r="A3818" s="36">
        <v>3816</v>
      </c>
      <c r="B3818" s="37">
        <v>2064879760</v>
      </c>
      <c r="C3818" s="38">
        <v>0.96153456762504508</v>
      </c>
      <c r="D3818" s="14" t="s">
        <v>3859</v>
      </c>
      <c r="E3818" s="14" t="s">
        <v>37</v>
      </c>
    </row>
    <row r="3819" spans="1:5" x14ac:dyDescent="0.25">
      <c r="A3819" s="36">
        <v>3817</v>
      </c>
      <c r="B3819" s="37">
        <v>1714362017</v>
      </c>
      <c r="C3819" s="38">
        <v>0.79831202411945534</v>
      </c>
      <c r="D3819" s="14" t="s">
        <v>3860</v>
      </c>
      <c r="E3819" s="14" t="s">
        <v>40</v>
      </c>
    </row>
    <row r="3820" spans="1:5" x14ac:dyDescent="0.25">
      <c r="A3820" s="36">
        <v>3818</v>
      </c>
      <c r="B3820" s="37">
        <v>1705281078</v>
      </c>
      <c r="C3820" s="38">
        <v>0.7940833823727832</v>
      </c>
      <c r="D3820" s="14" t="s">
        <v>3861</v>
      </c>
      <c r="E3820" s="14" t="s">
        <v>43</v>
      </c>
    </row>
    <row r="3821" spans="1:5" x14ac:dyDescent="0.25">
      <c r="A3821" s="36">
        <v>3819</v>
      </c>
      <c r="B3821" s="37">
        <v>245199689</v>
      </c>
      <c r="C3821" s="38">
        <v>0.11418000288036652</v>
      </c>
      <c r="D3821" s="14" t="s">
        <v>3862</v>
      </c>
      <c r="E3821" s="14" t="s">
        <v>46</v>
      </c>
    </row>
    <row r="3822" spans="1:5" x14ac:dyDescent="0.25">
      <c r="A3822" s="36">
        <v>3820</v>
      </c>
      <c r="B3822" s="37">
        <v>2021706363</v>
      </c>
      <c r="C3822" s="38">
        <v>0.94143038799121526</v>
      </c>
      <c r="D3822" s="14" t="s">
        <v>3863</v>
      </c>
      <c r="E3822" s="14" t="s">
        <v>48</v>
      </c>
    </row>
    <row r="3823" spans="1:5" x14ac:dyDescent="0.25">
      <c r="A3823" s="36">
        <v>3821</v>
      </c>
      <c r="B3823" s="37">
        <v>1908483800</v>
      </c>
      <c r="C3823" s="38">
        <v>0.8887070235278024</v>
      </c>
      <c r="D3823" s="14" t="s">
        <v>3864</v>
      </c>
      <c r="E3823" s="14" t="s">
        <v>37</v>
      </c>
    </row>
    <row r="3824" spans="1:5" x14ac:dyDescent="0.25">
      <c r="A3824" s="36">
        <v>3822</v>
      </c>
      <c r="B3824" s="37">
        <v>1139183298</v>
      </c>
      <c r="C3824" s="38">
        <v>0.53047356127317691</v>
      </c>
      <c r="D3824" s="14" t="s">
        <v>3865</v>
      </c>
      <c r="E3824" s="14" t="s">
        <v>40</v>
      </c>
    </row>
    <row r="3825" spans="1:5" x14ac:dyDescent="0.25">
      <c r="A3825" s="36">
        <v>3823</v>
      </c>
      <c r="B3825" s="37">
        <v>2097477731</v>
      </c>
      <c r="C3825" s="38">
        <v>0.976714180771594</v>
      </c>
      <c r="D3825" s="14" t="s">
        <v>3866</v>
      </c>
      <c r="E3825" s="14" t="s">
        <v>43</v>
      </c>
    </row>
    <row r="3826" spans="1:5" x14ac:dyDescent="0.25">
      <c r="A3826" s="36">
        <v>3824</v>
      </c>
      <c r="B3826" s="37">
        <v>1382732043</v>
      </c>
      <c r="C3826" s="38">
        <v>0.64388478344487254</v>
      </c>
      <c r="D3826" s="14" t="s">
        <v>3867</v>
      </c>
      <c r="E3826" s="14" t="s">
        <v>46</v>
      </c>
    </row>
    <row r="3827" spans="1:5" x14ac:dyDescent="0.25">
      <c r="A3827" s="36">
        <v>3825</v>
      </c>
      <c r="B3827" s="37">
        <v>1699302784</v>
      </c>
      <c r="C3827" s="38">
        <v>0.79129952229154277</v>
      </c>
      <c r="D3827" s="14" t="s">
        <v>3868</v>
      </c>
      <c r="E3827" s="14" t="s">
        <v>48</v>
      </c>
    </row>
    <row r="3828" spans="1:5" x14ac:dyDescent="0.25">
      <c r="A3828" s="36">
        <v>3826</v>
      </c>
      <c r="B3828" s="37">
        <v>664599537</v>
      </c>
      <c r="C3828" s="38">
        <v>0.30947827608765954</v>
      </c>
      <c r="D3828" s="14" t="s">
        <v>3869</v>
      </c>
      <c r="E3828" s="14" t="s">
        <v>37</v>
      </c>
    </row>
    <row r="3829" spans="1:5" x14ac:dyDescent="0.25">
      <c r="A3829" s="36">
        <v>3827</v>
      </c>
      <c r="B3829" s="37">
        <v>1717215450</v>
      </c>
      <c r="C3829" s="38">
        <v>0.79964075740410046</v>
      </c>
      <c r="D3829" s="14" t="s">
        <v>3870</v>
      </c>
      <c r="E3829" s="14" t="s">
        <v>40</v>
      </c>
    </row>
    <row r="3830" spans="1:5" x14ac:dyDescent="0.25">
      <c r="A3830" s="36">
        <v>3828</v>
      </c>
      <c r="B3830" s="37">
        <v>1082018239</v>
      </c>
      <c r="C3830" s="38">
        <v>0.5038540062978184</v>
      </c>
      <c r="D3830" s="14" t="s">
        <v>3871</v>
      </c>
      <c r="E3830" s="14" t="s">
        <v>43</v>
      </c>
    </row>
    <row r="3831" spans="1:5" x14ac:dyDescent="0.25">
      <c r="A3831" s="36">
        <v>3829</v>
      </c>
      <c r="B3831" s="37">
        <v>133077032</v>
      </c>
      <c r="C3831" s="38">
        <v>6.1968822061069691E-2</v>
      </c>
      <c r="D3831" s="14" t="s">
        <v>3872</v>
      </c>
      <c r="E3831" s="14" t="s">
        <v>46</v>
      </c>
    </row>
    <row r="3832" spans="1:5" x14ac:dyDescent="0.25">
      <c r="A3832" s="36">
        <v>3830</v>
      </c>
      <c r="B3832" s="37">
        <v>269889620</v>
      </c>
      <c r="C3832" s="38">
        <v>0.12567714793871956</v>
      </c>
      <c r="D3832" s="14" t="s">
        <v>3873</v>
      </c>
      <c r="E3832" s="14" t="s">
        <v>48</v>
      </c>
    </row>
    <row r="3833" spans="1:5" x14ac:dyDescent="0.25">
      <c r="A3833" s="36">
        <v>3831</v>
      </c>
      <c r="B3833" s="37">
        <v>487067852</v>
      </c>
      <c r="C3833" s="38">
        <v>0.22680864307415144</v>
      </c>
      <c r="D3833" s="14" t="s">
        <v>3874</v>
      </c>
      <c r="E3833" s="14" t="s">
        <v>37</v>
      </c>
    </row>
    <row r="3834" spans="1:5" x14ac:dyDescent="0.25">
      <c r="A3834" s="36">
        <v>3832</v>
      </c>
      <c r="B3834" s="37">
        <v>276486260</v>
      </c>
      <c r="C3834" s="38">
        <v>0.1287489478144557</v>
      </c>
      <c r="D3834" s="14" t="s">
        <v>3875</v>
      </c>
      <c r="E3834" s="14" t="s">
        <v>40</v>
      </c>
    </row>
    <row r="3835" spans="1:5" x14ac:dyDescent="0.25">
      <c r="A3835" s="36">
        <v>3833</v>
      </c>
      <c r="B3835" s="37">
        <v>675376741</v>
      </c>
      <c r="C3835" s="38">
        <v>0.31449680277821457</v>
      </c>
      <c r="D3835" s="14" t="s">
        <v>3876</v>
      </c>
      <c r="E3835" s="14" t="s">
        <v>43</v>
      </c>
    </row>
    <row r="3836" spans="1:5" x14ac:dyDescent="0.25">
      <c r="A3836" s="36">
        <v>3834</v>
      </c>
      <c r="B3836" s="37">
        <v>564316512</v>
      </c>
      <c r="C3836" s="38">
        <v>0.26278035354929991</v>
      </c>
      <c r="D3836" s="14" t="s">
        <v>3877</v>
      </c>
      <c r="E3836" s="14" t="s">
        <v>46</v>
      </c>
    </row>
    <row r="3837" spans="1:5" x14ac:dyDescent="0.25">
      <c r="A3837" s="36">
        <v>3835</v>
      </c>
      <c r="B3837" s="37">
        <v>2018908635</v>
      </c>
      <c r="C3837" s="38">
        <v>0.94012759436859172</v>
      </c>
      <c r="D3837" s="14" t="s">
        <v>3878</v>
      </c>
      <c r="E3837" s="14" t="s">
        <v>48</v>
      </c>
    </row>
    <row r="3838" spans="1:5" x14ac:dyDescent="0.25">
      <c r="A3838" s="36">
        <v>3836</v>
      </c>
      <c r="B3838" s="37">
        <v>764831296</v>
      </c>
      <c r="C3838" s="38">
        <v>0.3561523260344529</v>
      </c>
      <c r="D3838" s="14" t="s">
        <v>3879</v>
      </c>
      <c r="E3838" s="14" t="s">
        <v>37</v>
      </c>
    </row>
    <row r="3839" spans="1:5" x14ac:dyDescent="0.25">
      <c r="A3839" s="36">
        <v>3837</v>
      </c>
      <c r="B3839" s="37">
        <v>1981329495</v>
      </c>
      <c r="C3839" s="38">
        <v>0.92262844365212526</v>
      </c>
      <c r="D3839" s="14" t="s">
        <v>3880</v>
      </c>
      <c r="E3839" s="14" t="s">
        <v>40</v>
      </c>
    </row>
    <row r="3840" spans="1:5" x14ac:dyDescent="0.25">
      <c r="A3840" s="36">
        <v>3838</v>
      </c>
      <c r="B3840" s="37">
        <v>1250492612</v>
      </c>
      <c r="C3840" s="38">
        <v>0.58230599974389463</v>
      </c>
      <c r="D3840" s="14" t="s">
        <v>3881</v>
      </c>
      <c r="E3840" s="14" t="s">
        <v>43</v>
      </c>
    </row>
    <row r="3841" spans="1:5" x14ac:dyDescent="0.25">
      <c r="A3841" s="36">
        <v>3839</v>
      </c>
      <c r="B3841" s="37">
        <v>786751362</v>
      </c>
      <c r="C3841" s="38">
        <v>0.36635965219063671</v>
      </c>
      <c r="D3841" s="14" t="s">
        <v>3882</v>
      </c>
      <c r="E3841" s="14" t="s">
        <v>46</v>
      </c>
    </row>
    <row r="3842" spans="1:5" x14ac:dyDescent="0.25">
      <c r="A3842" s="36">
        <v>3840</v>
      </c>
      <c r="B3842" s="37">
        <v>584541968</v>
      </c>
      <c r="C3842" s="38">
        <v>0.27219856543103166</v>
      </c>
      <c r="D3842" s="14" t="s">
        <v>3883</v>
      </c>
      <c r="E3842" s="14" t="s">
        <v>48</v>
      </c>
    </row>
    <row r="3843" spans="1:5" x14ac:dyDescent="0.25">
      <c r="A3843" s="36">
        <v>3841</v>
      </c>
      <c r="B3843" s="37">
        <v>1694923016</v>
      </c>
      <c r="C3843" s="38">
        <v>0.78926003388560384</v>
      </c>
      <c r="D3843" s="14" t="s">
        <v>3884</v>
      </c>
      <c r="E3843" s="14" t="s">
        <v>37</v>
      </c>
    </row>
    <row r="3844" spans="1:5" x14ac:dyDescent="0.25">
      <c r="A3844" s="36">
        <v>3842</v>
      </c>
      <c r="B3844" s="37">
        <v>1138250902</v>
      </c>
      <c r="C3844" s="38">
        <v>0.53003938055133415</v>
      </c>
      <c r="D3844" s="14" t="s">
        <v>3885</v>
      </c>
      <c r="E3844" s="14" t="s">
        <v>40</v>
      </c>
    </row>
    <row r="3845" spans="1:5" x14ac:dyDescent="0.25">
      <c r="A3845" s="36">
        <v>3843</v>
      </c>
      <c r="B3845" s="37">
        <v>584218965</v>
      </c>
      <c r="C3845" s="38">
        <v>0.27204815543817734</v>
      </c>
      <c r="D3845" s="14" t="s">
        <v>3886</v>
      </c>
      <c r="E3845" s="14" t="s">
        <v>43</v>
      </c>
    </row>
    <row r="3846" spans="1:5" x14ac:dyDescent="0.25">
      <c r="A3846" s="36">
        <v>3844</v>
      </c>
      <c r="B3846" s="37">
        <v>919266191</v>
      </c>
      <c r="C3846" s="38">
        <v>0.42806667807887622</v>
      </c>
      <c r="D3846" s="14" t="s">
        <v>3887</v>
      </c>
      <c r="E3846" s="14" t="s">
        <v>46</v>
      </c>
    </row>
    <row r="3847" spans="1:5" x14ac:dyDescent="0.25">
      <c r="A3847" s="36">
        <v>3845</v>
      </c>
      <c r="B3847" s="37">
        <v>342448882</v>
      </c>
      <c r="C3847" s="38">
        <v>0.15946518730347287</v>
      </c>
      <c r="D3847" s="14" t="s">
        <v>3888</v>
      </c>
      <c r="E3847" s="14" t="s">
        <v>48</v>
      </c>
    </row>
    <row r="3848" spans="1:5" x14ac:dyDescent="0.25">
      <c r="A3848" s="36">
        <v>3846</v>
      </c>
      <c r="B3848" s="37">
        <v>564857475</v>
      </c>
      <c r="C3848" s="38">
        <v>0.26303225907638311</v>
      </c>
      <c r="D3848" s="14" t="s">
        <v>3889</v>
      </c>
      <c r="E3848" s="14" t="s">
        <v>37</v>
      </c>
    </row>
    <row r="3849" spans="1:5" x14ac:dyDescent="0.25">
      <c r="A3849" s="36">
        <v>3847</v>
      </c>
      <c r="B3849" s="37">
        <v>522214470</v>
      </c>
      <c r="C3849" s="38">
        <v>0.24317506246416601</v>
      </c>
      <c r="D3849" s="14" t="s">
        <v>3890</v>
      </c>
      <c r="E3849" s="14" t="s">
        <v>40</v>
      </c>
    </row>
    <row r="3850" spans="1:5" x14ac:dyDescent="0.25">
      <c r="A3850" s="36">
        <v>3848</v>
      </c>
      <c r="B3850" s="37">
        <v>951301136</v>
      </c>
      <c r="C3850" s="38">
        <v>0.44298411181335529</v>
      </c>
      <c r="D3850" s="14" t="s">
        <v>3891</v>
      </c>
      <c r="E3850" s="14" t="s">
        <v>43</v>
      </c>
    </row>
    <row r="3851" spans="1:5" x14ac:dyDescent="0.25">
      <c r="A3851" s="36">
        <v>3849</v>
      </c>
      <c r="B3851" s="37">
        <v>1290319997</v>
      </c>
      <c r="C3851" s="38">
        <v>0.60085207112173178</v>
      </c>
      <c r="D3851" s="14" t="s">
        <v>3892</v>
      </c>
      <c r="E3851" s="14" t="s">
        <v>46</v>
      </c>
    </row>
    <row r="3852" spans="1:5" x14ac:dyDescent="0.25">
      <c r="A3852" s="36">
        <v>3850</v>
      </c>
      <c r="B3852" s="37">
        <v>1644585597</v>
      </c>
      <c r="C3852" s="38">
        <v>0.76581984654339952</v>
      </c>
      <c r="D3852" s="14" t="s">
        <v>3893</v>
      </c>
      <c r="E3852" s="14" t="s">
        <v>48</v>
      </c>
    </row>
    <row r="3853" spans="1:5" x14ac:dyDescent="0.25">
      <c r="A3853" s="36">
        <v>3851</v>
      </c>
      <c r="B3853" s="37">
        <v>1615344926</v>
      </c>
      <c r="C3853" s="38">
        <v>0.75220359803745696</v>
      </c>
      <c r="D3853" s="14" t="s">
        <v>3894</v>
      </c>
      <c r="E3853" s="14" t="s">
        <v>37</v>
      </c>
    </row>
    <row r="3854" spans="1:5" x14ac:dyDescent="0.25">
      <c r="A3854" s="36">
        <v>3852</v>
      </c>
      <c r="B3854" s="37">
        <v>356824259</v>
      </c>
      <c r="C3854" s="38">
        <v>0.16615924386594411</v>
      </c>
      <c r="D3854" s="14" t="s">
        <v>3895</v>
      </c>
      <c r="E3854" s="14" t="s">
        <v>40</v>
      </c>
    </row>
    <row r="3855" spans="1:5" x14ac:dyDescent="0.25">
      <c r="A3855" s="36">
        <v>3853</v>
      </c>
      <c r="B3855" s="37">
        <v>1476463526</v>
      </c>
      <c r="C3855" s="38">
        <v>0.68753190650024076</v>
      </c>
      <c r="D3855" s="14" t="s">
        <v>3896</v>
      </c>
      <c r="E3855" s="14" t="s">
        <v>43</v>
      </c>
    </row>
    <row r="3856" spans="1:5" x14ac:dyDescent="0.25">
      <c r="A3856" s="36">
        <v>3854</v>
      </c>
      <c r="B3856" s="37">
        <v>1114121515</v>
      </c>
      <c r="C3856" s="38">
        <v>0.51880325913373537</v>
      </c>
      <c r="D3856" s="14" t="s">
        <v>3897</v>
      </c>
      <c r="E3856" s="14" t="s">
        <v>46</v>
      </c>
    </row>
    <row r="3857" spans="1:5" x14ac:dyDescent="0.25">
      <c r="A3857" s="36">
        <v>3855</v>
      </c>
      <c r="B3857" s="37">
        <v>1002972631</v>
      </c>
      <c r="C3857" s="38">
        <v>0.46704552670337518</v>
      </c>
      <c r="D3857" s="14" t="s">
        <v>3898</v>
      </c>
      <c r="E3857" s="14" t="s">
        <v>48</v>
      </c>
    </row>
    <row r="3858" spans="1:5" x14ac:dyDescent="0.25">
      <c r="A3858" s="36">
        <v>3856</v>
      </c>
      <c r="B3858" s="37">
        <v>917988875</v>
      </c>
      <c r="C3858" s="38">
        <v>0.42747188146574044</v>
      </c>
      <c r="D3858" s="14" t="s">
        <v>3899</v>
      </c>
      <c r="E3858" s="14" t="s">
        <v>37</v>
      </c>
    </row>
    <row r="3859" spans="1:5" x14ac:dyDescent="0.25">
      <c r="A3859" s="36">
        <v>3857</v>
      </c>
      <c r="B3859" s="37">
        <v>226844512</v>
      </c>
      <c r="C3859" s="38">
        <v>0.10563270752580498</v>
      </c>
      <c r="D3859" s="14" t="s">
        <v>3900</v>
      </c>
      <c r="E3859" s="14" t="s">
        <v>40</v>
      </c>
    </row>
    <row r="3860" spans="1:5" x14ac:dyDescent="0.25">
      <c r="A3860" s="36">
        <v>3858</v>
      </c>
      <c r="B3860" s="37">
        <v>1620556307</v>
      </c>
      <c r="C3860" s="38">
        <v>0.75463033642369803</v>
      </c>
      <c r="D3860" s="14" t="s">
        <v>3901</v>
      </c>
      <c r="E3860" s="14" t="s">
        <v>43</v>
      </c>
    </row>
    <row r="3861" spans="1:5" x14ac:dyDescent="0.25">
      <c r="A3861" s="36">
        <v>3859</v>
      </c>
      <c r="B3861" s="37">
        <v>1144333051</v>
      </c>
      <c r="C3861" s="38">
        <v>0.53287160188559046</v>
      </c>
      <c r="D3861" s="14" t="s">
        <v>3902</v>
      </c>
      <c r="E3861" s="14" t="s">
        <v>46</v>
      </c>
    </row>
    <row r="3862" spans="1:5" x14ac:dyDescent="0.25">
      <c r="A3862" s="36">
        <v>3860</v>
      </c>
      <c r="B3862" s="37">
        <v>1235371232</v>
      </c>
      <c r="C3862" s="38">
        <v>0.5752645584639462</v>
      </c>
      <c r="D3862" s="14" t="s">
        <v>3903</v>
      </c>
      <c r="E3862" s="14" t="s">
        <v>48</v>
      </c>
    </row>
    <row r="3863" spans="1:5" x14ac:dyDescent="0.25">
      <c r="A3863" s="36">
        <v>3861</v>
      </c>
      <c r="B3863" s="37">
        <v>1527533349</v>
      </c>
      <c r="C3863" s="38">
        <v>0.71131314603207318</v>
      </c>
      <c r="D3863" s="14" t="s">
        <v>3904</v>
      </c>
      <c r="E3863" s="14" t="s">
        <v>37</v>
      </c>
    </row>
    <row r="3864" spans="1:5" x14ac:dyDescent="0.25">
      <c r="A3864" s="36">
        <v>3862</v>
      </c>
      <c r="B3864" s="37">
        <v>2118567742</v>
      </c>
      <c r="C3864" s="38">
        <v>0.98653498244776161</v>
      </c>
      <c r="D3864" s="14" t="s">
        <v>3905</v>
      </c>
      <c r="E3864" s="14" t="s">
        <v>40</v>
      </c>
    </row>
    <row r="3865" spans="1:5" x14ac:dyDescent="0.25">
      <c r="A3865" s="36">
        <v>3863</v>
      </c>
      <c r="B3865" s="37">
        <v>1318114309</v>
      </c>
      <c r="C3865" s="38">
        <v>0.61379480623351168</v>
      </c>
      <c r="D3865" s="14" t="s">
        <v>3906</v>
      </c>
      <c r="E3865" s="14" t="s">
        <v>43</v>
      </c>
    </row>
    <row r="3866" spans="1:5" x14ac:dyDescent="0.25">
      <c r="A3866" s="36">
        <v>3864</v>
      </c>
      <c r="B3866" s="37">
        <v>584076429</v>
      </c>
      <c r="C3866" s="38">
        <v>0.27198178194089878</v>
      </c>
      <c r="D3866" s="14" t="s">
        <v>3907</v>
      </c>
      <c r="E3866" s="14" t="s">
        <v>46</v>
      </c>
    </row>
    <row r="3867" spans="1:5" x14ac:dyDescent="0.25">
      <c r="A3867" s="36">
        <v>3865</v>
      </c>
      <c r="B3867" s="37">
        <v>2035215608</v>
      </c>
      <c r="C3867" s="38">
        <v>0.94772112041140022</v>
      </c>
      <c r="D3867" s="14" t="s">
        <v>3908</v>
      </c>
      <c r="E3867" s="14" t="s">
        <v>48</v>
      </c>
    </row>
    <row r="3868" spans="1:5" x14ac:dyDescent="0.25">
      <c r="A3868" s="36">
        <v>3866</v>
      </c>
      <c r="B3868" s="37">
        <v>2083249688</v>
      </c>
      <c r="C3868" s="38">
        <v>0.97008873194925893</v>
      </c>
      <c r="D3868" s="14" t="s">
        <v>3909</v>
      </c>
      <c r="E3868" s="14" t="s">
        <v>37</v>
      </c>
    </row>
    <row r="3869" spans="1:5" x14ac:dyDescent="0.25">
      <c r="A3869" s="36">
        <v>3867</v>
      </c>
      <c r="B3869" s="37">
        <v>899116584</v>
      </c>
      <c r="C3869" s="38">
        <v>0.4186837861401419</v>
      </c>
      <c r="D3869" s="14" t="s">
        <v>3910</v>
      </c>
      <c r="E3869" s="14" t="s">
        <v>40</v>
      </c>
    </row>
    <row r="3870" spans="1:5" x14ac:dyDescent="0.25">
      <c r="A3870" s="36">
        <v>3868</v>
      </c>
      <c r="B3870" s="37">
        <v>217456053</v>
      </c>
      <c r="C3870" s="38">
        <v>0.10126086561999324</v>
      </c>
      <c r="D3870" s="14" t="s">
        <v>3911</v>
      </c>
      <c r="E3870" s="14" t="s">
        <v>43</v>
      </c>
    </row>
    <row r="3871" spans="1:5" x14ac:dyDescent="0.25">
      <c r="A3871" s="36">
        <v>3869</v>
      </c>
      <c r="B3871" s="37">
        <v>1534338551</v>
      </c>
      <c r="C3871" s="38">
        <v>0.71448206515725798</v>
      </c>
      <c r="D3871" s="14" t="s">
        <v>3912</v>
      </c>
      <c r="E3871" s="14" t="s">
        <v>46</v>
      </c>
    </row>
    <row r="3872" spans="1:5" x14ac:dyDescent="0.25">
      <c r="A3872" s="36">
        <v>3870</v>
      </c>
      <c r="B3872" s="37">
        <v>1571188867</v>
      </c>
      <c r="C3872" s="38">
        <v>0.73164183075150557</v>
      </c>
      <c r="D3872" s="14" t="s">
        <v>3913</v>
      </c>
      <c r="E3872" s="14" t="s">
        <v>48</v>
      </c>
    </row>
    <row r="3873" spans="1:5" x14ac:dyDescent="0.25">
      <c r="A3873" s="36">
        <v>3871</v>
      </c>
      <c r="B3873" s="37">
        <v>1268019506</v>
      </c>
      <c r="C3873" s="38">
        <v>0.59046759577024155</v>
      </c>
      <c r="D3873" s="14" t="s">
        <v>3914</v>
      </c>
      <c r="E3873" s="14" t="s">
        <v>37</v>
      </c>
    </row>
    <row r="3874" spans="1:5" x14ac:dyDescent="0.25">
      <c r="A3874" s="36">
        <v>3872</v>
      </c>
      <c r="B3874" s="37">
        <v>1174642217</v>
      </c>
      <c r="C3874" s="38">
        <v>0.54698540714894672</v>
      </c>
      <c r="D3874" s="14" t="s">
        <v>3915</v>
      </c>
      <c r="E3874" s="14" t="s">
        <v>40</v>
      </c>
    </row>
    <row r="3875" spans="1:5" x14ac:dyDescent="0.25">
      <c r="A3875" s="36">
        <v>3873</v>
      </c>
      <c r="B3875" s="37">
        <v>766588411</v>
      </c>
      <c r="C3875" s="38">
        <v>0.35697054646768167</v>
      </c>
      <c r="D3875" s="14" t="s">
        <v>3916</v>
      </c>
      <c r="E3875" s="14" t="s">
        <v>43</v>
      </c>
    </row>
    <row r="3876" spans="1:5" x14ac:dyDescent="0.25">
      <c r="A3876" s="36">
        <v>3874</v>
      </c>
      <c r="B3876" s="37">
        <v>1870447656</v>
      </c>
      <c r="C3876" s="38">
        <v>0.87099506374029212</v>
      </c>
      <c r="D3876" s="14" t="s">
        <v>3917</v>
      </c>
      <c r="E3876" s="14" t="s">
        <v>46</v>
      </c>
    </row>
    <row r="3877" spans="1:5" x14ac:dyDescent="0.25">
      <c r="A3877" s="36">
        <v>3875</v>
      </c>
      <c r="B3877" s="37">
        <v>1139472552</v>
      </c>
      <c r="C3877" s="38">
        <v>0.53060825566323855</v>
      </c>
      <c r="D3877" s="14" t="s">
        <v>3918</v>
      </c>
      <c r="E3877" s="14" t="s">
        <v>48</v>
      </c>
    </row>
    <row r="3878" spans="1:5" x14ac:dyDescent="0.25">
      <c r="A3878" s="36">
        <v>3876</v>
      </c>
      <c r="B3878" s="37">
        <v>384171506</v>
      </c>
      <c r="C3878" s="38">
        <v>0.1788937981142168</v>
      </c>
      <c r="D3878" s="14" t="s">
        <v>3919</v>
      </c>
      <c r="E3878" s="14" t="s">
        <v>37</v>
      </c>
    </row>
    <row r="3879" spans="1:5" x14ac:dyDescent="0.25">
      <c r="A3879" s="36">
        <v>3877</v>
      </c>
      <c r="B3879" s="37">
        <v>1441910742</v>
      </c>
      <c r="C3879" s="38">
        <v>0.67144201261524206</v>
      </c>
      <c r="D3879" s="14" t="s">
        <v>3920</v>
      </c>
      <c r="E3879" s="14" t="s">
        <v>40</v>
      </c>
    </row>
    <row r="3880" spans="1:5" x14ac:dyDescent="0.25">
      <c r="A3880" s="36">
        <v>3878</v>
      </c>
      <c r="B3880" s="37">
        <v>1048367869</v>
      </c>
      <c r="C3880" s="38">
        <v>0.4881843316779399</v>
      </c>
      <c r="D3880" s="14" t="s">
        <v>3921</v>
      </c>
      <c r="E3880" s="14" t="s">
        <v>43</v>
      </c>
    </row>
    <row r="3881" spans="1:5" x14ac:dyDescent="0.25">
      <c r="A3881" s="36">
        <v>3879</v>
      </c>
      <c r="B3881" s="37">
        <v>1066917483</v>
      </c>
      <c r="C3881" s="38">
        <v>0.49682216881626384</v>
      </c>
      <c r="D3881" s="14" t="s">
        <v>3922</v>
      </c>
      <c r="E3881" s="14" t="s">
        <v>46</v>
      </c>
    </row>
    <row r="3882" spans="1:5" x14ac:dyDescent="0.25">
      <c r="A3882" s="36">
        <v>3880</v>
      </c>
      <c r="B3882" s="37">
        <v>843284267</v>
      </c>
      <c r="C3882" s="38">
        <v>0.39268483752044142</v>
      </c>
      <c r="D3882" s="14" t="s">
        <v>3923</v>
      </c>
      <c r="E3882" s="14" t="s">
        <v>48</v>
      </c>
    </row>
    <row r="3883" spans="1:5" x14ac:dyDescent="0.25">
      <c r="A3883" s="36">
        <v>3881</v>
      </c>
      <c r="B3883" s="37">
        <v>432309200</v>
      </c>
      <c r="C3883" s="38">
        <v>0.20130965868072104</v>
      </c>
      <c r="D3883" s="14" t="s">
        <v>3924</v>
      </c>
      <c r="E3883" s="14" t="s">
        <v>37</v>
      </c>
    </row>
    <row r="3884" spans="1:5" x14ac:dyDescent="0.25">
      <c r="A3884" s="36">
        <v>3882</v>
      </c>
      <c r="B3884" s="37">
        <v>927179228</v>
      </c>
      <c r="C3884" s="38">
        <v>0.43175147307652584</v>
      </c>
      <c r="D3884" s="14" t="s">
        <v>3925</v>
      </c>
      <c r="E3884" s="14" t="s">
        <v>40</v>
      </c>
    </row>
    <row r="3885" spans="1:5" x14ac:dyDescent="0.25">
      <c r="A3885" s="36">
        <v>3883</v>
      </c>
      <c r="B3885" s="37">
        <v>1273154256</v>
      </c>
      <c r="C3885" s="38">
        <v>0.59285865006635829</v>
      </c>
      <c r="D3885" s="14" t="s">
        <v>3926</v>
      </c>
      <c r="E3885" s="14" t="s">
        <v>43</v>
      </c>
    </row>
    <row r="3886" spans="1:5" x14ac:dyDescent="0.25">
      <c r="A3886" s="36">
        <v>3884</v>
      </c>
      <c r="B3886" s="37">
        <v>1109470907</v>
      </c>
      <c r="C3886" s="38">
        <v>0.51663765102468318</v>
      </c>
      <c r="D3886" s="14" t="s">
        <v>3927</v>
      </c>
      <c r="E3886" s="14" t="s">
        <v>46</v>
      </c>
    </row>
    <row r="3887" spans="1:5" x14ac:dyDescent="0.25">
      <c r="A3887" s="36">
        <v>3885</v>
      </c>
      <c r="B3887" s="37">
        <v>1628238866</v>
      </c>
      <c r="C3887" s="38">
        <v>0.75820780673912158</v>
      </c>
      <c r="D3887" s="14" t="s">
        <v>3928</v>
      </c>
      <c r="E3887" s="14" t="s">
        <v>48</v>
      </c>
    </row>
    <row r="3888" spans="1:5" x14ac:dyDescent="0.25">
      <c r="A3888" s="36">
        <v>3886</v>
      </c>
      <c r="B3888" s="37">
        <v>690734641</v>
      </c>
      <c r="C3888" s="38">
        <v>0.32164838226588832</v>
      </c>
      <c r="D3888" s="14" t="s">
        <v>3929</v>
      </c>
      <c r="E3888" s="14" t="s">
        <v>37</v>
      </c>
    </row>
    <row r="3889" spans="1:5" x14ac:dyDescent="0.25">
      <c r="A3889" s="36">
        <v>3887</v>
      </c>
      <c r="B3889" s="37">
        <v>527480124</v>
      </c>
      <c r="C3889" s="38">
        <v>0.24562707368546494</v>
      </c>
      <c r="D3889" s="14" t="s">
        <v>3930</v>
      </c>
      <c r="E3889" s="14" t="s">
        <v>40</v>
      </c>
    </row>
    <row r="3890" spans="1:5" x14ac:dyDescent="0.25">
      <c r="A3890" s="36">
        <v>3888</v>
      </c>
      <c r="B3890" s="37">
        <v>1883262079</v>
      </c>
      <c r="C3890" s="38">
        <v>0.87696224445335669</v>
      </c>
      <c r="D3890" s="14" t="s">
        <v>3931</v>
      </c>
      <c r="E3890" s="14" t="s">
        <v>43</v>
      </c>
    </row>
    <row r="3891" spans="1:5" x14ac:dyDescent="0.25">
      <c r="A3891" s="36">
        <v>3889</v>
      </c>
      <c r="B3891" s="37">
        <v>111850976</v>
      </c>
      <c r="C3891" s="38">
        <v>5.2084669495040863E-2</v>
      </c>
      <c r="D3891" s="14" t="s">
        <v>3932</v>
      </c>
      <c r="E3891" s="14" t="s">
        <v>46</v>
      </c>
    </row>
    <row r="3892" spans="1:5" x14ac:dyDescent="0.25">
      <c r="A3892" s="36">
        <v>3890</v>
      </c>
      <c r="B3892" s="37">
        <v>1517470311</v>
      </c>
      <c r="C3892" s="38">
        <v>0.70662717880058434</v>
      </c>
      <c r="D3892" s="14" t="s">
        <v>3933</v>
      </c>
      <c r="E3892" s="14" t="s">
        <v>48</v>
      </c>
    </row>
    <row r="3893" spans="1:5" x14ac:dyDescent="0.25">
      <c r="A3893" s="36">
        <v>3891</v>
      </c>
      <c r="B3893" s="37">
        <v>165203745</v>
      </c>
      <c r="C3893" s="38">
        <v>7.6928988600582351E-2</v>
      </c>
      <c r="D3893" s="14" t="s">
        <v>3934</v>
      </c>
      <c r="E3893" s="14" t="s">
        <v>37</v>
      </c>
    </row>
    <row r="3894" spans="1:5" x14ac:dyDescent="0.25">
      <c r="A3894" s="36">
        <v>3892</v>
      </c>
      <c r="B3894" s="37">
        <v>1496551998</v>
      </c>
      <c r="C3894" s="38">
        <v>0.6968863302361622</v>
      </c>
      <c r="D3894" s="14" t="s">
        <v>3935</v>
      </c>
      <c r="E3894" s="14" t="s">
        <v>40</v>
      </c>
    </row>
    <row r="3895" spans="1:5" x14ac:dyDescent="0.25">
      <c r="A3895" s="36">
        <v>3893</v>
      </c>
      <c r="B3895" s="37">
        <v>410109878</v>
      </c>
      <c r="C3895" s="38">
        <v>0.19097229381602829</v>
      </c>
      <c r="D3895" s="14" t="s">
        <v>3936</v>
      </c>
      <c r="E3895" s="14" t="s">
        <v>43</v>
      </c>
    </row>
    <row r="3896" spans="1:5" x14ac:dyDescent="0.25">
      <c r="A3896" s="36">
        <v>3894</v>
      </c>
      <c r="B3896" s="37">
        <v>1351841107</v>
      </c>
      <c r="C3896" s="38">
        <v>0.62950007041427314</v>
      </c>
      <c r="D3896" s="14" t="s">
        <v>3937</v>
      </c>
      <c r="E3896" s="14" t="s">
        <v>46</v>
      </c>
    </row>
    <row r="3897" spans="1:5" x14ac:dyDescent="0.25">
      <c r="A3897" s="36">
        <v>3895</v>
      </c>
      <c r="B3897" s="37">
        <v>165017505</v>
      </c>
      <c r="C3897" s="38">
        <v>7.6842263842393774E-2</v>
      </c>
      <c r="D3897" s="14" t="s">
        <v>3938</v>
      </c>
      <c r="E3897" s="14" t="s">
        <v>48</v>
      </c>
    </row>
    <row r="3898" spans="1:5" x14ac:dyDescent="0.25">
      <c r="A3898" s="36">
        <v>3896</v>
      </c>
      <c r="B3898" s="37">
        <v>733061166</v>
      </c>
      <c r="C3898" s="38">
        <v>0.34135820639382963</v>
      </c>
      <c r="D3898" s="14" t="s">
        <v>3939</v>
      </c>
      <c r="E3898" s="14" t="s">
        <v>37</v>
      </c>
    </row>
    <row r="3899" spans="1:5" x14ac:dyDescent="0.25">
      <c r="A3899" s="36">
        <v>3897</v>
      </c>
      <c r="B3899" s="37">
        <v>1590498620</v>
      </c>
      <c r="C3899" s="38">
        <v>0.74063363519526726</v>
      </c>
      <c r="D3899" s="14" t="s">
        <v>3940</v>
      </c>
      <c r="E3899" s="14" t="s">
        <v>40</v>
      </c>
    </row>
    <row r="3900" spans="1:5" x14ac:dyDescent="0.25">
      <c r="A3900" s="36">
        <v>3898</v>
      </c>
      <c r="B3900" s="37">
        <v>1446887182</v>
      </c>
      <c r="C3900" s="38">
        <v>0.67375934807293092</v>
      </c>
      <c r="D3900" s="14" t="s">
        <v>3941</v>
      </c>
      <c r="E3900" s="14" t="s">
        <v>43</v>
      </c>
    </row>
    <row r="3901" spans="1:5" x14ac:dyDescent="0.25">
      <c r="A3901" s="36">
        <v>3899</v>
      </c>
      <c r="B3901" s="37">
        <v>1612732390</v>
      </c>
      <c r="C3901" s="38">
        <v>0.7509870411599926</v>
      </c>
      <c r="D3901" s="14" t="s">
        <v>3942</v>
      </c>
      <c r="E3901" s="14" t="s">
        <v>46</v>
      </c>
    </row>
    <row r="3902" spans="1:5" x14ac:dyDescent="0.25">
      <c r="A3902" s="36">
        <v>3900</v>
      </c>
      <c r="B3902" s="37">
        <v>379724034</v>
      </c>
      <c r="C3902" s="38">
        <v>0.17682278257646727</v>
      </c>
      <c r="D3902" s="14" t="s">
        <v>3943</v>
      </c>
      <c r="E3902" s="14" t="s">
        <v>48</v>
      </c>
    </row>
    <row r="3903" spans="1:5" x14ac:dyDescent="0.25">
      <c r="A3903" s="36">
        <v>3901</v>
      </c>
      <c r="B3903" s="37">
        <v>889711151</v>
      </c>
      <c r="C3903" s="38">
        <v>0.41430404009963573</v>
      </c>
      <c r="D3903" s="14" t="s">
        <v>3944</v>
      </c>
      <c r="E3903" s="14" t="s">
        <v>37</v>
      </c>
    </row>
    <row r="3904" spans="1:5" x14ac:dyDescent="0.25">
      <c r="A3904" s="36">
        <v>3902</v>
      </c>
      <c r="B3904" s="37">
        <v>1942362005</v>
      </c>
      <c r="C3904" s="38">
        <v>0.90448279208712412</v>
      </c>
      <c r="D3904" s="14" t="s">
        <v>3945</v>
      </c>
      <c r="E3904" s="14" t="s">
        <v>40</v>
      </c>
    </row>
    <row r="3905" spans="1:5" x14ac:dyDescent="0.25">
      <c r="A3905" s="36">
        <v>3903</v>
      </c>
      <c r="B3905" s="37">
        <v>1485274350</v>
      </c>
      <c r="C3905" s="38">
        <v>0.69163476614823316</v>
      </c>
      <c r="D3905" s="14" t="s">
        <v>3946</v>
      </c>
      <c r="E3905" s="14" t="s">
        <v>43</v>
      </c>
    </row>
    <row r="3906" spans="1:5" x14ac:dyDescent="0.25">
      <c r="A3906" s="36">
        <v>3904</v>
      </c>
      <c r="B3906" s="37">
        <v>1785114752</v>
      </c>
      <c r="C3906" s="38">
        <v>0.83125883379544074</v>
      </c>
      <c r="D3906" s="14" t="s">
        <v>3947</v>
      </c>
      <c r="E3906" s="14" t="s">
        <v>46</v>
      </c>
    </row>
    <row r="3907" spans="1:5" x14ac:dyDescent="0.25">
      <c r="A3907" s="36">
        <v>3905</v>
      </c>
      <c r="B3907" s="37">
        <v>1250821826</v>
      </c>
      <c r="C3907" s="38">
        <v>0.58245930195900575</v>
      </c>
      <c r="D3907" s="14" t="s">
        <v>3948</v>
      </c>
      <c r="E3907" s="14" t="s">
        <v>48</v>
      </c>
    </row>
    <row r="3908" spans="1:5" x14ac:dyDescent="0.25">
      <c r="A3908" s="36">
        <v>3906</v>
      </c>
      <c r="B3908" s="37">
        <v>1163354727</v>
      </c>
      <c r="C3908" s="38">
        <v>0.54172926002262589</v>
      </c>
      <c r="D3908" s="14" t="s">
        <v>3949</v>
      </c>
      <c r="E3908" s="14" t="s">
        <v>37</v>
      </c>
    </row>
    <row r="3909" spans="1:5" x14ac:dyDescent="0.25">
      <c r="A3909" s="36">
        <v>3907</v>
      </c>
      <c r="B3909" s="37">
        <v>791723764</v>
      </c>
      <c r="C3909" s="38">
        <v>0.36867510730804648</v>
      </c>
      <c r="D3909" s="14" t="s">
        <v>3950</v>
      </c>
      <c r="E3909" s="14" t="s">
        <v>40</v>
      </c>
    </row>
    <row r="3910" spans="1:5" x14ac:dyDescent="0.25">
      <c r="A3910" s="36">
        <v>3908</v>
      </c>
      <c r="B3910" s="37">
        <v>870005480</v>
      </c>
      <c r="C3910" s="38">
        <v>0.40512787197023997</v>
      </c>
      <c r="D3910" s="14" t="s">
        <v>3951</v>
      </c>
      <c r="E3910" s="14" t="s">
        <v>43</v>
      </c>
    </row>
    <row r="3911" spans="1:5" x14ac:dyDescent="0.25">
      <c r="A3911" s="36">
        <v>3909</v>
      </c>
      <c r="B3911" s="37">
        <v>2025565008</v>
      </c>
      <c r="C3911" s="38">
        <v>0.9432272095900156</v>
      </c>
      <c r="D3911" s="14" t="s">
        <v>3952</v>
      </c>
      <c r="E3911" s="14" t="s">
        <v>46</v>
      </c>
    </row>
    <row r="3912" spans="1:5" x14ac:dyDescent="0.25">
      <c r="A3912" s="36">
        <v>3910</v>
      </c>
      <c r="B3912" s="37">
        <v>1595964248</v>
      </c>
      <c r="C3912" s="38">
        <v>0.74317876656687765</v>
      </c>
      <c r="D3912" s="14" t="s">
        <v>3953</v>
      </c>
      <c r="E3912" s="14" t="s">
        <v>48</v>
      </c>
    </row>
    <row r="3913" spans="1:5" x14ac:dyDescent="0.25">
      <c r="A3913" s="36">
        <v>3911</v>
      </c>
      <c r="B3913" s="37">
        <v>233121543</v>
      </c>
      <c r="C3913" s="38">
        <v>0.10855567786309667</v>
      </c>
      <c r="D3913" s="14" t="s">
        <v>3954</v>
      </c>
      <c r="E3913" s="14" t="s">
        <v>37</v>
      </c>
    </row>
    <row r="3914" spans="1:5" x14ac:dyDescent="0.25">
      <c r="A3914" s="36">
        <v>3912</v>
      </c>
      <c r="B3914" s="37">
        <v>240155280</v>
      </c>
      <c r="C3914" s="38">
        <v>0.11183101689062594</v>
      </c>
      <c r="D3914" s="14" t="s">
        <v>3955</v>
      </c>
      <c r="E3914" s="14" t="s">
        <v>40</v>
      </c>
    </row>
    <row r="3915" spans="1:5" x14ac:dyDescent="0.25">
      <c r="A3915" s="36">
        <v>3913</v>
      </c>
      <c r="B3915" s="37">
        <v>2137875408</v>
      </c>
      <c r="C3915" s="38">
        <v>0.99552581505641613</v>
      </c>
      <c r="D3915" s="14" t="s">
        <v>3956</v>
      </c>
      <c r="E3915" s="14" t="s">
        <v>43</v>
      </c>
    </row>
    <row r="3916" spans="1:5" x14ac:dyDescent="0.25">
      <c r="A3916" s="36">
        <v>3914</v>
      </c>
      <c r="B3916" s="37">
        <v>170601957</v>
      </c>
      <c r="C3916" s="38">
        <v>7.9442726950832987E-2</v>
      </c>
      <c r="D3916" s="14" t="s">
        <v>3957</v>
      </c>
      <c r="E3916" s="14" t="s">
        <v>46</v>
      </c>
    </row>
    <row r="3917" spans="1:5" x14ac:dyDescent="0.25">
      <c r="A3917" s="36">
        <v>3915</v>
      </c>
      <c r="B3917" s="37">
        <v>1883802250</v>
      </c>
      <c r="C3917" s="38">
        <v>0.87721378117670012</v>
      </c>
      <c r="D3917" s="14" t="s">
        <v>3958</v>
      </c>
      <c r="E3917" s="14" t="s">
        <v>48</v>
      </c>
    </row>
    <row r="3918" spans="1:5" x14ac:dyDescent="0.25">
      <c r="A3918" s="36">
        <v>3916</v>
      </c>
      <c r="B3918" s="37">
        <v>1591820305</v>
      </c>
      <c r="C3918" s="38">
        <v>0.74124909273406914</v>
      </c>
      <c r="D3918" s="14" t="s">
        <v>3959</v>
      </c>
      <c r="E3918" s="14" t="s">
        <v>37</v>
      </c>
    </row>
    <row r="3919" spans="1:5" x14ac:dyDescent="0.25">
      <c r="A3919" s="36">
        <v>3917</v>
      </c>
      <c r="B3919" s="37">
        <v>253873632</v>
      </c>
      <c r="C3919" s="38">
        <v>0.11821912234566134</v>
      </c>
      <c r="D3919" s="14" t="s">
        <v>3960</v>
      </c>
      <c r="E3919" s="14" t="s">
        <v>40</v>
      </c>
    </row>
    <row r="3920" spans="1:5" x14ac:dyDescent="0.25">
      <c r="A3920" s="36">
        <v>3918</v>
      </c>
      <c r="B3920" s="37">
        <v>336636010</v>
      </c>
      <c r="C3920" s="38">
        <v>0.15675835784373729</v>
      </c>
      <c r="D3920" s="14" t="s">
        <v>3961</v>
      </c>
      <c r="E3920" s="14" t="s">
        <v>43</v>
      </c>
    </row>
    <row r="3921" spans="1:5" x14ac:dyDescent="0.25">
      <c r="A3921" s="36">
        <v>3919</v>
      </c>
      <c r="B3921" s="37">
        <v>1455405057</v>
      </c>
      <c r="C3921" s="38">
        <v>0.6777257927124043</v>
      </c>
      <c r="D3921" s="14" t="s">
        <v>3962</v>
      </c>
      <c r="E3921" s="14" t="s">
        <v>46</v>
      </c>
    </row>
    <row r="3922" spans="1:5" x14ac:dyDescent="0.25">
      <c r="A3922" s="36">
        <v>3920</v>
      </c>
      <c r="B3922" s="37">
        <v>2141579271</v>
      </c>
      <c r="C3922" s="38">
        <v>0.99725056066981077</v>
      </c>
      <c r="D3922" s="14" t="s">
        <v>3963</v>
      </c>
      <c r="E3922" s="14" t="s">
        <v>48</v>
      </c>
    </row>
    <row r="3923" spans="1:5" x14ac:dyDescent="0.25">
      <c r="A3923" s="36">
        <v>3921</v>
      </c>
      <c r="B3923" s="37">
        <v>2065095142</v>
      </c>
      <c r="C3923" s="38">
        <v>0.96163486268447473</v>
      </c>
      <c r="D3923" s="14" t="s">
        <v>3964</v>
      </c>
      <c r="E3923" s="14" t="s">
        <v>37</v>
      </c>
    </row>
    <row r="3924" spans="1:5" x14ac:dyDescent="0.25">
      <c r="A3924" s="36">
        <v>3922</v>
      </c>
      <c r="B3924" s="37">
        <v>1593316518</v>
      </c>
      <c r="C3924" s="38">
        <v>0.74194582120606012</v>
      </c>
      <c r="D3924" s="14" t="s">
        <v>3965</v>
      </c>
      <c r="E3924" s="14" t="s">
        <v>40</v>
      </c>
    </row>
    <row r="3925" spans="1:5" x14ac:dyDescent="0.25">
      <c r="A3925" s="36">
        <v>3923</v>
      </c>
      <c r="B3925" s="37">
        <v>1804270584</v>
      </c>
      <c r="C3925" s="38">
        <v>0.84017896318816532</v>
      </c>
      <c r="D3925" s="14" t="s">
        <v>3966</v>
      </c>
      <c r="E3925" s="14" t="s">
        <v>43</v>
      </c>
    </row>
    <row r="3926" spans="1:5" x14ac:dyDescent="0.25">
      <c r="A3926" s="36">
        <v>3924</v>
      </c>
      <c r="B3926" s="37">
        <v>774890970</v>
      </c>
      <c r="C3926" s="38">
        <v>0.36083672678137046</v>
      </c>
      <c r="D3926" s="14" t="s">
        <v>3967</v>
      </c>
      <c r="E3926" s="14" t="s">
        <v>46</v>
      </c>
    </row>
    <row r="3927" spans="1:5" x14ac:dyDescent="0.25">
      <c r="A3927" s="36">
        <v>3925</v>
      </c>
      <c r="B3927" s="37">
        <v>482715039</v>
      </c>
      <c r="C3927" s="38">
        <v>0.22478170656821769</v>
      </c>
      <c r="D3927" s="14" t="s">
        <v>3968</v>
      </c>
      <c r="E3927" s="14" t="s">
        <v>48</v>
      </c>
    </row>
    <row r="3928" spans="1:5" x14ac:dyDescent="0.25">
      <c r="A3928" s="36">
        <v>3926</v>
      </c>
      <c r="B3928" s="37">
        <v>520252413</v>
      </c>
      <c r="C3928" s="38">
        <v>0.24226140847534938</v>
      </c>
      <c r="D3928" s="14" t="s">
        <v>3969</v>
      </c>
      <c r="E3928" s="14" t="s">
        <v>37</v>
      </c>
    </row>
    <row r="3929" spans="1:5" x14ac:dyDescent="0.25">
      <c r="A3929" s="36">
        <v>3927</v>
      </c>
      <c r="B3929" s="37">
        <v>1381000298</v>
      </c>
      <c r="C3929" s="38">
        <v>0.64307837683850821</v>
      </c>
      <c r="D3929" s="14" t="s">
        <v>3970</v>
      </c>
      <c r="E3929" s="14" t="s">
        <v>40</v>
      </c>
    </row>
    <row r="3930" spans="1:5" x14ac:dyDescent="0.25">
      <c r="A3930" s="36">
        <v>3928</v>
      </c>
      <c r="B3930" s="37">
        <v>1089510933</v>
      </c>
      <c r="C3930" s="38">
        <v>0.50734306383288608</v>
      </c>
      <c r="D3930" s="14" t="s">
        <v>3971</v>
      </c>
      <c r="E3930" s="14" t="s">
        <v>43</v>
      </c>
    </row>
    <row r="3931" spans="1:5" x14ac:dyDescent="0.25">
      <c r="A3931" s="36">
        <v>3929</v>
      </c>
      <c r="B3931" s="37">
        <v>1472019253</v>
      </c>
      <c r="C3931" s="38">
        <v>0.68546238061295006</v>
      </c>
      <c r="D3931" s="14" t="s">
        <v>3972</v>
      </c>
      <c r="E3931" s="14" t="s">
        <v>46</v>
      </c>
    </row>
    <row r="3932" spans="1:5" x14ac:dyDescent="0.25">
      <c r="A3932" s="36">
        <v>3930</v>
      </c>
      <c r="B3932" s="37">
        <v>1591770105</v>
      </c>
      <c r="C3932" s="38">
        <v>0.74122571653743541</v>
      </c>
      <c r="D3932" s="14" t="s">
        <v>3973</v>
      </c>
      <c r="E3932" s="14" t="s">
        <v>48</v>
      </c>
    </row>
    <row r="3933" spans="1:5" x14ac:dyDescent="0.25">
      <c r="A3933" s="36">
        <v>3931</v>
      </c>
      <c r="B3933" s="37">
        <v>446580865</v>
      </c>
      <c r="C3933" s="38">
        <v>0.20795542057974051</v>
      </c>
      <c r="D3933" s="14" t="s">
        <v>3974</v>
      </c>
      <c r="E3933" s="14" t="s">
        <v>37</v>
      </c>
    </row>
    <row r="3934" spans="1:5" x14ac:dyDescent="0.25">
      <c r="A3934" s="36">
        <v>3932</v>
      </c>
      <c r="B3934" s="37">
        <v>1006260239</v>
      </c>
      <c r="C3934" s="38">
        <v>0.46857643847753128</v>
      </c>
      <c r="D3934" s="14" t="s">
        <v>3975</v>
      </c>
      <c r="E3934" s="14" t="s">
        <v>40</v>
      </c>
    </row>
    <row r="3935" spans="1:5" x14ac:dyDescent="0.25">
      <c r="A3935" s="36">
        <v>3933</v>
      </c>
      <c r="B3935" s="37">
        <v>1435362519</v>
      </c>
      <c r="C3935" s="38">
        <v>0.66839275866206393</v>
      </c>
      <c r="D3935" s="14" t="s">
        <v>3976</v>
      </c>
      <c r="E3935" s="14" t="s">
        <v>43</v>
      </c>
    </row>
    <row r="3936" spans="1:5" x14ac:dyDescent="0.25">
      <c r="A3936" s="36">
        <v>3934</v>
      </c>
      <c r="B3936" s="37">
        <v>1994470966</v>
      </c>
      <c r="C3936" s="38">
        <v>0.9287479179579522</v>
      </c>
      <c r="D3936" s="14" t="s">
        <v>3977</v>
      </c>
      <c r="E3936" s="14" t="s">
        <v>46</v>
      </c>
    </row>
    <row r="3937" spans="1:5" x14ac:dyDescent="0.25">
      <c r="A3937" s="36">
        <v>3935</v>
      </c>
      <c r="B3937" s="37">
        <v>1289080545</v>
      </c>
      <c r="C3937" s="38">
        <v>0.60027490630758684</v>
      </c>
      <c r="D3937" s="14" t="s">
        <v>3978</v>
      </c>
      <c r="E3937" s="14" t="s">
        <v>48</v>
      </c>
    </row>
    <row r="3938" spans="1:5" x14ac:dyDescent="0.25">
      <c r="A3938" s="36">
        <v>3936</v>
      </c>
      <c r="B3938" s="37">
        <v>130046417</v>
      </c>
      <c r="C3938" s="38">
        <v>6.0557581978178392E-2</v>
      </c>
      <c r="D3938" s="14" t="s">
        <v>3979</v>
      </c>
      <c r="E3938" s="14" t="s">
        <v>37</v>
      </c>
    </row>
    <row r="3939" spans="1:5" x14ac:dyDescent="0.25">
      <c r="A3939" s="36">
        <v>3937</v>
      </c>
      <c r="B3939" s="37">
        <v>174543548</v>
      </c>
      <c r="C3939" s="38">
        <v>8.1278173290788278E-2</v>
      </c>
      <c r="D3939" s="14" t="s">
        <v>3980</v>
      </c>
      <c r="E3939" s="14" t="s">
        <v>40</v>
      </c>
    </row>
    <row r="3940" spans="1:5" x14ac:dyDescent="0.25">
      <c r="A3940" s="36">
        <v>3938</v>
      </c>
      <c r="B3940" s="37">
        <v>50536293</v>
      </c>
      <c r="C3940" s="38">
        <v>2.3532795265099403E-2</v>
      </c>
      <c r="D3940" s="14" t="s">
        <v>3981</v>
      </c>
      <c r="E3940" s="14" t="s">
        <v>43</v>
      </c>
    </row>
    <row r="3941" spans="1:5" x14ac:dyDescent="0.25">
      <c r="A3941" s="36">
        <v>3939</v>
      </c>
      <c r="B3941" s="37">
        <v>855073411</v>
      </c>
      <c r="C3941" s="38">
        <v>0.39817458549429413</v>
      </c>
      <c r="D3941" s="14" t="s">
        <v>3982</v>
      </c>
      <c r="E3941" s="14" t="s">
        <v>46</v>
      </c>
    </row>
    <row r="3942" spans="1:5" x14ac:dyDescent="0.25">
      <c r="A3942" s="36">
        <v>3940</v>
      </c>
      <c r="B3942" s="37">
        <v>51659514</v>
      </c>
      <c r="C3942" s="38">
        <v>2.4055835802134051E-2</v>
      </c>
      <c r="D3942" s="14" t="s">
        <v>3983</v>
      </c>
      <c r="E3942" s="14" t="s">
        <v>48</v>
      </c>
    </row>
    <row r="3943" spans="1:5" x14ac:dyDescent="0.25">
      <c r="A3943" s="36">
        <v>3941</v>
      </c>
      <c r="B3943" s="37">
        <v>26251899</v>
      </c>
      <c r="C3943" s="38">
        <v>1.2224493088305225E-2</v>
      </c>
      <c r="D3943" s="14" t="s">
        <v>3984</v>
      </c>
      <c r="E3943" s="14" t="s">
        <v>37</v>
      </c>
    </row>
    <row r="3944" spans="1:5" x14ac:dyDescent="0.25">
      <c r="A3944" s="36">
        <v>3942</v>
      </c>
      <c r="B3944" s="37">
        <v>958838042</v>
      </c>
      <c r="C3944" s="38">
        <v>0.44649375716526701</v>
      </c>
      <c r="D3944" s="14" t="s">
        <v>3985</v>
      </c>
      <c r="E3944" s="14" t="s">
        <v>40</v>
      </c>
    </row>
    <row r="3945" spans="1:5" x14ac:dyDescent="0.25">
      <c r="A3945" s="36">
        <v>3943</v>
      </c>
      <c r="B3945" s="37">
        <v>1059313873</v>
      </c>
      <c r="C3945" s="38">
        <v>0.49328146199382911</v>
      </c>
      <c r="D3945" s="14" t="s">
        <v>3986</v>
      </c>
      <c r="E3945" s="14" t="s">
        <v>43</v>
      </c>
    </row>
    <row r="3946" spans="1:5" x14ac:dyDescent="0.25">
      <c r="A3946" s="36">
        <v>3944</v>
      </c>
      <c r="B3946" s="37">
        <v>1712964435</v>
      </c>
      <c r="C3946" s="38">
        <v>0.79766122428591424</v>
      </c>
      <c r="D3946" s="14" t="s">
        <v>3987</v>
      </c>
      <c r="E3946" s="14" t="s">
        <v>46</v>
      </c>
    </row>
    <row r="3947" spans="1:5" x14ac:dyDescent="0.25">
      <c r="A3947" s="36">
        <v>3945</v>
      </c>
      <c r="B3947" s="37">
        <v>1119892229</v>
      </c>
      <c r="C3947" s="38">
        <v>0.5214904572449115</v>
      </c>
      <c r="D3947" s="14" t="s">
        <v>3988</v>
      </c>
      <c r="E3947" s="14" t="s">
        <v>48</v>
      </c>
    </row>
    <row r="3948" spans="1:5" x14ac:dyDescent="0.25">
      <c r="A3948" s="36">
        <v>3946</v>
      </c>
      <c r="B3948" s="37">
        <v>806340450</v>
      </c>
      <c r="C3948" s="38">
        <v>0.37548153213014895</v>
      </c>
      <c r="D3948" s="14" t="s">
        <v>3989</v>
      </c>
      <c r="E3948" s="14" t="s">
        <v>37</v>
      </c>
    </row>
    <row r="3949" spans="1:5" x14ac:dyDescent="0.25">
      <c r="A3949" s="36">
        <v>3947</v>
      </c>
      <c r="B3949" s="37">
        <v>1867032767</v>
      </c>
      <c r="C3949" s="38">
        <v>0.86940488213179856</v>
      </c>
      <c r="D3949" s="14" t="s">
        <v>3990</v>
      </c>
      <c r="E3949" s="14" t="s">
        <v>40</v>
      </c>
    </row>
    <row r="3950" spans="1:5" x14ac:dyDescent="0.25">
      <c r="A3950" s="36">
        <v>3948</v>
      </c>
      <c r="B3950" s="37">
        <v>1360573436</v>
      </c>
      <c r="C3950" s="38">
        <v>0.63356637797950133</v>
      </c>
      <c r="D3950" s="14" t="s">
        <v>3991</v>
      </c>
      <c r="E3950" s="14" t="s">
        <v>43</v>
      </c>
    </row>
    <row r="3951" spans="1:5" x14ac:dyDescent="0.25">
      <c r="A3951" s="36">
        <v>3949</v>
      </c>
      <c r="B3951" s="37">
        <v>1175623334</v>
      </c>
      <c r="C3951" s="38">
        <v>0.54744227535437895</v>
      </c>
      <c r="D3951" s="14" t="s">
        <v>3992</v>
      </c>
      <c r="E3951" s="14" t="s">
        <v>46</v>
      </c>
    </row>
    <row r="3952" spans="1:5" x14ac:dyDescent="0.25">
      <c r="A3952" s="36">
        <v>3950</v>
      </c>
      <c r="B3952" s="37">
        <v>1772791116</v>
      </c>
      <c r="C3952" s="38">
        <v>0.82552019358869655</v>
      </c>
      <c r="D3952" s="14" t="s">
        <v>3993</v>
      </c>
      <c r="E3952" s="14" t="s">
        <v>48</v>
      </c>
    </row>
    <row r="3953" spans="1:5" x14ac:dyDescent="0.25">
      <c r="A3953" s="36">
        <v>3951</v>
      </c>
      <c r="B3953" s="37">
        <v>1014405070</v>
      </c>
      <c r="C3953" s="38">
        <v>0.4723691709676614</v>
      </c>
      <c r="D3953" s="14" t="s">
        <v>3994</v>
      </c>
      <c r="E3953" s="14" t="s">
        <v>37</v>
      </c>
    </row>
    <row r="3954" spans="1:5" x14ac:dyDescent="0.25">
      <c r="A3954" s="36">
        <v>3952</v>
      </c>
      <c r="B3954" s="37">
        <v>1645919283</v>
      </c>
      <c r="C3954" s="38">
        <v>0.76644089248331304</v>
      </c>
      <c r="D3954" s="14" t="s">
        <v>3995</v>
      </c>
      <c r="E3954" s="14" t="s">
        <v>40</v>
      </c>
    </row>
    <row r="3955" spans="1:5" x14ac:dyDescent="0.25">
      <c r="A3955" s="36">
        <v>3953</v>
      </c>
      <c r="B3955" s="37">
        <v>1070943078</v>
      </c>
      <c r="C3955" s="38">
        <v>0.49869673256701635</v>
      </c>
      <c r="D3955" s="14" t="s">
        <v>3996</v>
      </c>
      <c r="E3955" s="14" t="s">
        <v>43</v>
      </c>
    </row>
    <row r="3956" spans="1:5" x14ac:dyDescent="0.25">
      <c r="A3956" s="36">
        <v>3954</v>
      </c>
      <c r="B3956" s="37">
        <v>1397823002</v>
      </c>
      <c r="C3956" s="38">
        <v>0.65091205884279313</v>
      </c>
      <c r="D3956" s="14" t="s">
        <v>3997</v>
      </c>
      <c r="E3956" s="14" t="s">
        <v>46</v>
      </c>
    </row>
    <row r="3957" spans="1:5" x14ac:dyDescent="0.25">
      <c r="A3957" s="36">
        <v>3955</v>
      </c>
      <c r="B3957" s="37">
        <v>1861613300</v>
      </c>
      <c r="C3957" s="38">
        <v>0.86688124615088158</v>
      </c>
      <c r="D3957" s="14" t="s">
        <v>3998</v>
      </c>
      <c r="E3957" s="14" t="s">
        <v>48</v>
      </c>
    </row>
    <row r="3958" spans="1:5" x14ac:dyDescent="0.25">
      <c r="A3958" s="36">
        <v>3956</v>
      </c>
      <c r="B3958" s="37">
        <v>2101066308</v>
      </c>
      <c r="C3958" s="38">
        <v>0.9783852421577951</v>
      </c>
      <c r="D3958" s="14" t="s">
        <v>3999</v>
      </c>
      <c r="E3958" s="14" t="s">
        <v>37</v>
      </c>
    </row>
    <row r="3959" spans="1:5" x14ac:dyDescent="0.25">
      <c r="A3959" s="36">
        <v>3957</v>
      </c>
      <c r="B3959" s="37">
        <v>359357014</v>
      </c>
      <c r="C3959" s="38">
        <v>0.16733864982022842</v>
      </c>
      <c r="D3959" s="14" t="s">
        <v>4000</v>
      </c>
      <c r="E3959" s="14" t="s">
        <v>40</v>
      </c>
    </row>
    <row r="3960" spans="1:5" x14ac:dyDescent="0.25">
      <c r="A3960" s="36">
        <v>3958</v>
      </c>
      <c r="B3960" s="37">
        <v>1800080840</v>
      </c>
      <c r="C3960" s="38">
        <v>0.83822796160272695</v>
      </c>
      <c r="D3960" s="14" t="s">
        <v>4001</v>
      </c>
      <c r="E3960" s="14" t="s">
        <v>43</v>
      </c>
    </row>
    <row r="3961" spans="1:5" x14ac:dyDescent="0.25">
      <c r="A3961" s="36">
        <v>3959</v>
      </c>
      <c r="B3961" s="37">
        <v>1868144826</v>
      </c>
      <c r="C3961" s="38">
        <v>0.86992272495754186</v>
      </c>
      <c r="D3961" s="14" t="s">
        <v>4002</v>
      </c>
      <c r="E3961" s="14" t="s">
        <v>46</v>
      </c>
    </row>
    <row r="3962" spans="1:5" x14ac:dyDescent="0.25">
      <c r="A3962" s="36">
        <v>3960</v>
      </c>
      <c r="B3962" s="37">
        <v>1279676697</v>
      </c>
      <c r="C3962" s="38">
        <v>0.5958958983402215</v>
      </c>
      <c r="D3962" s="14" t="s">
        <v>4003</v>
      </c>
      <c r="E3962" s="14" t="s">
        <v>48</v>
      </c>
    </row>
    <row r="3963" spans="1:5" x14ac:dyDescent="0.25">
      <c r="A3963" s="36">
        <v>3961</v>
      </c>
      <c r="B3963" s="37">
        <v>198257200</v>
      </c>
      <c r="C3963" s="38">
        <v>9.2320703013018104E-2</v>
      </c>
      <c r="D3963" s="14" t="s">
        <v>4004</v>
      </c>
      <c r="E3963" s="14" t="s">
        <v>37</v>
      </c>
    </row>
    <row r="3964" spans="1:5" x14ac:dyDescent="0.25">
      <c r="A3964" s="36">
        <v>3962</v>
      </c>
      <c r="B3964" s="37">
        <v>1267699733</v>
      </c>
      <c r="C3964" s="38">
        <v>0.5903186898633459</v>
      </c>
      <c r="D3964" s="14" t="s">
        <v>4005</v>
      </c>
      <c r="E3964" s="14" t="s">
        <v>40</v>
      </c>
    </row>
    <row r="3965" spans="1:5" x14ac:dyDescent="0.25">
      <c r="A3965" s="36">
        <v>3963</v>
      </c>
      <c r="B3965" s="37">
        <v>1480433848</v>
      </c>
      <c r="C3965" s="38">
        <v>0.68938073175464787</v>
      </c>
      <c r="D3965" s="14" t="s">
        <v>4006</v>
      </c>
      <c r="E3965" s="14" t="s">
        <v>43</v>
      </c>
    </row>
    <row r="3966" spans="1:5" x14ac:dyDescent="0.25">
      <c r="A3966" s="36">
        <v>3964</v>
      </c>
      <c r="B3966" s="37">
        <v>2007166746</v>
      </c>
      <c r="C3966" s="38">
        <v>0.93465985121888107</v>
      </c>
      <c r="D3966" s="14" t="s">
        <v>4007</v>
      </c>
      <c r="E3966" s="14" t="s">
        <v>46</v>
      </c>
    </row>
    <row r="3967" spans="1:5" x14ac:dyDescent="0.25">
      <c r="A3967" s="36">
        <v>3965</v>
      </c>
      <c r="B3967" s="37">
        <v>345714918</v>
      </c>
      <c r="C3967" s="38">
        <v>0.1609860538323345</v>
      </c>
      <c r="D3967" s="14" t="s">
        <v>4008</v>
      </c>
      <c r="E3967" s="14" t="s">
        <v>48</v>
      </c>
    </row>
    <row r="3968" spans="1:5" x14ac:dyDescent="0.25">
      <c r="A3968" s="36">
        <v>3966</v>
      </c>
      <c r="B3968" s="37">
        <v>1682319818</v>
      </c>
      <c r="C3968" s="38">
        <v>0.78339121247799659</v>
      </c>
      <c r="D3968" s="14" t="s">
        <v>4009</v>
      </c>
      <c r="E3968" s="14" t="s">
        <v>37</v>
      </c>
    </row>
    <row r="3969" spans="1:5" x14ac:dyDescent="0.25">
      <c r="A3969" s="36">
        <v>3967</v>
      </c>
      <c r="B3969" s="37">
        <v>1567847495</v>
      </c>
      <c r="C3969" s="38">
        <v>0.73008588316388701</v>
      </c>
      <c r="D3969" s="14" t="s">
        <v>4010</v>
      </c>
      <c r="E3969" s="14" t="s">
        <v>40</v>
      </c>
    </row>
    <row r="3970" spans="1:5" x14ac:dyDescent="0.25">
      <c r="A3970" s="36">
        <v>3968</v>
      </c>
      <c r="B3970" s="37">
        <v>1453436936</v>
      </c>
      <c r="C3970" s="38">
        <v>0.67680931495354013</v>
      </c>
      <c r="D3970" s="14" t="s">
        <v>4011</v>
      </c>
      <c r="E3970" s="14" t="s">
        <v>43</v>
      </c>
    </row>
    <row r="3971" spans="1:5" x14ac:dyDescent="0.25">
      <c r="A3971" s="36">
        <v>3969</v>
      </c>
      <c r="B3971" s="37">
        <v>1067533421</v>
      </c>
      <c r="C3971" s="38">
        <v>0.49710898729837916</v>
      </c>
      <c r="D3971" s="14" t="s">
        <v>4012</v>
      </c>
      <c r="E3971" s="14" t="s">
        <v>46</v>
      </c>
    </row>
    <row r="3972" spans="1:5" x14ac:dyDescent="0.25">
      <c r="A3972" s="36">
        <v>3970</v>
      </c>
      <c r="B3972" s="37">
        <v>1737784098</v>
      </c>
      <c r="C3972" s="38">
        <v>0.80921878051442042</v>
      </c>
      <c r="D3972" s="14" t="s">
        <v>4013</v>
      </c>
      <c r="E3972" s="14" t="s">
        <v>48</v>
      </c>
    </row>
    <row r="3973" spans="1:5" x14ac:dyDescent="0.25">
      <c r="A3973" s="36">
        <v>3971</v>
      </c>
      <c r="B3973" s="37">
        <v>779046318</v>
      </c>
      <c r="C3973" s="38">
        <v>0.36277171148116316</v>
      </c>
      <c r="D3973" s="14" t="s">
        <v>4014</v>
      </c>
      <c r="E3973" s="14" t="s">
        <v>37</v>
      </c>
    </row>
    <row r="3974" spans="1:5" x14ac:dyDescent="0.25">
      <c r="A3974" s="36">
        <v>3972</v>
      </c>
      <c r="B3974" s="37">
        <v>118517752</v>
      </c>
      <c r="C3974" s="38">
        <v>5.5189128990838832E-2</v>
      </c>
      <c r="D3974" s="14" t="s">
        <v>4015</v>
      </c>
      <c r="E3974" s="14" t="s">
        <v>40</v>
      </c>
    </row>
    <row r="3975" spans="1:5" x14ac:dyDescent="0.25">
      <c r="A3975" s="36">
        <v>3973</v>
      </c>
      <c r="B3975" s="37">
        <v>337304015</v>
      </c>
      <c r="C3975" s="38">
        <v>0.15706942191211015</v>
      </c>
      <c r="D3975" s="14" t="s">
        <v>4016</v>
      </c>
      <c r="E3975" s="14" t="s">
        <v>43</v>
      </c>
    </row>
    <row r="3976" spans="1:5" x14ac:dyDescent="0.25">
      <c r="A3976" s="36">
        <v>3974</v>
      </c>
      <c r="B3976" s="37">
        <v>969898536</v>
      </c>
      <c r="C3976" s="38">
        <v>0.4516442010419649</v>
      </c>
      <c r="D3976" s="14" t="s">
        <v>4017</v>
      </c>
      <c r="E3976" s="14" t="s">
        <v>46</v>
      </c>
    </row>
    <row r="3977" spans="1:5" x14ac:dyDescent="0.25">
      <c r="A3977" s="36">
        <v>3975</v>
      </c>
      <c r="B3977" s="37">
        <v>1150783492</v>
      </c>
      <c r="C3977" s="38">
        <v>0.53587532254675185</v>
      </c>
      <c r="D3977" s="14" t="s">
        <v>4018</v>
      </c>
      <c r="E3977" s="14" t="s">
        <v>48</v>
      </c>
    </row>
    <row r="3978" spans="1:5" x14ac:dyDescent="0.25">
      <c r="A3978" s="36">
        <v>3976</v>
      </c>
      <c r="B3978" s="37">
        <v>737441757</v>
      </c>
      <c r="C3978" s="38">
        <v>0.34339807803900824</v>
      </c>
      <c r="D3978" s="14" t="s">
        <v>4019</v>
      </c>
      <c r="E3978" s="14" t="s">
        <v>37</v>
      </c>
    </row>
    <row r="3979" spans="1:5" x14ac:dyDescent="0.25">
      <c r="A3979" s="36">
        <v>3977</v>
      </c>
      <c r="B3979" s="37">
        <v>339267683</v>
      </c>
      <c r="C3979" s="38">
        <v>0.15798382608126096</v>
      </c>
      <c r="D3979" s="14" t="s">
        <v>4020</v>
      </c>
      <c r="E3979" s="14" t="s">
        <v>40</v>
      </c>
    </row>
    <row r="3980" spans="1:5" x14ac:dyDescent="0.25">
      <c r="A3980" s="36">
        <v>3978</v>
      </c>
      <c r="B3980" s="37">
        <v>1074265502</v>
      </c>
      <c r="C3980" s="38">
        <v>0.50024385680455896</v>
      </c>
      <c r="D3980" s="14" t="s">
        <v>4021</v>
      </c>
      <c r="E3980" s="14" t="s">
        <v>43</v>
      </c>
    </row>
    <row r="3981" spans="1:5" x14ac:dyDescent="0.25">
      <c r="A3981" s="36">
        <v>3979</v>
      </c>
      <c r="B3981" s="37">
        <v>1885240577</v>
      </c>
      <c r="C3981" s="38">
        <v>0.87788355437940158</v>
      </c>
      <c r="D3981" s="14" t="s">
        <v>4022</v>
      </c>
      <c r="E3981" s="14" t="s">
        <v>46</v>
      </c>
    </row>
    <row r="3982" spans="1:5" x14ac:dyDescent="0.25">
      <c r="A3982" s="36">
        <v>3980</v>
      </c>
      <c r="B3982" s="37">
        <v>1278803575</v>
      </c>
      <c r="C3982" s="38">
        <v>0.59548931922553539</v>
      </c>
      <c r="D3982" s="14" t="s">
        <v>4023</v>
      </c>
      <c r="E3982" s="14" t="s">
        <v>48</v>
      </c>
    </row>
    <row r="3983" spans="1:5" x14ac:dyDescent="0.25">
      <c r="A3983" s="36">
        <v>3981</v>
      </c>
      <c r="B3983" s="37">
        <v>711289169</v>
      </c>
      <c r="C3983" s="38">
        <v>0.33121983023882834</v>
      </c>
      <c r="D3983" s="14" t="s">
        <v>4024</v>
      </c>
      <c r="E3983" s="14" t="s">
        <v>37</v>
      </c>
    </row>
    <row r="3984" spans="1:5" x14ac:dyDescent="0.25">
      <c r="A3984" s="36">
        <v>3982</v>
      </c>
      <c r="B3984" s="37">
        <v>343735320</v>
      </c>
      <c r="C3984" s="38">
        <v>0.1600642316788734</v>
      </c>
      <c r="D3984" s="14" t="s">
        <v>4025</v>
      </c>
      <c r="E3984" s="14" t="s">
        <v>40</v>
      </c>
    </row>
    <row r="3985" spans="1:5" x14ac:dyDescent="0.25">
      <c r="A3985" s="36">
        <v>3983</v>
      </c>
      <c r="B3985" s="37">
        <v>831873366</v>
      </c>
      <c r="C3985" s="38">
        <v>0.3873712226689659</v>
      </c>
      <c r="D3985" s="14" t="s">
        <v>4026</v>
      </c>
      <c r="E3985" s="14" t="s">
        <v>43</v>
      </c>
    </row>
    <row r="3986" spans="1:5" x14ac:dyDescent="0.25">
      <c r="A3986" s="36">
        <v>3984</v>
      </c>
      <c r="B3986" s="37">
        <v>1195179890</v>
      </c>
      <c r="C3986" s="38">
        <v>0.55654900640088556</v>
      </c>
      <c r="D3986" s="14" t="s">
        <v>4027</v>
      </c>
      <c r="E3986" s="14" t="s">
        <v>46</v>
      </c>
    </row>
    <row r="3987" spans="1:5" x14ac:dyDescent="0.25">
      <c r="A3987" s="36">
        <v>3985</v>
      </c>
      <c r="B3987" s="37">
        <v>444562143</v>
      </c>
      <c r="C3987" s="38">
        <v>0.20701537989406632</v>
      </c>
      <c r="D3987" s="14" t="s">
        <v>4028</v>
      </c>
      <c r="E3987" s="14" t="s">
        <v>48</v>
      </c>
    </row>
    <row r="3988" spans="1:5" x14ac:dyDescent="0.25">
      <c r="A3988" s="36">
        <v>3986</v>
      </c>
      <c r="B3988" s="37">
        <v>1604930744</v>
      </c>
      <c r="C3988" s="38">
        <v>0.74735411663882156</v>
      </c>
      <c r="D3988" s="14" t="s">
        <v>4029</v>
      </c>
      <c r="E3988" s="14" t="s">
        <v>37</v>
      </c>
    </row>
    <row r="3989" spans="1:5" x14ac:dyDescent="0.25">
      <c r="A3989" s="36">
        <v>3987</v>
      </c>
      <c r="B3989" s="37">
        <v>178529293</v>
      </c>
      <c r="C3989" s="38">
        <v>8.313418043923293E-2</v>
      </c>
      <c r="D3989" s="14" t="s">
        <v>4030</v>
      </c>
      <c r="E3989" s="14" t="s">
        <v>40</v>
      </c>
    </row>
    <row r="3990" spans="1:5" x14ac:dyDescent="0.25">
      <c r="A3990" s="36">
        <v>3988</v>
      </c>
      <c r="B3990" s="37">
        <v>845746835</v>
      </c>
      <c r="C3990" s="38">
        <v>0.39383156010593828</v>
      </c>
      <c r="D3990" s="14" t="s">
        <v>4031</v>
      </c>
      <c r="E3990" s="14" t="s">
        <v>43</v>
      </c>
    </row>
    <row r="3991" spans="1:5" x14ac:dyDescent="0.25">
      <c r="A3991" s="36">
        <v>3989</v>
      </c>
      <c r="B3991" s="37">
        <v>2039510924</v>
      </c>
      <c r="C3991" s="38">
        <v>0.94972128279028523</v>
      </c>
      <c r="D3991" s="14" t="s">
        <v>4032</v>
      </c>
      <c r="E3991" s="14" t="s">
        <v>46</v>
      </c>
    </row>
    <row r="3992" spans="1:5" x14ac:dyDescent="0.25">
      <c r="A3992" s="36">
        <v>3990</v>
      </c>
      <c r="B3992" s="37">
        <v>623570078</v>
      </c>
      <c r="C3992" s="38">
        <v>0.29037244538328261</v>
      </c>
      <c r="D3992" s="14" t="s">
        <v>4033</v>
      </c>
      <c r="E3992" s="14" t="s">
        <v>48</v>
      </c>
    </row>
    <row r="3993" spans="1:5" x14ac:dyDescent="0.25">
      <c r="A3993" s="36">
        <v>3991</v>
      </c>
      <c r="B3993" s="37">
        <v>1431915369</v>
      </c>
      <c r="C3993" s="38">
        <v>0.66678755435477366</v>
      </c>
      <c r="D3993" s="14" t="s">
        <v>4034</v>
      </c>
      <c r="E3993" s="14" t="s">
        <v>37</v>
      </c>
    </row>
    <row r="3994" spans="1:5" x14ac:dyDescent="0.25">
      <c r="A3994" s="36">
        <v>3992</v>
      </c>
      <c r="B3994" s="37">
        <v>55938353</v>
      </c>
      <c r="C3994" s="38">
        <v>2.6048325479984435E-2</v>
      </c>
      <c r="D3994" s="14" t="s">
        <v>4035</v>
      </c>
      <c r="E3994" s="14" t="s">
        <v>40</v>
      </c>
    </row>
    <row r="3995" spans="1:5" x14ac:dyDescent="0.25">
      <c r="A3995" s="36">
        <v>3993</v>
      </c>
      <c r="B3995" s="37">
        <v>1204964922</v>
      </c>
      <c r="C3995" s="38">
        <v>0.56110551700047473</v>
      </c>
      <c r="D3995" s="14" t="s">
        <v>4036</v>
      </c>
      <c r="E3995" s="14" t="s">
        <v>43</v>
      </c>
    </row>
    <row r="3996" spans="1:5" x14ac:dyDescent="0.25">
      <c r="A3996" s="36">
        <v>3994</v>
      </c>
      <c r="B3996" s="37">
        <v>1358973095</v>
      </c>
      <c r="C3996" s="38">
        <v>0.63282116112896292</v>
      </c>
      <c r="D3996" s="14" t="s">
        <v>4037</v>
      </c>
      <c r="E3996" s="14" t="s">
        <v>46</v>
      </c>
    </row>
    <row r="3997" spans="1:5" x14ac:dyDescent="0.25">
      <c r="A3997" s="36">
        <v>3995</v>
      </c>
      <c r="B3997" s="37">
        <v>247742589</v>
      </c>
      <c r="C3997" s="38">
        <v>0.11536413296841277</v>
      </c>
      <c r="D3997" s="14" t="s">
        <v>4038</v>
      </c>
      <c r="E3997" s="14" t="s">
        <v>48</v>
      </c>
    </row>
    <row r="3998" spans="1:5" x14ac:dyDescent="0.25">
      <c r="A3998" s="36">
        <v>3996</v>
      </c>
      <c r="B3998" s="37">
        <v>2052060626</v>
      </c>
      <c r="C3998" s="38">
        <v>0.955565193181655</v>
      </c>
      <c r="D3998" s="14" t="s">
        <v>4039</v>
      </c>
      <c r="E3998" s="14" t="s">
        <v>37</v>
      </c>
    </row>
    <row r="3999" spans="1:5" x14ac:dyDescent="0.25">
      <c r="A3999" s="36">
        <v>3997</v>
      </c>
      <c r="B3999" s="37">
        <v>1342857259</v>
      </c>
      <c r="C3999" s="38">
        <v>0.62531664018766797</v>
      </c>
      <c r="D3999" s="14" t="s">
        <v>4040</v>
      </c>
      <c r="E3999" s="14" t="s">
        <v>40</v>
      </c>
    </row>
    <row r="4000" spans="1:5" x14ac:dyDescent="0.25">
      <c r="A4000" s="36">
        <v>3998</v>
      </c>
      <c r="B4000" s="37">
        <v>1401543013</v>
      </c>
      <c r="C4000" s="38">
        <v>0.65264432395465877</v>
      </c>
      <c r="D4000" s="14" t="s">
        <v>4041</v>
      </c>
      <c r="E4000" s="14" t="s">
        <v>43</v>
      </c>
    </row>
    <row r="4001" spans="1:5" x14ac:dyDescent="0.25">
      <c r="A4001" s="36">
        <v>3999</v>
      </c>
      <c r="B4001" s="37">
        <v>570085127</v>
      </c>
      <c r="C4001" s="38">
        <v>0.26546657423743353</v>
      </c>
      <c r="D4001" s="14" t="s">
        <v>4042</v>
      </c>
      <c r="E4001" s="14" t="s">
        <v>46</v>
      </c>
    </row>
    <row r="4002" spans="1:5" x14ac:dyDescent="0.25">
      <c r="A4002" s="36">
        <v>4000</v>
      </c>
      <c r="B4002" s="37">
        <v>475922126</v>
      </c>
      <c r="C4002" s="38">
        <v>0.22161850995459526</v>
      </c>
      <c r="D4002" s="14" t="s">
        <v>4043</v>
      </c>
      <c r="E4002" s="14" t="s">
        <v>48</v>
      </c>
    </row>
    <row r="4003" spans="1:5" x14ac:dyDescent="0.25">
      <c r="A4003" s="36">
        <v>4001</v>
      </c>
      <c r="B4003" s="37">
        <v>48142543</v>
      </c>
      <c r="C4003" s="38">
        <v>2.2418118558087442E-2</v>
      </c>
      <c r="D4003" s="14" t="s">
        <v>4044</v>
      </c>
      <c r="E4003" s="14" t="s">
        <v>37</v>
      </c>
    </row>
    <row r="4004" spans="1:5" x14ac:dyDescent="0.25">
      <c r="A4004" s="36">
        <v>4002</v>
      </c>
      <c r="B4004" s="37">
        <v>2128003493</v>
      </c>
      <c r="C4004" s="38">
        <v>0.99092884640718293</v>
      </c>
      <c r="D4004" s="14" t="s">
        <v>4045</v>
      </c>
      <c r="E4004" s="14" t="s">
        <v>40</v>
      </c>
    </row>
    <row r="4005" spans="1:5" x14ac:dyDescent="0.25">
      <c r="A4005" s="36">
        <v>4003</v>
      </c>
      <c r="B4005" s="37">
        <v>666153426</v>
      </c>
      <c r="C4005" s="38">
        <v>0.31020186204006983</v>
      </c>
      <c r="D4005" s="14" t="s">
        <v>4046</v>
      </c>
      <c r="E4005" s="14" t="s">
        <v>43</v>
      </c>
    </row>
    <row r="4006" spans="1:5" x14ac:dyDescent="0.25">
      <c r="A4006" s="36">
        <v>4004</v>
      </c>
      <c r="B4006" s="37">
        <v>486508540</v>
      </c>
      <c r="C4006" s="38">
        <v>0.22654819312810348</v>
      </c>
      <c r="D4006" s="14" t="s">
        <v>4047</v>
      </c>
      <c r="E4006" s="14" t="s">
        <v>46</v>
      </c>
    </row>
    <row r="4007" spans="1:5" x14ac:dyDescent="0.25">
      <c r="A4007" s="36">
        <v>4005</v>
      </c>
      <c r="B4007" s="37">
        <v>1295582258</v>
      </c>
      <c r="C4007" s="38">
        <v>0.60330250235428218</v>
      </c>
      <c r="D4007" s="14" t="s">
        <v>4048</v>
      </c>
      <c r="E4007" s="14" t="s">
        <v>48</v>
      </c>
    </row>
    <row r="4008" spans="1:5" x14ac:dyDescent="0.25">
      <c r="A4008" s="36">
        <v>4006</v>
      </c>
      <c r="B4008" s="37">
        <v>1223780509</v>
      </c>
      <c r="C4008" s="38">
        <v>0.56986720746842545</v>
      </c>
      <c r="D4008" s="14" t="s">
        <v>4049</v>
      </c>
      <c r="E4008" s="14" t="s">
        <v>37</v>
      </c>
    </row>
    <row r="4009" spans="1:5" x14ac:dyDescent="0.25">
      <c r="A4009" s="36">
        <v>4007</v>
      </c>
      <c r="B4009" s="37">
        <v>1472416422</v>
      </c>
      <c r="C4009" s="38">
        <v>0.68564732684085483</v>
      </c>
      <c r="D4009" s="14" t="s">
        <v>4050</v>
      </c>
      <c r="E4009" s="14" t="s">
        <v>40</v>
      </c>
    </row>
    <row r="4010" spans="1:5" x14ac:dyDescent="0.25">
      <c r="A4010" s="36">
        <v>4008</v>
      </c>
      <c r="B4010" s="37">
        <v>1264536554</v>
      </c>
      <c r="C4010" s="38">
        <v>0.5888457198575352</v>
      </c>
      <c r="D4010" s="14" t="s">
        <v>4051</v>
      </c>
      <c r="E4010" s="14" t="s">
        <v>43</v>
      </c>
    </row>
    <row r="4011" spans="1:5" x14ac:dyDescent="0.25">
      <c r="A4011" s="36">
        <v>4009</v>
      </c>
      <c r="B4011" s="37">
        <v>1919811317</v>
      </c>
      <c r="C4011" s="38">
        <v>0.89398180967847896</v>
      </c>
      <c r="D4011" s="14" t="s">
        <v>4052</v>
      </c>
      <c r="E4011" s="14" t="s">
        <v>46</v>
      </c>
    </row>
    <row r="4012" spans="1:5" x14ac:dyDescent="0.25">
      <c r="A4012" s="36">
        <v>4010</v>
      </c>
      <c r="B4012" s="37">
        <v>1167997063</v>
      </c>
      <c r="C4012" s="38">
        <v>0.54389101618150759</v>
      </c>
      <c r="D4012" s="14" t="s">
        <v>4053</v>
      </c>
      <c r="E4012" s="14" t="s">
        <v>48</v>
      </c>
    </row>
    <row r="4013" spans="1:5" x14ac:dyDescent="0.25">
      <c r="A4013" s="36">
        <v>4011</v>
      </c>
      <c r="B4013" s="37">
        <v>1429892258</v>
      </c>
      <c r="C4013" s="38">
        <v>0.66584546988170845</v>
      </c>
      <c r="D4013" s="14" t="s">
        <v>4054</v>
      </c>
      <c r="E4013" s="14" t="s">
        <v>37</v>
      </c>
    </row>
    <row r="4014" spans="1:5" x14ac:dyDescent="0.25">
      <c r="A4014" s="36">
        <v>4012</v>
      </c>
      <c r="B4014" s="37">
        <v>1938943221</v>
      </c>
      <c r="C4014" s="38">
        <v>0.90289079672791561</v>
      </c>
      <c r="D4014" s="14" t="s">
        <v>4055</v>
      </c>
      <c r="E4014" s="14" t="s">
        <v>40</v>
      </c>
    </row>
    <row r="4015" spans="1:5" x14ac:dyDescent="0.25">
      <c r="A4015" s="36">
        <v>4013</v>
      </c>
      <c r="B4015" s="37">
        <v>1665501300</v>
      </c>
      <c r="C4015" s="38">
        <v>0.77555947973186123</v>
      </c>
      <c r="D4015" s="14" t="s">
        <v>4056</v>
      </c>
      <c r="E4015" s="14" t="s">
        <v>43</v>
      </c>
    </row>
    <row r="4016" spans="1:5" x14ac:dyDescent="0.25">
      <c r="A4016" s="36">
        <v>4014</v>
      </c>
      <c r="B4016" s="37">
        <v>1320995837</v>
      </c>
      <c r="C4016" s="38">
        <v>0.61513662227202981</v>
      </c>
      <c r="D4016" s="14" t="s">
        <v>4057</v>
      </c>
      <c r="E4016" s="14" t="s">
        <v>46</v>
      </c>
    </row>
    <row r="4017" spans="1:5" x14ac:dyDescent="0.25">
      <c r="A4017" s="36">
        <v>4015</v>
      </c>
      <c r="B4017" s="37">
        <v>1628486878</v>
      </c>
      <c r="C4017" s="38">
        <v>0.75832329632636308</v>
      </c>
      <c r="D4017" s="14" t="s">
        <v>4058</v>
      </c>
      <c r="E4017" s="14" t="s">
        <v>48</v>
      </c>
    </row>
    <row r="4018" spans="1:5" x14ac:dyDescent="0.25">
      <c r="A4018" s="36">
        <v>4016</v>
      </c>
      <c r="B4018" s="37">
        <v>1196048717</v>
      </c>
      <c r="C4018" s="38">
        <v>0.55695358550034169</v>
      </c>
      <c r="D4018" s="14" t="s">
        <v>4059</v>
      </c>
      <c r="E4018" s="14" t="s">
        <v>37</v>
      </c>
    </row>
    <row r="4019" spans="1:5" x14ac:dyDescent="0.25">
      <c r="A4019" s="36">
        <v>4017</v>
      </c>
      <c r="B4019" s="37">
        <v>1372329887</v>
      </c>
      <c r="C4019" s="38">
        <v>0.63904090208888098</v>
      </c>
      <c r="D4019" s="14" t="s">
        <v>4060</v>
      </c>
      <c r="E4019" s="14" t="s">
        <v>40</v>
      </c>
    </row>
    <row r="4020" spans="1:5" x14ac:dyDescent="0.25">
      <c r="A4020" s="36">
        <v>4018</v>
      </c>
      <c r="B4020" s="37">
        <v>63748998</v>
      </c>
      <c r="C4020" s="38">
        <v>2.9685440487081854E-2</v>
      </c>
      <c r="D4020" s="14" t="s">
        <v>4061</v>
      </c>
      <c r="E4020" s="14" t="s">
        <v>43</v>
      </c>
    </row>
    <row r="4021" spans="1:5" x14ac:dyDescent="0.25">
      <c r="A4021" s="36">
        <v>4019</v>
      </c>
      <c r="B4021" s="37">
        <v>1352834609</v>
      </c>
      <c r="C4021" s="38">
        <v>0.62996270583475134</v>
      </c>
      <c r="D4021" s="14" t="s">
        <v>4062</v>
      </c>
      <c r="E4021" s="14" t="s">
        <v>46</v>
      </c>
    </row>
    <row r="4022" spans="1:5" x14ac:dyDescent="0.25">
      <c r="A4022" s="36">
        <v>4020</v>
      </c>
      <c r="B4022" s="37">
        <v>311525865</v>
      </c>
      <c r="C4022" s="38">
        <v>0.1450655353931084</v>
      </c>
      <c r="D4022" s="14" t="s">
        <v>4063</v>
      </c>
      <c r="E4022" s="14" t="s">
        <v>48</v>
      </c>
    </row>
    <row r="4023" spans="1:5" x14ac:dyDescent="0.25">
      <c r="A4023" s="36">
        <v>4021</v>
      </c>
      <c r="B4023" s="37">
        <v>1465520493</v>
      </c>
      <c r="C4023" s="38">
        <v>0.68243615966403681</v>
      </c>
      <c r="D4023" s="14" t="s">
        <v>4064</v>
      </c>
      <c r="E4023" s="14" t="s">
        <v>37</v>
      </c>
    </row>
    <row r="4024" spans="1:5" x14ac:dyDescent="0.25">
      <c r="A4024" s="36">
        <v>4022</v>
      </c>
      <c r="B4024" s="37">
        <v>1118411044</v>
      </c>
      <c r="C4024" s="38">
        <v>0.5208007267307494</v>
      </c>
      <c r="D4024" s="14" t="s">
        <v>4065</v>
      </c>
      <c r="E4024" s="14" t="s">
        <v>40</v>
      </c>
    </row>
    <row r="4025" spans="1:5" x14ac:dyDescent="0.25">
      <c r="A4025" s="36">
        <v>4023</v>
      </c>
      <c r="B4025" s="37">
        <v>648105081</v>
      </c>
      <c r="C4025" s="38">
        <v>0.30179744646968198</v>
      </c>
      <c r="D4025" s="14" t="s">
        <v>4066</v>
      </c>
      <c r="E4025" s="14" t="s">
        <v>43</v>
      </c>
    </row>
    <row r="4026" spans="1:5" x14ac:dyDescent="0.25">
      <c r="A4026" s="36">
        <v>4024</v>
      </c>
      <c r="B4026" s="37">
        <v>1861268945</v>
      </c>
      <c r="C4026" s="38">
        <v>0.86672089335821612</v>
      </c>
      <c r="D4026" s="14" t="s">
        <v>4067</v>
      </c>
      <c r="E4026" s="14" t="s">
        <v>46</v>
      </c>
    </row>
    <row r="4027" spans="1:5" x14ac:dyDescent="0.25">
      <c r="A4027" s="36">
        <v>4025</v>
      </c>
      <c r="B4027" s="37">
        <v>144210035</v>
      </c>
      <c r="C4027" s="38">
        <v>6.7153030572064704E-2</v>
      </c>
      <c r="D4027" s="14" t="s">
        <v>4068</v>
      </c>
      <c r="E4027" s="14" t="s">
        <v>48</v>
      </c>
    </row>
    <row r="4028" spans="1:5" x14ac:dyDescent="0.25">
      <c r="A4028" s="36">
        <v>4026</v>
      </c>
      <c r="B4028" s="37">
        <v>795318232</v>
      </c>
      <c r="C4028" s="38">
        <v>0.37034891190489239</v>
      </c>
      <c r="D4028" s="14" t="s">
        <v>4069</v>
      </c>
      <c r="E4028" s="14" t="s">
        <v>37</v>
      </c>
    </row>
    <row r="4029" spans="1:5" x14ac:dyDescent="0.25">
      <c r="A4029" s="36">
        <v>4027</v>
      </c>
      <c r="B4029" s="37">
        <v>1062412638</v>
      </c>
      <c r="C4029" s="38">
        <v>0.49472443689346518</v>
      </c>
      <c r="D4029" s="14" t="s">
        <v>4070</v>
      </c>
      <c r="E4029" s="14" t="s">
        <v>40</v>
      </c>
    </row>
    <row r="4030" spans="1:5" x14ac:dyDescent="0.25">
      <c r="A4030" s="36">
        <v>4028</v>
      </c>
      <c r="B4030" s="37">
        <v>1429055966</v>
      </c>
      <c r="C4030" s="38">
        <v>0.66545604107224199</v>
      </c>
      <c r="D4030" s="14" t="s">
        <v>4071</v>
      </c>
      <c r="E4030" s="14" t="s">
        <v>43</v>
      </c>
    </row>
    <row r="4031" spans="1:5" x14ac:dyDescent="0.25">
      <c r="A4031" s="36">
        <v>4029</v>
      </c>
      <c r="B4031" s="37">
        <v>1479405177</v>
      </c>
      <c r="C4031" s="38">
        <v>0.68890171949234869</v>
      </c>
      <c r="D4031" s="14" t="s">
        <v>4072</v>
      </c>
      <c r="E4031" s="14" t="s">
        <v>46</v>
      </c>
    </row>
    <row r="4032" spans="1:5" x14ac:dyDescent="0.25">
      <c r="A4032" s="36">
        <v>4030</v>
      </c>
      <c r="B4032" s="37">
        <v>1303037130</v>
      </c>
      <c r="C4032" s="38">
        <v>0.60677394764813308</v>
      </c>
      <c r="D4032" s="14" t="s">
        <v>4073</v>
      </c>
      <c r="E4032" s="14" t="s">
        <v>48</v>
      </c>
    </row>
    <row r="4033" spans="1:5" x14ac:dyDescent="0.25">
      <c r="A4033" s="36">
        <v>4031</v>
      </c>
      <c r="B4033" s="37">
        <v>1884083943</v>
      </c>
      <c r="C4033" s="38">
        <v>0.87734495470176677</v>
      </c>
      <c r="D4033" s="14" t="s">
        <v>4074</v>
      </c>
      <c r="E4033" s="14" t="s">
        <v>37</v>
      </c>
    </row>
    <row r="4034" spans="1:5" x14ac:dyDescent="0.25">
      <c r="A4034" s="36">
        <v>4032</v>
      </c>
      <c r="B4034" s="37">
        <v>177942437</v>
      </c>
      <c r="C4034" s="38">
        <v>8.2860904318681414E-2</v>
      </c>
      <c r="D4034" s="14" t="s">
        <v>4075</v>
      </c>
      <c r="E4034" s="14" t="s">
        <v>40</v>
      </c>
    </row>
    <row r="4035" spans="1:5" x14ac:dyDescent="0.25">
      <c r="A4035" s="36">
        <v>4033</v>
      </c>
      <c r="B4035" s="37">
        <v>1114322820</v>
      </c>
      <c r="C4035" s="38">
        <v>0.51889699907922049</v>
      </c>
      <c r="D4035" s="14" t="s">
        <v>4076</v>
      </c>
      <c r="E4035" s="14" t="s">
        <v>43</v>
      </c>
    </row>
    <row r="4036" spans="1:5" x14ac:dyDescent="0.25">
      <c r="A4036" s="36">
        <v>4034</v>
      </c>
      <c r="B4036" s="37">
        <v>1072728824</v>
      </c>
      <c r="C4036" s="38">
        <v>0.49952828534856825</v>
      </c>
      <c r="D4036" s="14" t="s">
        <v>4077</v>
      </c>
      <c r="E4036" s="14" t="s">
        <v>46</v>
      </c>
    </row>
    <row r="4037" spans="1:5" x14ac:dyDescent="0.25">
      <c r="A4037" s="36">
        <v>4035</v>
      </c>
      <c r="B4037" s="37">
        <v>1699316204</v>
      </c>
      <c r="C4037" s="38">
        <v>0.79130577146602132</v>
      </c>
      <c r="D4037" s="14" t="s">
        <v>4078</v>
      </c>
      <c r="E4037" s="14" t="s">
        <v>48</v>
      </c>
    </row>
    <row r="4038" spans="1:5" x14ac:dyDescent="0.25">
      <c r="A4038" s="36">
        <v>4036</v>
      </c>
      <c r="B4038" s="37">
        <v>1527688567</v>
      </c>
      <c r="C4038" s="38">
        <v>0.71138542504580016</v>
      </c>
      <c r="D4038" s="14" t="s">
        <v>4079</v>
      </c>
      <c r="E4038" s="14" t="s">
        <v>37</v>
      </c>
    </row>
    <row r="4039" spans="1:5" x14ac:dyDescent="0.25">
      <c r="A4039" s="36">
        <v>4037</v>
      </c>
      <c r="B4039" s="37">
        <v>637287905</v>
      </c>
      <c r="C4039" s="38">
        <v>0.29676030636614203</v>
      </c>
      <c r="D4039" s="14" t="s">
        <v>4080</v>
      </c>
      <c r="E4039" s="14" t="s">
        <v>40</v>
      </c>
    </row>
    <row r="4040" spans="1:5" x14ac:dyDescent="0.25">
      <c r="A4040" s="36">
        <v>4038</v>
      </c>
      <c r="B4040" s="37">
        <v>904283993</v>
      </c>
      <c r="C4040" s="38">
        <v>0.42109004846824799</v>
      </c>
      <c r="D4040" s="14" t="s">
        <v>4081</v>
      </c>
      <c r="E4040" s="14" t="s">
        <v>43</v>
      </c>
    </row>
    <row r="4041" spans="1:5" x14ac:dyDescent="0.25">
      <c r="A4041" s="36">
        <v>4039</v>
      </c>
      <c r="B4041" s="37">
        <v>826915543</v>
      </c>
      <c r="C4041" s="38">
        <v>0.38506255642746695</v>
      </c>
      <c r="D4041" s="14" t="s">
        <v>4082</v>
      </c>
      <c r="E4041" s="14" t="s">
        <v>46</v>
      </c>
    </row>
    <row r="4042" spans="1:5" x14ac:dyDescent="0.25">
      <c r="A4042" s="36">
        <v>4040</v>
      </c>
      <c r="B4042" s="37">
        <v>1554506236</v>
      </c>
      <c r="C4042" s="38">
        <v>0.72387337532074814</v>
      </c>
      <c r="D4042" s="14" t="s">
        <v>4083</v>
      </c>
      <c r="E4042" s="14" t="s">
        <v>48</v>
      </c>
    </row>
    <row r="4043" spans="1:5" x14ac:dyDescent="0.25">
      <c r="A4043" s="36">
        <v>4041</v>
      </c>
      <c r="B4043" s="37">
        <v>1722693588</v>
      </c>
      <c r="C4043" s="38">
        <v>0.80219171419841784</v>
      </c>
      <c r="D4043" s="14" t="s">
        <v>4084</v>
      </c>
      <c r="E4043" s="14" t="s">
        <v>37</v>
      </c>
    </row>
    <row r="4044" spans="1:5" x14ac:dyDescent="0.25">
      <c r="A4044" s="36">
        <v>4042</v>
      </c>
      <c r="B4044" s="37">
        <v>1364107527</v>
      </c>
      <c r="C4044" s="38">
        <v>0.63521206734479041</v>
      </c>
      <c r="D4044" s="14" t="s">
        <v>4085</v>
      </c>
      <c r="E4044" s="14" t="s">
        <v>40</v>
      </c>
    </row>
    <row r="4045" spans="1:5" x14ac:dyDescent="0.25">
      <c r="A4045" s="36">
        <v>4043</v>
      </c>
      <c r="B4045" s="37">
        <v>1800735976</v>
      </c>
      <c r="C4045" s="38">
        <v>0.83853303307599059</v>
      </c>
      <c r="D4045" s="14" t="s">
        <v>4086</v>
      </c>
      <c r="E4045" s="14" t="s">
        <v>43</v>
      </c>
    </row>
    <row r="4046" spans="1:5" x14ac:dyDescent="0.25">
      <c r="A4046" s="36">
        <v>4044</v>
      </c>
      <c r="B4046" s="37">
        <v>1436702550</v>
      </c>
      <c r="C4046" s="38">
        <v>0.66901675922284687</v>
      </c>
      <c r="D4046" s="14" t="s">
        <v>4087</v>
      </c>
      <c r="E4046" s="14" t="s">
        <v>46</v>
      </c>
    </row>
    <row r="4047" spans="1:5" x14ac:dyDescent="0.25">
      <c r="A4047" s="36">
        <v>4045</v>
      </c>
      <c r="B4047" s="37">
        <v>1274062008</v>
      </c>
      <c r="C4047" s="38">
        <v>0.59328135503143131</v>
      </c>
      <c r="D4047" s="14" t="s">
        <v>4088</v>
      </c>
      <c r="E4047" s="14" t="s">
        <v>48</v>
      </c>
    </row>
    <row r="4048" spans="1:5" x14ac:dyDescent="0.25">
      <c r="A4048" s="36">
        <v>4046</v>
      </c>
      <c r="B4048" s="37">
        <v>256881219</v>
      </c>
      <c r="C4048" s="38">
        <v>0.11961963918042352</v>
      </c>
      <c r="D4048" s="14" t="s">
        <v>4089</v>
      </c>
      <c r="E4048" s="14" t="s">
        <v>37</v>
      </c>
    </row>
    <row r="4049" spans="1:5" x14ac:dyDescent="0.25">
      <c r="A4049" s="36">
        <v>4047</v>
      </c>
      <c r="B4049" s="37">
        <v>756006028</v>
      </c>
      <c r="C4049" s="38">
        <v>0.35204274037482347</v>
      </c>
      <c r="D4049" s="14" t="s">
        <v>4090</v>
      </c>
      <c r="E4049" s="14" t="s">
        <v>40</v>
      </c>
    </row>
    <row r="4050" spans="1:5" x14ac:dyDescent="0.25">
      <c r="A4050" s="36">
        <v>4048</v>
      </c>
      <c r="B4050" s="37">
        <v>890257275</v>
      </c>
      <c r="C4050" s="38">
        <v>0.41455834890462379</v>
      </c>
      <c r="D4050" s="14" t="s">
        <v>4091</v>
      </c>
      <c r="E4050" s="14" t="s">
        <v>43</v>
      </c>
    </row>
    <row r="4051" spans="1:5" x14ac:dyDescent="0.25">
      <c r="A4051" s="36">
        <v>4049</v>
      </c>
      <c r="B4051" s="37">
        <v>446346777</v>
      </c>
      <c r="C4051" s="38">
        <v>0.20784641486026645</v>
      </c>
      <c r="D4051" s="14" t="s">
        <v>4092</v>
      </c>
      <c r="E4051" s="14" t="s">
        <v>46</v>
      </c>
    </row>
    <row r="4052" spans="1:5" x14ac:dyDescent="0.25">
      <c r="A4052" s="36">
        <v>4050</v>
      </c>
      <c r="B4052" s="37">
        <v>55472146</v>
      </c>
      <c r="C4052" s="38">
        <v>2.5831230928111463E-2</v>
      </c>
      <c r="D4052" s="14" t="s">
        <v>4093</v>
      </c>
      <c r="E4052" s="14" t="s">
        <v>48</v>
      </c>
    </row>
    <row r="4053" spans="1:5" x14ac:dyDescent="0.25">
      <c r="A4053" s="36">
        <v>4051</v>
      </c>
      <c r="B4053" s="37">
        <v>433354814</v>
      </c>
      <c r="C4053" s="38">
        <v>0.20179656064221474</v>
      </c>
      <c r="D4053" s="14" t="s">
        <v>4094</v>
      </c>
      <c r="E4053" s="14" t="s">
        <v>37</v>
      </c>
    </row>
    <row r="4054" spans="1:5" x14ac:dyDescent="0.25">
      <c r="A4054" s="36">
        <v>4052</v>
      </c>
      <c r="B4054" s="37">
        <v>1916068508</v>
      </c>
      <c r="C4054" s="38">
        <v>0.89223892842058039</v>
      </c>
      <c r="D4054" s="14" t="s">
        <v>4095</v>
      </c>
      <c r="E4054" s="14" t="s">
        <v>40</v>
      </c>
    </row>
    <row r="4055" spans="1:5" x14ac:dyDescent="0.25">
      <c r="A4055" s="36">
        <v>4053</v>
      </c>
      <c r="B4055" s="37">
        <v>1018906285</v>
      </c>
      <c r="C4055" s="38">
        <v>0.47446521253998636</v>
      </c>
      <c r="D4055" s="14" t="s">
        <v>4096</v>
      </c>
      <c r="E4055" s="14" t="s">
        <v>43</v>
      </c>
    </row>
    <row r="4056" spans="1:5" x14ac:dyDescent="0.25">
      <c r="A4056" s="36">
        <v>4054</v>
      </c>
      <c r="B4056" s="37">
        <v>1460372775</v>
      </c>
      <c r="C4056" s="38">
        <v>0.68003906667234337</v>
      </c>
      <c r="D4056" s="14" t="s">
        <v>4097</v>
      </c>
      <c r="E4056" s="14" t="s">
        <v>46</v>
      </c>
    </row>
    <row r="4057" spans="1:5" x14ac:dyDescent="0.25">
      <c r="A4057" s="36">
        <v>4055</v>
      </c>
      <c r="B4057" s="37">
        <v>1072858624</v>
      </c>
      <c r="C4057" s="38">
        <v>0.49958872818368893</v>
      </c>
      <c r="D4057" s="14" t="s">
        <v>4098</v>
      </c>
      <c r="E4057" s="14" t="s">
        <v>48</v>
      </c>
    </row>
    <row r="4058" spans="1:5" x14ac:dyDescent="0.25">
      <c r="A4058" s="36">
        <v>4056</v>
      </c>
      <c r="B4058" s="37">
        <v>858812857</v>
      </c>
      <c r="C4058" s="38">
        <v>0.39991590073328276</v>
      </c>
      <c r="D4058" s="14" t="s">
        <v>4099</v>
      </c>
      <c r="E4058" s="14" t="s">
        <v>37</v>
      </c>
    </row>
    <row r="4059" spans="1:5" x14ac:dyDescent="0.25">
      <c r="A4059" s="36">
        <v>4057</v>
      </c>
      <c r="B4059" s="37">
        <v>1045403658</v>
      </c>
      <c r="C4059" s="38">
        <v>0.48680401336718537</v>
      </c>
      <c r="D4059" s="14" t="s">
        <v>4100</v>
      </c>
      <c r="E4059" s="14" t="s">
        <v>40</v>
      </c>
    </row>
    <row r="4060" spans="1:5" x14ac:dyDescent="0.25">
      <c r="A4060" s="36">
        <v>4058</v>
      </c>
      <c r="B4060" s="37">
        <v>1981023514</v>
      </c>
      <c r="C4060" s="38">
        <v>0.92248596014570727</v>
      </c>
      <c r="D4060" s="14" t="s">
        <v>4101</v>
      </c>
      <c r="E4060" s="14" t="s">
        <v>43</v>
      </c>
    </row>
    <row r="4061" spans="1:5" x14ac:dyDescent="0.25">
      <c r="A4061" s="36">
        <v>4059</v>
      </c>
      <c r="B4061" s="37">
        <v>891092926</v>
      </c>
      <c r="C4061" s="38">
        <v>0.41494747922520503</v>
      </c>
      <c r="D4061" s="14" t="s">
        <v>4102</v>
      </c>
      <c r="E4061" s="14" t="s">
        <v>46</v>
      </c>
    </row>
    <row r="4062" spans="1:5" x14ac:dyDescent="0.25">
      <c r="A4062" s="36">
        <v>4060</v>
      </c>
      <c r="B4062" s="37">
        <v>1986407943</v>
      </c>
      <c r="C4062" s="38">
        <v>0.92499328028643191</v>
      </c>
      <c r="D4062" s="14" t="s">
        <v>4103</v>
      </c>
      <c r="E4062" s="14" t="s">
        <v>48</v>
      </c>
    </row>
    <row r="4063" spans="1:5" x14ac:dyDescent="0.25">
      <c r="A4063" s="36">
        <v>4061</v>
      </c>
      <c r="B4063" s="37">
        <v>1958515220</v>
      </c>
      <c r="C4063" s="38">
        <v>0.91200471898168545</v>
      </c>
      <c r="D4063" s="14" t="s">
        <v>4104</v>
      </c>
      <c r="E4063" s="14" t="s">
        <v>37</v>
      </c>
    </row>
    <row r="4064" spans="1:5" x14ac:dyDescent="0.25">
      <c r="A4064" s="36">
        <v>4062</v>
      </c>
      <c r="B4064" s="37">
        <v>272728138</v>
      </c>
      <c r="C4064" s="38">
        <v>0.12699893588526126</v>
      </c>
      <c r="D4064" s="14" t="s">
        <v>4105</v>
      </c>
      <c r="E4064" s="14" t="s">
        <v>40</v>
      </c>
    </row>
    <row r="4065" spans="1:5" x14ac:dyDescent="0.25">
      <c r="A4065" s="36">
        <v>4063</v>
      </c>
      <c r="B4065" s="37">
        <v>807218402</v>
      </c>
      <c r="C4065" s="38">
        <v>0.37589036038885376</v>
      </c>
      <c r="D4065" s="14" t="s">
        <v>4106</v>
      </c>
      <c r="E4065" s="14" t="s">
        <v>43</v>
      </c>
    </row>
    <row r="4066" spans="1:5" x14ac:dyDescent="0.25">
      <c r="A4066" s="36">
        <v>4064</v>
      </c>
      <c r="B4066" s="37">
        <v>803721960</v>
      </c>
      <c r="C4066" s="38">
        <v>0.37426220270537874</v>
      </c>
      <c r="D4066" s="14" t="s">
        <v>4107</v>
      </c>
      <c r="E4066" s="14" t="s">
        <v>46</v>
      </c>
    </row>
    <row r="4067" spans="1:5" x14ac:dyDescent="0.25">
      <c r="A4067" s="36">
        <v>4065</v>
      </c>
      <c r="B4067" s="37">
        <v>569285280</v>
      </c>
      <c r="C4067" s="38">
        <v>0.26509411645359088</v>
      </c>
      <c r="D4067" s="14" t="s">
        <v>4108</v>
      </c>
      <c r="E4067" s="14" t="s">
        <v>48</v>
      </c>
    </row>
    <row r="4068" spans="1:5" x14ac:dyDescent="0.25">
      <c r="A4068" s="36">
        <v>4066</v>
      </c>
      <c r="B4068" s="37">
        <v>550455591</v>
      </c>
      <c r="C4068" s="38">
        <v>0.25632585923016343</v>
      </c>
      <c r="D4068" s="14" t="s">
        <v>4109</v>
      </c>
      <c r="E4068" s="14" t="s">
        <v>37</v>
      </c>
    </row>
    <row r="4069" spans="1:5" x14ac:dyDescent="0.25">
      <c r="A4069" s="36">
        <v>4067</v>
      </c>
      <c r="B4069" s="37">
        <v>586200831</v>
      </c>
      <c r="C4069" s="38">
        <v>0.27297103371143855</v>
      </c>
      <c r="D4069" s="14" t="s">
        <v>4110</v>
      </c>
      <c r="E4069" s="14" t="s">
        <v>40</v>
      </c>
    </row>
    <row r="4070" spans="1:5" x14ac:dyDescent="0.25">
      <c r="A4070" s="36">
        <v>4068</v>
      </c>
      <c r="B4070" s="37">
        <v>1249888049</v>
      </c>
      <c r="C4070" s="38">
        <v>0.582024478158925</v>
      </c>
      <c r="D4070" s="14" t="s">
        <v>4111</v>
      </c>
      <c r="E4070" s="14" t="s">
        <v>43</v>
      </c>
    </row>
    <row r="4071" spans="1:5" x14ac:dyDescent="0.25">
      <c r="A4071" s="36">
        <v>4069</v>
      </c>
      <c r="B4071" s="37">
        <v>1646354230</v>
      </c>
      <c r="C4071" s="38">
        <v>0.76664343046333805</v>
      </c>
      <c r="D4071" s="14" t="s">
        <v>4112</v>
      </c>
      <c r="E4071" s="14" t="s">
        <v>46</v>
      </c>
    </row>
    <row r="4072" spans="1:5" x14ac:dyDescent="0.25">
      <c r="A4072" s="36">
        <v>4070</v>
      </c>
      <c r="B4072" s="37">
        <v>1349109214</v>
      </c>
      <c r="C4072" s="38">
        <v>0.62822793360251372</v>
      </c>
      <c r="D4072" s="14" t="s">
        <v>4113</v>
      </c>
      <c r="E4072" s="14" t="s">
        <v>48</v>
      </c>
    </row>
    <row r="4073" spans="1:5" x14ac:dyDescent="0.25">
      <c r="A4073" s="36">
        <v>4071</v>
      </c>
      <c r="B4073" s="37">
        <v>1231186026</v>
      </c>
      <c r="C4073" s="38">
        <v>0.57331567004943063</v>
      </c>
      <c r="D4073" s="14" t="s">
        <v>4114</v>
      </c>
      <c r="E4073" s="14" t="s">
        <v>37</v>
      </c>
    </row>
    <row r="4074" spans="1:5" x14ac:dyDescent="0.25">
      <c r="A4074" s="36">
        <v>4072</v>
      </c>
      <c r="B4074" s="37">
        <v>1584467067</v>
      </c>
      <c r="C4074" s="38">
        <v>0.73782497445951445</v>
      </c>
      <c r="D4074" s="14" t="s">
        <v>4115</v>
      </c>
      <c r="E4074" s="14" t="s">
        <v>40</v>
      </c>
    </row>
    <row r="4075" spans="1:5" x14ac:dyDescent="0.25">
      <c r="A4075" s="36">
        <v>4073</v>
      </c>
      <c r="B4075" s="37">
        <v>1262179582</v>
      </c>
      <c r="C4075" s="38">
        <v>0.58774816924135576</v>
      </c>
      <c r="D4075" s="14" t="s">
        <v>4116</v>
      </c>
      <c r="E4075" s="14" t="s">
        <v>43</v>
      </c>
    </row>
    <row r="4076" spans="1:5" x14ac:dyDescent="0.25">
      <c r="A4076" s="36">
        <v>4074</v>
      </c>
      <c r="B4076" s="37">
        <v>2133616086</v>
      </c>
      <c r="C4076" s="38">
        <v>0.99354241368991436</v>
      </c>
      <c r="D4076" s="14" t="s">
        <v>4117</v>
      </c>
      <c r="E4076" s="14" t="s">
        <v>46</v>
      </c>
    </row>
    <row r="4077" spans="1:5" x14ac:dyDescent="0.25">
      <c r="A4077" s="36">
        <v>4075</v>
      </c>
      <c r="B4077" s="37">
        <v>1413652301</v>
      </c>
      <c r="C4077" s="38">
        <v>0.65828315059574471</v>
      </c>
      <c r="D4077" s="14" t="s">
        <v>4118</v>
      </c>
      <c r="E4077" s="14" t="s">
        <v>48</v>
      </c>
    </row>
    <row r="4078" spans="1:5" x14ac:dyDescent="0.25">
      <c r="A4078" s="36">
        <v>4076</v>
      </c>
      <c r="B4078" s="37">
        <v>501182585</v>
      </c>
      <c r="C4078" s="38">
        <v>0.2333813278159971</v>
      </c>
      <c r="D4078" s="14" t="s">
        <v>4119</v>
      </c>
      <c r="E4078" s="14" t="s">
        <v>37</v>
      </c>
    </row>
    <row r="4079" spans="1:5" x14ac:dyDescent="0.25">
      <c r="A4079" s="36">
        <v>4077</v>
      </c>
      <c r="B4079" s="37">
        <v>1131334905</v>
      </c>
      <c r="C4079" s="38">
        <v>0.526818868483798</v>
      </c>
      <c r="D4079" s="14" t="s">
        <v>4120</v>
      </c>
      <c r="E4079" s="14" t="s">
        <v>40</v>
      </c>
    </row>
    <row r="4080" spans="1:5" x14ac:dyDescent="0.25">
      <c r="A4080" s="36">
        <v>4078</v>
      </c>
      <c r="B4080" s="37">
        <v>1394144107</v>
      </c>
      <c r="C4080" s="38">
        <v>0.64919893986042543</v>
      </c>
      <c r="D4080" s="14" t="s">
        <v>4121</v>
      </c>
      <c r="E4080" s="14" t="s">
        <v>43</v>
      </c>
    </row>
    <row r="4081" spans="1:5" x14ac:dyDescent="0.25">
      <c r="A4081" s="36">
        <v>4079</v>
      </c>
      <c r="B4081" s="37">
        <v>724791022</v>
      </c>
      <c r="C4081" s="38">
        <v>0.33750712049077597</v>
      </c>
      <c r="D4081" s="14" t="s">
        <v>4122</v>
      </c>
      <c r="E4081" s="14" t="s">
        <v>46</v>
      </c>
    </row>
    <row r="4082" spans="1:5" x14ac:dyDescent="0.25">
      <c r="A4082" s="36">
        <v>4080</v>
      </c>
      <c r="B4082" s="37">
        <v>1099234290</v>
      </c>
      <c r="C4082" s="38">
        <v>0.51187085477256722</v>
      </c>
      <c r="D4082" s="14" t="s">
        <v>4123</v>
      </c>
      <c r="E4082" s="14" t="s">
        <v>48</v>
      </c>
    </row>
    <row r="4083" spans="1:5" x14ac:dyDescent="0.25">
      <c r="A4083" s="36">
        <v>4081</v>
      </c>
      <c r="B4083" s="37">
        <v>658582239</v>
      </c>
      <c r="C4083" s="38">
        <v>0.30667625335356047</v>
      </c>
      <c r="D4083" s="14" t="s">
        <v>4124</v>
      </c>
      <c r="E4083" s="14" t="s">
        <v>37</v>
      </c>
    </row>
    <row r="4084" spans="1:5" x14ac:dyDescent="0.25">
      <c r="A4084" s="36">
        <v>4082</v>
      </c>
      <c r="B4084" s="37">
        <v>1637991608</v>
      </c>
      <c r="C4084" s="38">
        <v>0.76274928113573659</v>
      </c>
      <c r="D4084" s="14" t="s">
        <v>4125</v>
      </c>
      <c r="E4084" s="14" t="s">
        <v>40</v>
      </c>
    </row>
    <row r="4085" spans="1:5" x14ac:dyDescent="0.25">
      <c r="A4085" s="36">
        <v>4083</v>
      </c>
      <c r="B4085" s="37">
        <v>1544724518</v>
      </c>
      <c r="C4085" s="38">
        <v>0.71931840792266577</v>
      </c>
      <c r="D4085" s="14" t="s">
        <v>4126</v>
      </c>
      <c r="E4085" s="14" t="s">
        <v>43</v>
      </c>
    </row>
    <row r="4086" spans="1:5" x14ac:dyDescent="0.25">
      <c r="A4086" s="36">
        <v>4084</v>
      </c>
      <c r="B4086" s="37">
        <v>2029551192</v>
      </c>
      <c r="C4086" s="38">
        <v>0.94508342116376542</v>
      </c>
      <c r="D4086" s="14" t="s">
        <v>4127</v>
      </c>
      <c r="E4086" s="14" t="s">
        <v>46</v>
      </c>
    </row>
    <row r="4087" spans="1:5" x14ac:dyDescent="0.25">
      <c r="A4087" s="36">
        <v>4085</v>
      </c>
      <c r="B4087" s="37">
        <v>974417618</v>
      </c>
      <c r="C4087" s="38">
        <v>0.45374856258451407</v>
      </c>
      <c r="D4087" s="14" t="s">
        <v>4128</v>
      </c>
      <c r="E4087" s="14" t="s">
        <v>48</v>
      </c>
    </row>
    <row r="4088" spans="1:5" x14ac:dyDescent="0.25">
      <c r="A4088" s="36">
        <v>4086</v>
      </c>
      <c r="B4088" s="37">
        <v>640534101</v>
      </c>
      <c r="C4088" s="38">
        <v>0.29827193417505915</v>
      </c>
      <c r="D4088" s="14" t="s">
        <v>4129</v>
      </c>
      <c r="E4088" s="14" t="s">
        <v>37</v>
      </c>
    </row>
    <row r="4089" spans="1:5" x14ac:dyDescent="0.25">
      <c r="A4089" s="36">
        <v>4087</v>
      </c>
      <c r="B4089" s="37">
        <v>1209825041</v>
      </c>
      <c r="C4089" s="38">
        <v>0.56336868627153747</v>
      </c>
      <c r="D4089" s="14" t="s">
        <v>4130</v>
      </c>
      <c r="E4089" s="14" t="s">
        <v>40</v>
      </c>
    </row>
    <row r="4090" spans="1:5" x14ac:dyDescent="0.25">
      <c r="A4090" s="36">
        <v>4088</v>
      </c>
      <c r="B4090" s="37">
        <v>1577653321</v>
      </c>
      <c r="C4090" s="38">
        <v>0.734652076724289</v>
      </c>
      <c r="D4090" s="14" t="s">
        <v>4131</v>
      </c>
      <c r="E4090" s="14" t="s">
        <v>43</v>
      </c>
    </row>
    <row r="4091" spans="1:5" x14ac:dyDescent="0.25">
      <c r="A4091" s="36">
        <v>4089</v>
      </c>
      <c r="B4091" s="37">
        <v>472758739</v>
      </c>
      <c r="C4091" s="38">
        <v>0.22014544309123674</v>
      </c>
      <c r="D4091" s="14" t="s">
        <v>4132</v>
      </c>
      <c r="E4091" s="14" t="s">
        <v>46</v>
      </c>
    </row>
    <row r="4092" spans="1:5" x14ac:dyDescent="0.25">
      <c r="A4092" s="36">
        <v>4090</v>
      </c>
      <c r="B4092" s="37">
        <v>141298812</v>
      </c>
      <c r="C4092" s="38">
        <v>6.5797386721613532E-2</v>
      </c>
      <c r="D4092" s="14" t="s">
        <v>4133</v>
      </c>
      <c r="E4092" s="14" t="s">
        <v>48</v>
      </c>
    </row>
    <row r="4093" spans="1:5" x14ac:dyDescent="0.25">
      <c r="A4093" s="36">
        <v>4091</v>
      </c>
      <c r="B4093" s="37">
        <v>1862445436</v>
      </c>
      <c r="C4093" s="38">
        <v>0.86726873967203721</v>
      </c>
      <c r="D4093" s="14" t="s">
        <v>4134</v>
      </c>
      <c r="E4093" s="14" t="s">
        <v>37</v>
      </c>
    </row>
    <row r="4094" spans="1:5" x14ac:dyDescent="0.25">
      <c r="A4094" s="36">
        <v>4092</v>
      </c>
      <c r="B4094" s="37">
        <v>2085289393</v>
      </c>
      <c r="C4094" s="38">
        <v>0.97103854360572928</v>
      </c>
      <c r="D4094" s="14" t="s">
        <v>4135</v>
      </c>
      <c r="E4094" s="14" t="s">
        <v>40</v>
      </c>
    </row>
    <row r="4095" spans="1:5" x14ac:dyDescent="0.25">
      <c r="A4095" s="36">
        <v>4093</v>
      </c>
      <c r="B4095" s="37">
        <v>867435802</v>
      </c>
      <c r="C4095" s="38">
        <v>0.40393127240423637</v>
      </c>
      <c r="D4095" s="14" t="s">
        <v>4136</v>
      </c>
      <c r="E4095" s="14" t="s">
        <v>43</v>
      </c>
    </row>
    <row r="4096" spans="1:5" x14ac:dyDescent="0.25">
      <c r="A4096" s="36">
        <v>4094</v>
      </c>
      <c r="B4096" s="37">
        <v>372233235</v>
      </c>
      <c r="C4096" s="38">
        <v>0.17333460746953944</v>
      </c>
      <c r="D4096" s="14" t="s">
        <v>4137</v>
      </c>
      <c r="E4096" s="14" t="s">
        <v>46</v>
      </c>
    </row>
    <row r="4097" spans="1:5" x14ac:dyDescent="0.25">
      <c r="A4097" s="36">
        <v>4095</v>
      </c>
      <c r="B4097" s="37">
        <v>557560158</v>
      </c>
      <c r="C4097" s="38">
        <v>0.25963418104668806</v>
      </c>
      <c r="D4097" s="14" t="s">
        <v>4138</v>
      </c>
      <c r="E4097" s="14" t="s">
        <v>48</v>
      </c>
    </row>
    <row r="4098" spans="1:5" x14ac:dyDescent="0.25">
      <c r="A4098" s="36">
        <v>4096</v>
      </c>
      <c r="B4098" s="37">
        <v>123142477</v>
      </c>
      <c r="C4098" s="38">
        <v>5.7342684388785939E-2</v>
      </c>
      <c r="D4098" s="14" t="s">
        <v>4139</v>
      </c>
      <c r="E4098" s="14" t="s">
        <v>37</v>
      </c>
    </row>
    <row r="4099" spans="1:5" x14ac:dyDescent="0.25">
      <c r="A4099" s="36">
        <v>4097</v>
      </c>
      <c r="B4099" s="37">
        <v>1726293792</v>
      </c>
      <c r="C4099" s="38">
        <v>0.80386818982840902</v>
      </c>
      <c r="D4099" s="14" t="s">
        <v>4140</v>
      </c>
      <c r="E4099" s="14" t="s">
        <v>40</v>
      </c>
    </row>
    <row r="4100" spans="1:5" x14ac:dyDescent="0.25">
      <c r="A4100" s="36">
        <v>4098</v>
      </c>
      <c r="B4100" s="37">
        <v>366811850</v>
      </c>
      <c r="C4100" s="38">
        <v>0.17081007835027301</v>
      </c>
      <c r="D4100" s="14" t="s">
        <v>4141</v>
      </c>
      <c r="E4100" s="14" t="s">
        <v>43</v>
      </c>
    </row>
    <row r="4101" spans="1:5" x14ac:dyDescent="0.25">
      <c r="A4101" s="36">
        <v>4099</v>
      </c>
      <c r="B4101" s="37">
        <v>252977727</v>
      </c>
      <c r="C4101" s="38">
        <v>0.11780193406986163</v>
      </c>
      <c r="D4101" s="14" t="s">
        <v>4142</v>
      </c>
      <c r="E4101" s="14" t="s">
        <v>46</v>
      </c>
    </row>
    <row r="4102" spans="1:5" x14ac:dyDescent="0.25">
      <c r="A4102" s="36">
        <v>4100</v>
      </c>
      <c r="B4102" s="37">
        <v>1581500550</v>
      </c>
      <c r="C4102" s="38">
        <v>0.73644358233383089</v>
      </c>
      <c r="D4102" s="14" t="s">
        <v>4143</v>
      </c>
      <c r="E4102" s="14" t="s">
        <v>48</v>
      </c>
    </row>
    <row r="4103" spans="1:5" x14ac:dyDescent="0.25">
      <c r="A4103" s="36">
        <v>4101</v>
      </c>
      <c r="B4103" s="37">
        <v>485374610</v>
      </c>
      <c r="C4103" s="38">
        <v>0.22602016582434073</v>
      </c>
      <c r="D4103" s="14" t="s">
        <v>4144</v>
      </c>
      <c r="E4103" s="14" t="s">
        <v>37</v>
      </c>
    </row>
    <row r="4104" spans="1:5" x14ac:dyDescent="0.25">
      <c r="A4104" s="36">
        <v>4102</v>
      </c>
      <c r="B4104" s="37">
        <v>1478874721</v>
      </c>
      <c r="C4104" s="38">
        <v>0.68865470666841355</v>
      </c>
      <c r="D4104" s="14" t="s">
        <v>4145</v>
      </c>
      <c r="E4104" s="14" t="s">
        <v>40</v>
      </c>
    </row>
    <row r="4105" spans="1:5" x14ac:dyDescent="0.25">
      <c r="A4105" s="36">
        <v>4103</v>
      </c>
      <c r="B4105" s="37">
        <v>961542647</v>
      </c>
      <c r="C4105" s="38">
        <v>0.44775318701181244</v>
      </c>
      <c r="D4105" s="14" t="s">
        <v>4146</v>
      </c>
      <c r="E4105" s="14" t="s">
        <v>43</v>
      </c>
    </row>
    <row r="4106" spans="1:5" x14ac:dyDescent="0.25">
      <c r="A4106" s="36">
        <v>4104</v>
      </c>
      <c r="B4106" s="37">
        <v>1816227386</v>
      </c>
      <c r="C4106" s="38">
        <v>0.84574678300216177</v>
      </c>
      <c r="D4106" s="14" t="s">
        <v>4147</v>
      </c>
      <c r="E4106" s="14" t="s">
        <v>46</v>
      </c>
    </row>
    <row r="4107" spans="1:5" x14ac:dyDescent="0.25">
      <c r="A4107" s="36">
        <v>4105</v>
      </c>
      <c r="B4107" s="37">
        <v>292299624</v>
      </c>
      <c r="C4107" s="38">
        <v>0.13611261925479054</v>
      </c>
      <c r="D4107" s="14" t="s">
        <v>4148</v>
      </c>
      <c r="E4107" s="14" t="s">
        <v>48</v>
      </c>
    </row>
    <row r="4108" spans="1:5" x14ac:dyDescent="0.25">
      <c r="A4108" s="36">
        <v>4106</v>
      </c>
      <c r="B4108" s="37">
        <v>708027562</v>
      </c>
      <c r="C4108" s="38">
        <v>0.32970102612380919</v>
      </c>
      <c r="D4108" s="14" t="s">
        <v>4149</v>
      </c>
      <c r="E4108" s="14" t="s">
        <v>37</v>
      </c>
    </row>
    <row r="4109" spans="1:5" x14ac:dyDescent="0.25">
      <c r="A4109" s="36">
        <v>4107</v>
      </c>
      <c r="B4109" s="37">
        <v>156003261</v>
      </c>
      <c r="C4109" s="38">
        <v>7.264467937529305E-2</v>
      </c>
      <c r="D4109" s="14" t="s">
        <v>4150</v>
      </c>
      <c r="E4109" s="14" t="s">
        <v>40</v>
      </c>
    </row>
    <row r="4110" spans="1:5" x14ac:dyDescent="0.25">
      <c r="A4110" s="36">
        <v>4108</v>
      </c>
      <c r="B4110" s="37">
        <v>766808655</v>
      </c>
      <c r="C4110" s="38">
        <v>0.35707310557229122</v>
      </c>
      <c r="D4110" s="14" t="s">
        <v>4151</v>
      </c>
      <c r="E4110" s="14" t="s">
        <v>43</v>
      </c>
    </row>
    <row r="4111" spans="1:5" x14ac:dyDescent="0.25">
      <c r="A4111" s="36">
        <v>4109</v>
      </c>
      <c r="B4111" s="37">
        <v>1252388119</v>
      </c>
      <c r="C4111" s="38">
        <v>0.58318866397402658</v>
      </c>
      <c r="D4111" s="14" t="s">
        <v>4152</v>
      </c>
      <c r="E4111" s="14" t="s">
        <v>46</v>
      </c>
    </row>
    <row r="4112" spans="1:5" x14ac:dyDescent="0.25">
      <c r="A4112" s="36">
        <v>4110</v>
      </c>
      <c r="B4112" s="37">
        <v>1252063094</v>
      </c>
      <c r="C4112" s="38">
        <v>0.58303731241404888</v>
      </c>
      <c r="D4112" s="14" t="s">
        <v>4153</v>
      </c>
      <c r="E4112" s="14" t="s">
        <v>48</v>
      </c>
    </row>
    <row r="4113" spans="1:5" x14ac:dyDescent="0.25">
      <c r="A4113" s="36">
        <v>4111</v>
      </c>
      <c r="B4113" s="37">
        <v>1405704013</v>
      </c>
      <c r="C4113" s="38">
        <v>0.65458194057204855</v>
      </c>
      <c r="D4113" s="14" t="s">
        <v>4154</v>
      </c>
      <c r="E4113" s="14" t="s">
        <v>37</v>
      </c>
    </row>
    <row r="4114" spans="1:5" x14ac:dyDescent="0.25">
      <c r="A4114" s="36">
        <v>4112</v>
      </c>
      <c r="B4114" s="37">
        <v>1023848552</v>
      </c>
      <c r="C4114" s="38">
        <v>0.47676663495449656</v>
      </c>
      <c r="D4114" s="14" t="s">
        <v>4155</v>
      </c>
      <c r="E4114" s="14" t="s">
        <v>40</v>
      </c>
    </row>
    <row r="4115" spans="1:5" x14ac:dyDescent="0.25">
      <c r="A4115" s="36">
        <v>4113</v>
      </c>
      <c r="B4115" s="37">
        <v>977499293</v>
      </c>
      <c r="C4115" s="38">
        <v>0.45518357933274639</v>
      </c>
      <c r="D4115" s="14" t="s">
        <v>4156</v>
      </c>
      <c r="E4115" s="14" t="s">
        <v>43</v>
      </c>
    </row>
    <row r="4116" spans="1:5" x14ac:dyDescent="0.25">
      <c r="A4116" s="36">
        <v>4114</v>
      </c>
      <c r="B4116" s="37">
        <v>1974664440</v>
      </c>
      <c r="C4116" s="38">
        <v>0.91952478555940309</v>
      </c>
      <c r="D4116" s="14" t="s">
        <v>4157</v>
      </c>
      <c r="E4116" s="14" t="s">
        <v>46</v>
      </c>
    </row>
    <row r="4117" spans="1:5" x14ac:dyDescent="0.25">
      <c r="A4117" s="36">
        <v>4115</v>
      </c>
      <c r="B4117" s="37">
        <v>1000339139</v>
      </c>
      <c r="C4117" s="38">
        <v>0.4658192114279695</v>
      </c>
      <c r="D4117" s="14" t="s">
        <v>4158</v>
      </c>
      <c r="E4117" s="14" t="s">
        <v>48</v>
      </c>
    </row>
    <row r="4118" spans="1:5" x14ac:dyDescent="0.25">
      <c r="A4118" s="36">
        <v>4116</v>
      </c>
      <c r="B4118" s="37">
        <v>418841102</v>
      </c>
      <c r="C4118" s="38">
        <v>0.19503808682553381</v>
      </c>
      <c r="D4118" s="14" t="s">
        <v>4159</v>
      </c>
      <c r="E4118" s="14" t="s">
        <v>37</v>
      </c>
    </row>
    <row r="4119" spans="1:5" x14ac:dyDescent="0.25">
      <c r="A4119" s="36">
        <v>4117</v>
      </c>
      <c r="B4119" s="37">
        <v>523146811</v>
      </c>
      <c r="C4119" s="38">
        <v>0.24360921757463794</v>
      </c>
      <c r="D4119" s="14" t="s">
        <v>4160</v>
      </c>
      <c r="E4119" s="14" t="s">
        <v>40</v>
      </c>
    </row>
    <row r="4120" spans="1:5" x14ac:dyDescent="0.25">
      <c r="A4120" s="36">
        <v>4118</v>
      </c>
      <c r="B4120" s="37">
        <v>225527380</v>
      </c>
      <c r="C4120" s="38">
        <v>0.10501937014284514</v>
      </c>
      <c r="D4120" s="14" t="s">
        <v>4161</v>
      </c>
      <c r="E4120" s="14" t="s">
        <v>43</v>
      </c>
    </row>
    <row r="4121" spans="1:5" x14ac:dyDescent="0.25">
      <c r="A4121" s="36">
        <v>4119</v>
      </c>
      <c r="B4121" s="37">
        <v>1802217594</v>
      </c>
      <c r="C4121" s="38">
        <v>0.8392229652214902</v>
      </c>
      <c r="D4121" s="14" t="s">
        <v>4162</v>
      </c>
      <c r="E4121" s="14" t="s">
        <v>46</v>
      </c>
    </row>
    <row r="4122" spans="1:5" x14ac:dyDescent="0.25">
      <c r="A4122" s="36">
        <v>4120</v>
      </c>
      <c r="B4122" s="37">
        <v>168193597</v>
      </c>
      <c r="C4122" s="38">
        <v>7.8321246932410285E-2</v>
      </c>
      <c r="D4122" s="14" t="s">
        <v>4163</v>
      </c>
      <c r="E4122" s="14" t="s">
        <v>48</v>
      </c>
    </row>
    <row r="4123" spans="1:5" x14ac:dyDescent="0.25">
      <c r="A4123" s="36">
        <v>4121</v>
      </c>
      <c r="B4123" s="37">
        <v>312858552</v>
      </c>
      <c r="C4123" s="38">
        <v>0.14568611613739565</v>
      </c>
      <c r="D4123" s="14" t="s">
        <v>4164</v>
      </c>
      <c r="E4123" s="14" t="s">
        <v>37</v>
      </c>
    </row>
    <row r="4124" spans="1:5" x14ac:dyDescent="0.25">
      <c r="A4124" s="36">
        <v>4122</v>
      </c>
      <c r="B4124" s="37">
        <v>1405741817</v>
      </c>
      <c r="C4124" s="38">
        <v>0.65459954443136203</v>
      </c>
      <c r="D4124" s="14" t="s">
        <v>4165</v>
      </c>
      <c r="E4124" s="14" t="s">
        <v>40</v>
      </c>
    </row>
    <row r="4125" spans="1:5" x14ac:dyDescent="0.25">
      <c r="A4125" s="36">
        <v>4123</v>
      </c>
      <c r="B4125" s="37">
        <v>1672525889</v>
      </c>
      <c r="C4125" s="38">
        <v>0.77883055888993225</v>
      </c>
      <c r="D4125" s="14" t="s">
        <v>4166</v>
      </c>
      <c r="E4125" s="14" t="s">
        <v>43</v>
      </c>
    </row>
    <row r="4126" spans="1:5" x14ac:dyDescent="0.25">
      <c r="A4126" s="36">
        <v>4124</v>
      </c>
      <c r="B4126" s="37">
        <v>876543147</v>
      </c>
      <c r="C4126" s="38">
        <v>0.40817221040286694</v>
      </c>
      <c r="D4126" s="14" t="s">
        <v>4167</v>
      </c>
      <c r="E4126" s="14" t="s">
        <v>46</v>
      </c>
    </row>
    <row r="4127" spans="1:5" x14ac:dyDescent="0.25">
      <c r="A4127" s="36">
        <v>4125</v>
      </c>
      <c r="B4127" s="37">
        <v>688605187</v>
      </c>
      <c r="C4127" s="38">
        <v>0.32065677797452397</v>
      </c>
      <c r="D4127" s="14" t="s">
        <v>4168</v>
      </c>
      <c r="E4127" s="14" t="s">
        <v>48</v>
      </c>
    </row>
    <row r="4128" spans="1:5" x14ac:dyDescent="0.25">
      <c r="A4128" s="36">
        <v>4126</v>
      </c>
      <c r="B4128" s="37">
        <v>1493561971</v>
      </c>
      <c r="C4128" s="38">
        <v>0.69549399041360893</v>
      </c>
      <c r="D4128" s="14" t="s">
        <v>4169</v>
      </c>
      <c r="E4128" s="14" t="s">
        <v>37</v>
      </c>
    </row>
    <row r="4129" spans="1:5" x14ac:dyDescent="0.25">
      <c r="A4129" s="36">
        <v>4127</v>
      </c>
      <c r="B4129" s="37">
        <v>1302511449</v>
      </c>
      <c r="C4129" s="38">
        <v>0.60652915835684595</v>
      </c>
      <c r="D4129" s="14" t="s">
        <v>4170</v>
      </c>
      <c r="E4129" s="14" t="s">
        <v>40</v>
      </c>
    </row>
    <row r="4130" spans="1:5" x14ac:dyDescent="0.25">
      <c r="A4130" s="36">
        <v>4128</v>
      </c>
      <c r="B4130" s="37">
        <v>900761747</v>
      </c>
      <c r="C4130" s="38">
        <v>0.41944987486090973</v>
      </c>
      <c r="D4130" s="14" t="s">
        <v>4171</v>
      </c>
      <c r="E4130" s="14" t="s">
        <v>43</v>
      </c>
    </row>
    <row r="4131" spans="1:5" x14ac:dyDescent="0.25">
      <c r="A4131" s="36">
        <v>4129</v>
      </c>
      <c r="B4131" s="37">
        <v>590748703</v>
      </c>
      <c r="C4131" s="38">
        <v>0.27508880164245553</v>
      </c>
      <c r="D4131" s="14" t="s">
        <v>4172</v>
      </c>
      <c r="E4131" s="14" t="s">
        <v>46</v>
      </c>
    </row>
    <row r="4132" spans="1:5" x14ac:dyDescent="0.25">
      <c r="A4132" s="36">
        <v>4130</v>
      </c>
      <c r="B4132" s="37">
        <v>1416673174</v>
      </c>
      <c r="C4132" s="38">
        <v>0.65968985420637294</v>
      </c>
      <c r="D4132" s="14" t="s">
        <v>4173</v>
      </c>
      <c r="E4132" s="14" t="s">
        <v>48</v>
      </c>
    </row>
    <row r="4133" spans="1:5" x14ac:dyDescent="0.25">
      <c r="A4133" s="36">
        <v>4131</v>
      </c>
      <c r="B4133" s="37">
        <v>1560595283</v>
      </c>
      <c r="C4133" s="38">
        <v>0.72670880878656585</v>
      </c>
      <c r="D4133" s="14" t="s">
        <v>4174</v>
      </c>
      <c r="E4133" s="14" t="s">
        <v>37</v>
      </c>
    </row>
    <row r="4134" spans="1:5" x14ac:dyDescent="0.25">
      <c r="A4134" s="36">
        <v>4132</v>
      </c>
      <c r="B4134" s="37">
        <v>970837423</v>
      </c>
      <c r="C4134" s="38">
        <v>0.45208140437122502</v>
      </c>
      <c r="D4134" s="14" t="s">
        <v>4175</v>
      </c>
      <c r="E4134" s="14" t="s">
        <v>40</v>
      </c>
    </row>
    <row r="4135" spans="1:5" x14ac:dyDescent="0.25">
      <c r="A4135" s="36">
        <v>4133</v>
      </c>
      <c r="B4135" s="37">
        <v>583572151</v>
      </c>
      <c r="C4135" s="38">
        <v>0.27174695919814845</v>
      </c>
      <c r="D4135" s="14" t="s">
        <v>4176</v>
      </c>
      <c r="E4135" s="14" t="s">
        <v>43</v>
      </c>
    </row>
    <row r="4136" spans="1:5" x14ac:dyDescent="0.25">
      <c r="A4136" s="36">
        <v>4134</v>
      </c>
      <c r="B4136" s="37">
        <v>170499988</v>
      </c>
      <c r="C4136" s="38">
        <v>7.9395243935005383E-2</v>
      </c>
      <c r="D4136" s="14" t="s">
        <v>4177</v>
      </c>
      <c r="E4136" s="14" t="s">
        <v>46</v>
      </c>
    </row>
    <row r="4137" spans="1:5" x14ac:dyDescent="0.25">
      <c r="A4137" s="36">
        <v>4135</v>
      </c>
      <c r="B4137" s="37">
        <v>1805060638</v>
      </c>
      <c r="C4137" s="38">
        <v>0.84054686075101925</v>
      </c>
      <c r="D4137" s="14" t="s">
        <v>4178</v>
      </c>
      <c r="E4137" s="14" t="s">
        <v>48</v>
      </c>
    </row>
    <row r="4138" spans="1:5" x14ac:dyDescent="0.25">
      <c r="A4138" s="36">
        <v>4136</v>
      </c>
      <c r="B4138" s="37">
        <v>1579533356</v>
      </c>
      <c r="C4138" s="38">
        <v>0.73552753624298028</v>
      </c>
      <c r="D4138" s="14" t="s">
        <v>4179</v>
      </c>
      <c r="E4138" s="14" t="s">
        <v>37</v>
      </c>
    </row>
    <row r="4139" spans="1:5" x14ac:dyDescent="0.25">
      <c r="A4139" s="36">
        <v>4137</v>
      </c>
      <c r="B4139" s="37">
        <v>954343435</v>
      </c>
      <c r="C4139" s="38">
        <v>0.44440079268273003</v>
      </c>
      <c r="D4139" s="14" t="s">
        <v>4180</v>
      </c>
      <c r="E4139" s="14" t="s">
        <v>40</v>
      </c>
    </row>
    <row r="4140" spans="1:5" x14ac:dyDescent="0.25">
      <c r="A4140" s="36">
        <v>4138</v>
      </c>
      <c r="B4140" s="37">
        <v>1506623346</v>
      </c>
      <c r="C4140" s="38">
        <v>0.70157616711295034</v>
      </c>
      <c r="D4140" s="14" t="s">
        <v>4181</v>
      </c>
      <c r="E4140" s="14" t="s">
        <v>43</v>
      </c>
    </row>
    <row r="4141" spans="1:5" x14ac:dyDescent="0.25">
      <c r="A4141" s="36">
        <v>4139</v>
      </c>
      <c r="B4141" s="37">
        <v>1163291096</v>
      </c>
      <c r="C4141" s="38">
        <v>0.54169962952923945</v>
      </c>
      <c r="D4141" s="14" t="s">
        <v>4182</v>
      </c>
      <c r="E4141" s="14" t="s">
        <v>46</v>
      </c>
    </row>
    <row r="4142" spans="1:5" x14ac:dyDescent="0.25">
      <c r="A4142" s="36">
        <v>4140</v>
      </c>
      <c r="B4142" s="37">
        <v>103032192</v>
      </c>
      <c r="C4142" s="38">
        <v>4.79781031831997E-2</v>
      </c>
      <c r="D4142" s="14" t="s">
        <v>4183</v>
      </c>
      <c r="E4142" s="14" t="s">
        <v>48</v>
      </c>
    </row>
    <row r="4143" spans="1:5" x14ac:dyDescent="0.25">
      <c r="A4143" s="36">
        <v>4141</v>
      </c>
      <c r="B4143" s="37">
        <v>481759956</v>
      </c>
      <c r="C4143" s="38">
        <v>0.22433696138874487</v>
      </c>
      <c r="D4143" s="14" t="s">
        <v>4184</v>
      </c>
      <c r="E4143" s="14" t="s">
        <v>37</v>
      </c>
    </row>
    <row r="4144" spans="1:5" x14ac:dyDescent="0.25">
      <c r="A4144" s="36">
        <v>4142</v>
      </c>
      <c r="B4144" s="37">
        <v>2046104265</v>
      </c>
      <c r="C4144" s="38">
        <v>0.95279154644943376</v>
      </c>
      <c r="D4144" s="14" t="s">
        <v>4185</v>
      </c>
      <c r="E4144" s="14" t="s">
        <v>40</v>
      </c>
    </row>
    <row r="4145" spans="1:5" x14ac:dyDescent="0.25">
      <c r="A4145" s="36">
        <v>4143</v>
      </c>
      <c r="B4145" s="37">
        <v>1763061933</v>
      </c>
      <c r="C4145" s="38">
        <v>0.82098968970635422</v>
      </c>
      <c r="D4145" s="14" t="s">
        <v>4186</v>
      </c>
      <c r="E4145" s="14" t="s">
        <v>43</v>
      </c>
    </row>
    <row r="4146" spans="1:5" x14ac:dyDescent="0.25">
      <c r="A4146" s="36">
        <v>4144</v>
      </c>
      <c r="B4146" s="37">
        <v>720254022</v>
      </c>
      <c r="C4146" s="38">
        <v>0.33539441522927693</v>
      </c>
      <c r="D4146" s="14" t="s">
        <v>4187</v>
      </c>
      <c r="E4146" s="14" t="s">
        <v>46</v>
      </c>
    </row>
    <row r="4147" spans="1:5" x14ac:dyDescent="0.25">
      <c r="A4147" s="36">
        <v>4145</v>
      </c>
      <c r="B4147" s="37">
        <v>1849295789</v>
      </c>
      <c r="C4147" s="38">
        <v>0.86114545811952348</v>
      </c>
      <c r="D4147" s="14" t="s">
        <v>4188</v>
      </c>
      <c r="E4147" s="14" t="s">
        <v>48</v>
      </c>
    </row>
    <row r="4148" spans="1:5" x14ac:dyDescent="0.25">
      <c r="A4148" s="36">
        <v>4146</v>
      </c>
      <c r="B4148" s="37">
        <v>1322446942</v>
      </c>
      <c r="C4148" s="38">
        <v>0.61581234569466314</v>
      </c>
      <c r="D4148" s="14" t="s">
        <v>4189</v>
      </c>
      <c r="E4148" s="14" t="s">
        <v>37</v>
      </c>
    </row>
    <row r="4149" spans="1:5" x14ac:dyDescent="0.25">
      <c r="A4149" s="36">
        <v>4147</v>
      </c>
      <c r="B4149" s="37">
        <v>1109934128</v>
      </c>
      <c r="C4149" s="38">
        <v>0.51685335511195163</v>
      </c>
      <c r="D4149" s="14" t="s">
        <v>4190</v>
      </c>
      <c r="E4149" s="14" t="s">
        <v>40</v>
      </c>
    </row>
    <row r="4150" spans="1:5" x14ac:dyDescent="0.25">
      <c r="A4150" s="36">
        <v>4148</v>
      </c>
      <c r="B4150" s="37">
        <v>1724544618</v>
      </c>
      <c r="C4150" s="38">
        <v>0.80305366721146443</v>
      </c>
      <c r="D4150" s="14" t="s">
        <v>4191</v>
      </c>
      <c r="E4150" s="14" t="s">
        <v>43</v>
      </c>
    </row>
    <row r="4151" spans="1:5" x14ac:dyDescent="0.25">
      <c r="A4151" s="36">
        <v>4149</v>
      </c>
      <c r="B4151" s="37">
        <v>810784832</v>
      </c>
      <c r="C4151" s="38">
        <v>0.37755110877452003</v>
      </c>
      <c r="D4151" s="14" t="s">
        <v>4192</v>
      </c>
      <c r="E4151" s="14" t="s">
        <v>46</v>
      </c>
    </row>
    <row r="4152" spans="1:5" x14ac:dyDescent="0.25">
      <c r="A4152" s="36">
        <v>4150</v>
      </c>
      <c r="B4152" s="37">
        <v>1570817402</v>
      </c>
      <c r="C4152" s="38">
        <v>0.73146885388133531</v>
      </c>
      <c r="D4152" s="14" t="s">
        <v>4193</v>
      </c>
      <c r="E4152" s="14" t="s">
        <v>48</v>
      </c>
    </row>
    <row r="4153" spans="1:5" x14ac:dyDescent="0.25">
      <c r="A4153" s="36">
        <v>4151</v>
      </c>
      <c r="B4153" s="37">
        <v>1430530717</v>
      </c>
      <c r="C4153" s="38">
        <v>0.66614277552168011</v>
      </c>
      <c r="D4153" s="14" t="s">
        <v>4194</v>
      </c>
      <c r="E4153" s="14" t="s">
        <v>37</v>
      </c>
    </row>
    <row r="4154" spans="1:5" x14ac:dyDescent="0.25">
      <c r="A4154" s="36">
        <v>4152</v>
      </c>
      <c r="B4154" s="37">
        <v>1665504931</v>
      </c>
      <c r="C4154" s="38">
        <v>0.77556117054799623</v>
      </c>
      <c r="D4154" s="14" t="s">
        <v>4195</v>
      </c>
      <c r="E4154" s="14" t="s">
        <v>40</v>
      </c>
    </row>
    <row r="4155" spans="1:5" x14ac:dyDescent="0.25">
      <c r="A4155" s="36">
        <v>4153</v>
      </c>
      <c r="B4155" s="37">
        <v>922435171</v>
      </c>
      <c r="C4155" s="38">
        <v>0.42954234938581581</v>
      </c>
      <c r="D4155" s="14" t="s">
        <v>4196</v>
      </c>
      <c r="E4155" s="14" t="s">
        <v>43</v>
      </c>
    </row>
    <row r="4156" spans="1:5" x14ac:dyDescent="0.25">
      <c r="A4156" s="36">
        <v>4154</v>
      </c>
      <c r="B4156" s="37">
        <v>969046350</v>
      </c>
      <c r="C4156" s="38">
        <v>0.45124737101199447</v>
      </c>
      <c r="D4156" s="14" t="s">
        <v>4197</v>
      </c>
      <c r="E4156" s="14" t="s">
        <v>46</v>
      </c>
    </row>
    <row r="4157" spans="1:5" x14ac:dyDescent="0.25">
      <c r="A4157" s="36">
        <v>4155</v>
      </c>
      <c r="B4157" s="37">
        <v>5088862</v>
      </c>
      <c r="C4157" s="38">
        <v>2.3696860309549077E-3</v>
      </c>
      <c r="D4157" s="14" t="s">
        <v>4198</v>
      </c>
      <c r="E4157" s="14" t="s">
        <v>48</v>
      </c>
    </row>
    <row r="4158" spans="1:5" x14ac:dyDescent="0.25">
      <c r="A4158" s="36">
        <v>4156</v>
      </c>
      <c r="B4158" s="37">
        <v>1876421005</v>
      </c>
      <c r="C4158" s="38">
        <v>0.87377662112646581</v>
      </c>
      <c r="D4158" s="14" t="s">
        <v>4199</v>
      </c>
      <c r="E4158" s="14" t="s">
        <v>37</v>
      </c>
    </row>
    <row r="4159" spans="1:5" x14ac:dyDescent="0.25">
      <c r="A4159" s="36">
        <v>4157</v>
      </c>
      <c r="B4159" s="37">
        <v>1078931167</v>
      </c>
      <c r="C4159" s="38">
        <v>0.50241647637561726</v>
      </c>
      <c r="D4159" s="14" t="s">
        <v>4200</v>
      </c>
      <c r="E4159" s="14" t="s">
        <v>40</v>
      </c>
    </row>
    <row r="4160" spans="1:5" x14ac:dyDescent="0.25">
      <c r="A4160" s="36">
        <v>4158</v>
      </c>
      <c r="B4160" s="37">
        <v>552923503</v>
      </c>
      <c r="C4160" s="38">
        <v>0.25747507030958078</v>
      </c>
      <c r="D4160" s="14" t="s">
        <v>4201</v>
      </c>
      <c r="E4160" s="14" t="s">
        <v>43</v>
      </c>
    </row>
    <row r="4161" spans="1:5" x14ac:dyDescent="0.25">
      <c r="A4161" s="36">
        <v>4159</v>
      </c>
      <c r="B4161" s="37">
        <v>351205920</v>
      </c>
      <c r="C4161" s="38">
        <v>0.16354300089345453</v>
      </c>
      <c r="D4161" s="14" t="s">
        <v>4202</v>
      </c>
      <c r="E4161" s="14" t="s">
        <v>46</v>
      </c>
    </row>
    <row r="4162" spans="1:5" x14ac:dyDescent="0.25">
      <c r="A4162" s="36">
        <v>4160</v>
      </c>
      <c r="B4162" s="37">
        <v>1902022236</v>
      </c>
      <c r="C4162" s="38">
        <v>0.88569812331613995</v>
      </c>
      <c r="D4162" s="14" t="s">
        <v>4203</v>
      </c>
      <c r="E4162" s="14" t="s">
        <v>48</v>
      </c>
    </row>
    <row r="4163" spans="1:5" x14ac:dyDescent="0.25">
      <c r="A4163" s="36">
        <v>4161</v>
      </c>
      <c r="B4163" s="37">
        <v>302470374</v>
      </c>
      <c r="C4163" s="38">
        <v>0.14084874379488116</v>
      </c>
      <c r="D4163" s="14" t="s">
        <v>4204</v>
      </c>
      <c r="E4163" s="14" t="s">
        <v>37</v>
      </c>
    </row>
    <row r="4164" spans="1:5" x14ac:dyDescent="0.25">
      <c r="A4164" s="36">
        <v>4162</v>
      </c>
      <c r="B4164" s="37">
        <v>1562082011</v>
      </c>
      <c r="C4164" s="38">
        <v>0.72740112046124461</v>
      </c>
      <c r="D4164" s="14" t="s">
        <v>4205</v>
      </c>
      <c r="E4164" s="14" t="s">
        <v>40</v>
      </c>
    </row>
    <row r="4165" spans="1:5" x14ac:dyDescent="0.25">
      <c r="A4165" s="36">
        <v>4163</v>
      </c>
      <c r="B4165" s="37">
        <v>1765600279</v>
      </c>
      <c r="C4165" s="38">
        <v>0.82217169917289712</v>
      </c>
      <c r="D4165" s="14" t="s">
        <v>4206</v>
      </c>
      <c r="E4165" s="14" t="s">
        <v>43</v>
      </c>
    </row>
    <row r="4166" spans="1:5" x14ac:dyDescent="0.25">
      <c r="A4166" s="36">
        <v>4164</v>
      </c>
      <c r="B4166" s="37">
        <v>1760296023</v>
      </c>
      <c r="C4166" s="38">
        <v>0.81970171249457713</v>
      </c>
      <c r="D4166" s="14" t="s">
        <v>4207</v>
      </c>
      <c r="E4166" s="14" t="s">
        <v>46</v>
      </c>
    </row>
    <row r="4167" spans="1:5" x14ac:dyDescent="0.25">
      <c r="A4167" s="36">
        <v>4165</v>
      </c>
      <c r="B4167" s="37">
        <v>998850440</v>
      </c>
      <c r="C4167" s="38">
        <v>0.46512598193489296</v>
      </c>
      <c r="D4167" s="14" t="s">
        <v>4208</v>
      </c>
      <c r="E4167" s="14" t="s">
        <v>48</v>
      </c>
    </row>
    <row r="4168" spans="1:5" x14ac:dyDescent="0.25">
      <c r="A4168" s="36">
        <v>4166</v>
      </c>
      <c r="B4168" s="37">
        <v>638266765</v>
      </c>
      <c r="C4168" s="38">
        <v>0.29721612357404836</v>
      </c>
      <c r="D4168" s="14" t="s">
        <v>4209</v>
      </c>
      <c r="E4168" s="14" t="s">
        <v>37</v>
      </c>
    </row>
    <row r="4169" spans="1:5" x14ac:dyDescent="0.25">
      <c r="A4169" s="36">
        <v>4167</v>
      </c>
      <c r="B4169" s="37">
        <v>301137420</v>
      </c>
      <c r="C4169" s="38">
        <v>0.14022803871903011</v>
      </c>
      <c r="D4169" s="14" t="s">
        <v>4210</v>
      </c>
      <c r="E4169" s="14" t="s">
        <v>40</v>
      </c>
    </row>
    <row r="4170" spans="1:5" x14ac:dyDescent="0.25">
      <c r="A4170" s="36">
        <v>4168</v>
      </c>
      <c r="B4170" s="37">
        <v>1177432512</v>
      </c>
      <c r="C4170" s="38">
        <v>0.54828473951122014</v>
      </c>
      <c r="D4170" s="14" t="s">
        <v>4211</v>
      </c>
      <c r="E4170" s="14" t="s">
        <v>43</v>
      </c>
    </row>
    <row r="4171" spans="1:5" x14ac:dyDescent="0.25">
      <c r="A4171" s="36">
        <v>4169</v>
      </c>
      <c r="B4171" s="37">
        <v>275244825</v>
      </c>
      <c r="C4171" s="38">
        <v>0.12817085959397762</v>
      </c>
      <c r="D4171" s="14" t="s">
        <v>4212</v>
      </c>
      <c r="E4171" s="14" t="s">
        <v>46</v>
      </c>
    </row>
    <row r="4172" spans="1:5" x14ac:dyDescent="0.25">
      <c r="A4172" s="36">
        <v>4170</v>
      </c>
      <c r="B4172" s="37">
        <v>155051780</v>
      </c>
      <c r="C4172" s="38">
        <v>7.2201611507777874E-2</v>
      </c>
      <c r="D4172" s="14" t="s">
        <v>4213</v>
      </c>
      <c r="E4172" s="14" t="s">
        <v>48</v>
      </c>
    </row>
    <row r="4173" spans="1:5" x14ac:dyDescent="0.25">
      <c r="A4173" s="36">
        <v>4171</v>
      </c>
      <c r="B4173" s="37">
        <v>1845828616</v>
      </c>
      <c r="C4173" s="38">
        <v>0.859530929876273</v>
      </c>
      <c r="D4173" s="14" t="s">
        <v>4214</v>
      </c>
      <c r="E4173" s="14" t="s">
        <v>37</v>
      </c>
    </row>
    <row r="4174" spans="1:5" x14ac:dyDescent="0.25">
      <c r="A4174" s="36">
        <v>4172</v>
      </c>
      <c r="B4174" s="37">
        <v>414868606</v>
      </c>
      <c r="C4174" s="38">
        <v>0.19318824922348757</v>
      </c>
      <c r="D4174" s="14" t="s">
        <v>4215</v>
      </c>
      <c r="E4174" s="14" t="s">
        <v>40</v>
      </c>
    </row>
    <row r="4175" spans="1:5" x14ac:dyDescent="0.25">
      <c r="A4175" s="36">
        <v>4173</v>
      </c>
      <c r="B4175" s="37">
        <v>306391524</v>
      </c>
      <c r="C4175" s="38">
        <v>0.14267467155245817</v>
      </c>
      <c r="D4175" s="14" t="s">
        <v>4216</v>
      </c>
      <c r="E4175" s="14" t="s">
        <v>43</v>
      </c>
    </row>
    <row r="4176" spans="1:5" x14ac:dyDescent="0.25">
      <c r="A4176" s="36">
        <v>4174</v>
      </c>
      <c r="B4176" s="37">
        <v>63998881</v>
      </c>
      <c r="C4176" s="38">
        <v>2.980180132659236E-2</v>
      </c>
      <c r="D4176" s="14" t="s">
        <v>4217</v>
      </c>
      <c r="E4176" s="14" t="s">
        <v>46</v>
      </c>
    </row>
    <row r="4177" spans="1:5" x14ac:dyDescent="0.25">
      <c r="A4177" s="36">
        <v>4175</v>
      </c>
      <c r="B4177" s="37">
        <v>677507666</v>
      </c>
      <c r="C4177" s="38">
        <v>0.31548909205733289</v>
      </c>
      <c r="D4177" s="14" t="s">
        <v>4218</v>
      </c>
      <c r="E4177" s="14" t="s">
        <v>48</v>
      </c>
    </row>
    <row r="4178" spans="1:5" x14ac:dyDescent="0.25">
      <c r="A4178" s="36">
        <v>4176</v>
      </c>
      <c r="B4178" s="37">
        <v>2046750940</v>
      </c>
      <c r="C4178" s="38">
        <v>0.95309267796254371</v>
      </c>
      <c r="D4178" s="14" t="s">
        <v>4219</v>
      </c>
      <c r="E4178" s="14" t="s">
        <v>37</v>
      </c>
    </row>
    <row r="4179" spans="1:5" x14ac:dyDescent="0.25">
      <c r="A4179" s="36">
        <v>4177</v>
      </c>
      <c r="B4179" s="37">
        <v>132975514</v>
      </c>
      <c r="C4179" s="38">
        <v>6.1921549058482774E-2</v>
      </c>
      <c r="D4179" s="14" t="s">
        <v>4220</v>
      </c>
      <c r="E4179" s="14" t="s">
        <v>40</v>
      </c>
    </row>
    <row r="4180" spans="1:5" x14ac:dyDescent="0.25">
      <c r="A4180" s="36">
        <v>4178</v>
      </c>
      <c r="B4180" s="37">
        <v>941848783</v>
      </c>
      <c r="C4180" s="38">
        <v>0.43858251694523848</v>
      </c>
      <c r="D4180" s="14" t="s">
        <v>4221</v>
      </c>
      <c r="E4180" s="14" t="s">
        <v>43</v>
      </c>
    </row>
    <row r="4181" spans="1:5" x14ac:dyDescent="0.25">
      <c r="A4181" s="36">
        <v>4179</v>
      </c>
      <c r="B4181" s="37">
        <v>77640594</v>
      </c>
      <c r="C4181" s="38">
        <v>3.615421896621316E-2</v>
      </c>
      <c r="D4181" s="14" t="s">
        <v>4222</v>
      </c>
      <c r="E4181" s="14" t="s">
        <v>46</v>
      </c>
    </row>
    <row r="4182" spans="1:5" x14ac:dyDescent="0.25">
      <c r="A4182" s="36">
        <v>4180</v>
      </c>
      <c r="B4182" s="37">
        <v>157755613</v>
      </c>
      <c r="C4182" s="38">
        <v>7.3460681863809316E-2</v>
      </c>
      <c r="D4182" s="14" t="s">
        <v>4223</v>
      </c>
      <c r="E4182" s="14" t="s">
        <v>48</v>
      </c>
    </row>
    <row r="4183" spans="1:5" x14ac:dyDescent="0.25">
      <c r="A4183" s="36">
        <v>4181</v>
      </c>
      <c r="B4183" s="37">
        <v>1317728829</v>
      </c>
      <c r="C4183" s="38">
        <v>0.61361530312039669</v>
      </c>
      <c r="D4183" s="14" t="s">
        <v>4224</v>
      </c>
      <c r="E4183" s="14" t="s">
        <v>37</v>
      </c>
    </row>
    <row r="4184" spans="1:5" x14ac:dyDescent="0.25">
      <c r="A4184" s="36">
        <v>4182</v>
      </c>
      <c r="B4184" s="37">
        <v>1040589882</v>
      </c>
      <c r="C4184" s="38">
        <v>0.48456242423717044</v>
      </c>
      <c r="D4184" s="14" t="s">
        <v>4225</v>
      </c>
      <c r="E4184" s="14" t="s">
        <v>40</v>
      </c>
    </row>
    <row r="4185" spans="1:5" x14ac:dyDescent="0.25">
      <c r="A4185" s="36">
        <v>4183</v>
      </c>
      <c r="B4185" s="37">
        <v>1592014071</v>
      </c>
      <c r="C4185" s="38">
        <v>0.74133932205910757</v>
      </c>
      <c r="D4185" s="14" t="s">
        <v>4226</v>
      </c>
      <c r="E4185" s="14" t="s">
        <v>43</v>
      </c>
    </row>
    <row r="4186" spans="1:5" x14ac:dyDescent="0.25">
      <c r="A4186" s="36">
        <v>4184</v>
      </c>
      <c r="B4186" s="37">
        <v>659677732</v>
      </c>
      <c r="C4186" s="38">
        <v>0.30718638203441462</v>
      </c>
      <c r="D4186" s="14" t="s">
        <v>4227</v>
      </c>
      <c r="E4186" s="14" t="s">
        <v>46</v>
      </c>
    </row>
    <row r="4187" spans="1:5" x14ac:dyDescent="0.25">
      <c r="A4187" s="36">
        <v>4185</v>
      </c>
      <c r="B4187" s="37">
        <v>1899861130</v>
      </c>
      <c r="C4187" s="38">
        <v>0.88469177991370285</v>
      </c>
      <c r="D4187" s="14" t="s">
        <v>4228</v>
      </c>
      <c r="E4187" s="14" t="s">
        <v>48</v>
      </c>
    </row>
    <row r="4188" spans="1:5" x14ac:dyDescent="0.25">
      <c r="A4188" s="36">
        <v>4186</v>
      </c>
      <c r="B4188" s="37">
        <v>122614449</v>
      </c>
      <c r="C4188" s="38">
        <v>5.7096802190456916E-2</v>
      </c>
      <c r="D4188" s="14" t="s">
        <v>4229</v>
      </c>
      <c r="E4188" s="14" t="s">
        <v>37</v>
      </c>
    </row>
    <row r="4189" spans="1:5" x14ac:dyDescent="0.25">
      <c r="A4189" s="36">
        <v>4187</v>
      </c>
      <c r="B4189" s="37">
        <v>1131298715</v>
      </c>
      <c r="C4189" s="38">
        <v>0.52680201620180256</v>
      </c>
      <c r="D4189" s="14" t="s">
        <v>4230</v>
      </c>
      <c r="E4189" s="14" t="s">
        <v>40</v>
      </c>
    </row>
    <row r="4190" spans="1:5" x14ac:dyDescent="0.25">
      <c r="A4190" s="36">
        <v>4188</v>
      </c>
      <c r="B4190" s="37">
        <v>1284526473</v>
      </c>
      <c r="C4190" s="38">
        <v>0.59815425127658728</v>
      </c>
      <c r="D4190" s="14" t="s">
        <v>4231</v>
      </c>
      <c r="E4190" s="14" t="s">
        <v>43</v>
      </c>
    </row>
    <row r="4191" spans="1:5" x14ac:dyDescent="0.25">
      <c r="A4191" s="36">
        <v>4189</v>
      </c>
      <c r="B4191" s="37">
        <v>380624527</v>
      </c>
      <c r="C4191" s="38">
        <v>0.17724210730625414</v>
      </c>
      <c r="D4191" s="14" t="s">
        <v>4232</v>
      </c>
      <c r="E4191" s="14" t="s">
        <v>46</v>
      </c>
    </row>
    <row r="4192" spans="1:5" x14ac:dyDescent="0.25">
      <c r="A4192" s="36">
        <v>4190</v>
      </c>
      <c r="B4192" s="37">
        <v>839236370</v>
      </c>
      <c r="C4192" s="38">
        <v>0.39079988859165454</v>
      </c>
      <c r="D4192" s="14" t="s">
        <v>4233</v>
      </c>
      <c r="E4192" s="14" t="s">
        <v>48</v>
      </c>
    </row>
    <row r="4193" spans="1:5" x14ac:dyDescent="0.25">
      <c r="A4193" s="36">
        <v>4191</v>
      </c>
      <c r="B4193" s="37">
        <v>1410239561</v>
      </c>
      <c r="C4193" s="38">
        <v>0.65669396969335803</v>
      </c>
      <c r="D4193" s="14" t="s">
        <v>4234</v>
      </c>
      <c r="E4193" s="14" t="s">
        <v>37</v>
      </c>
    </row>
    <row r="4194" spans="1:5" x14ac:dyDescent="0.25">
      <c r="A4194" s="36">
        <v>4192</v>
      </c>
      <c r="B4194" s="37">
        <v>4380400</v>
      </c>
      <c r="C4194" s="38">
        <v>2.0397827038726689E-3</v>
      </c>
      <c r="D4194" s="14" t="s">
        <v>4235</v>
      </c>
      <c r="E4194" s="14" t="s">
        <v>40</v>
      </c>
    </row>
    <row r="4195" spans="1:5" x14ac:dyDescent="0.25">
      <c r="A4195" s="36">
        <v>4193</v>
      </c>
      <c r="B4195" s="37">
        <v>1592232658</v>
      </c>
      <c r="C4195" s="38">
        <v>0.74144110956296372</v>
      </c>
      <c r="D4195" s="14" t="s">
        <v>4236</v>
      </c>
      <c r="E4195" s="14" t="s">
        <v>43</v>
      </c>
    </row>
    <row r="4196" spans="1:5" x14ac:dyDescent="0.25">
      <c r="A4196" s="36">
        <v>4194</v>
      </c>
      <c r="B4196" s="37">
        <v>1578467564</v>
      </c>
      <c r="C4196" s="38">
        <v>0.73503123816802685</v>
      </c>
      <c r="D4196" s="14" t="s">
        <v>4237</v>
      </c>
      <c r="E4196" s="14" t="s">
        <v>46</v>
      </c>
    </row>
    <row r="4197" spans="1:5" x14ac:dyDescent="0.25">
      <c r="A4197" s="36">
        <v>4195</v>
      </c>
      <c r="B4197" s="37">
        <v>738407057</v>
      </c>
      <c r="C4197" s="38">
        <v>0.34384758087985573</v>
      </c>
      <c r="D4197" s="14" t="s">
        <v>4238</v>
      </c>
      <c r="E4197" s="14" t="s">
        <v>48</v>
      </c>
    </row>
    <row r="4198" spans="1:5" x14ac:dyDescent="0.25">
      <c r="A4198" s="36">
        <v>4196</v>
      </c>
      <c r="B4198" s="37">
        <v>787482227</v>
      </c>
      <c r="C4198" s="38">
        <v>0.36669998772754331</v>
      </c>
      <c r="D4198" s="14" t="s">
        <v>4239</v>
      </c>
      <c r="E4198" s="14" t="s">
        <v>37</v>
      </c>
    </row>
    <row r="4199" spans="1:5" x14ac:dyDescent="0.25">
      <c r="A4199" s="36">
        <v>4197</v>
      </c>
      <c r="B4199" s="37">
        <v>1651861891</v>
      </c>
      <c r="C4199" s="38">
        <v>0.76920813497584695</v>
      </c>
      <c r="D4199" s="14" t="s">
        <v>4240</v>
      </c>
      <c r="E4199" s="14" t="s">
        <v>40</v>
      </c>
    </row>
    <row r="4200" spans="1:5" x14ac:dyDescent="0.25">
      <c r="A4200" s="36">
        <v>4198</v>
      </c>
      <c r="B4200" s="37">
        <v>1380846196</v>
      </c>
      <c r="C4200" s="38">
        <v>0.6430066175027781</v>
      </c>
      <c r="D4200" s="14" t="s">
        <v>4241</v>
      </c>
      <c r="E4200" s="14" t="s">
        <v>43</v>
      </c>
    </row>
    <row r="4201" spans="1:5" x14ac:dyDescent="0.25">
      <c r="A4201" s="36">
        <v>4199</v>
      </c>
      <c r="B4201" s="37">
        <v>133433376</v>
      </c>
      <c r="C4201" s="38">
        <v>6.2134757666911351E-2</v>
      </c>
      <c r="D4201" s="14" t="s">
        <v>4242</v>
      </c>
      <c r="E4201" s="14" t="s">
        <v>46</v>
      </c>
    </row>
    <row r="4202" spans="1:5" x14ac:dyDescent="0.25">
      <c r="A4202" s="36">
        <v>4200</v>
      </c>
      <c r="B4202" s="37">
        <v>707899648</v>
      </c>
      <c r="C4202" s="38">
        <v>0.32964146152587676</v>
      </c>
      <c r="D4202" s="14" t="s">
        <v>4243</v>
      </c>
      <c r="E4202" s="14" t="s">
        <v>48</v>
      </c>
    </row>
    <row r="4203" spans="1:5" x14ac:dyDescent="0.25">
      <c r="A4203" s="36">
        <v>4201</v>
      </c>
      <c r="B4203" s="37">
        <v>1988317111</v>
      </c>
      <c r="C4203" s="38">
        <v>0.92588230591541265</v>
      </c>
      <c r="D4203" s="14" t="s">
        <v>4244</v>
      </c>
      <c r="E4203" s="14" t="s">
        <v>37</v>
      </c>
    </row>
    <row r="4204" spans="1:5" x14ac:dyDescent="0.25">
      <c r="A4204" s="36">
        <v>4202</v>
      </c>
      <c r="B4204" s="37">
        <v>1540582860</v>
      </c>
      <c r="C4204" s="38">
        <v>0.71738979812589931</v>
      </c>
      <c r="D4204" s="14" t="s">
        <v>4245</v>
      </c>
      <c r="E4204" s="14" t="s">
        <v>40</v>
      </c>
    </row>
    <row r="4205" spans="1:5" x14ac:dyDescent="0.25">
      <c r="A4205" s="36">
        <v>4203</v>
      </c>
      <c r="B4205" s="37">
        <v>1558775612</v>
      </c>
      <c r="C4205" s="38">
        <v>0.72586145844583472</v>
      </c>
      <c r="D4205" s="14" t="s">
        <v>4246</v>
      </c>
      <c r="E4205" s="14" t="s">
        <v>43</v>
      </c>
    </row>
    <row r="4206" spans="1:5" x14ac:dyDescent="0.25">
      <c r="A4206" s="36">
        <v>4204</v>
      </c>
      <c r="B4206" s="37">
        <v>34908418</v>
      </c>
      <c r="C4206" s="38">
        <v>1.6255498871326213E-2</v>
      </c>
      <c r="D4206" s="14" t="s">
        <v>4247</v>
      </c>
      <c r="E4206" s="14" t="s">
        <v>46</v>
      </c>
    </row>
    <row r="4207" spans="1:5" x14ac:dyDescent="0.25">
      <c r="A4207" s="36">
        <v>4205</v>
      </c>
      <c r="B4207" s="37">
        <v>335855147</v>
      </c>
      <c r="C4207" s="38">
        <v>0.15639474017377697</v>
      </c>
      <c r="D4207" s="14" t="s">
        <v>4248</v>
      </c>
      <c r="E4207" s="14" t="s">
        <v>48</v>
      </c>
    </row>
    <row r="4208" spans="1:5" x14ac:dyDescent="0.25">
      <c r="A4208" s="36">
        <v>4206</v>
      </c>
      <c r="B4208" s="37">
        <v>917026417</v>
      </c>
      <c r="C4208" s="38">
        <v>0.42702370203427209</v>
      </c>
      <c r="D4208" s="14" t="s">
        <v>4249</v>
      </c>
      <c r="E4208" s="14" t="s">
        <v>37</v>
      </c>
    </row>
    <row r="4209" spans="1:5" x14ac:dyDescent="0.25">
      <c r="A4209" s="36">
        <v>4207</v>
      </c>
      <c r="B4209" s="37">
        <v>214242724</v>
      </c>
      <c r="C4209" s="38">
        <v>9.9764542700613176E-2</v>
      </c>
      <c r="D4209" s="14" t="s">
        <v>4250</v>
      </c>
      <c r="E4209" s="14" t="s">
        <v>40</v>
      </c>
    </row>
    <row r="4210" spans="1:5" x14ac:dyDescent="0.25">
      <c r="A4210" s="36">
        <v>4208</v>
      </c>
      <c r="B4210" s="37">
        <v>102165856</v>
      </c>
      <c r="C4210" s="38">
        <v>4.7574684046010805E-2</v>
      </c>
      <c r="D4210" s="14" t="s">
        <v>4251</v>
      </c>
      <c r="E4210" s="14" t="s">
        <v>43</v>
      </c>
    </row>
    <row r="4211" spans="1:5" x14ac:dyDescent="0.25">
      <c r="A4211" s="36">
        <v>4209</v>
      </c>
      <c r="B4211" s="37">
        <v>1552840340</v>
      </c>
      <c r="C4211" s="38">
        <v>0.72309763204450606</v>
      </c>
      <c r="D4211" s="14" t="s">
        <v>4252</v>
      </c>
      <c r="E4211" s="14" t="s">
        <v>46</v>
      </c>
    </row>
    <row r="4212" spans="1:5" x14ac:dyDescent="0.25">
      <c r="A4212" s="36">
        <v>4210</v>
      </c>
      <c r="B4212" s="37">
        <v>1198542465</v>
      </c>
      <c r="C4212" s="38">
        <v>0.55811482740478346</v>
      </c>
      <c r="D4212" s="14" t="s">
        <v>4253</v>
      </c>
      <c r="E4212" s="14" t="s">
        <v>48</v>
      </c>
    </row>
    <row r="4213" spans="1:5" x14ac:dyDescent="0.25">
      <c r="A4213" s="36">
        <v>4211</v>
      </c>
      <c r="B4213" s="37">
        <v>1192329936</v>
      </c>
      <c r="C4213" s="38">
        <v>0.55522189315185966</v>
      </c>
      <c r="D4213" s="14" t="s">
        <v>4254</v>
      </c>
      <c r="E4213" s="14" t="s">
        <v>37</v>
      </c>
    </row>
    <row r="4214" spans="1:5" x14ac:dyDescent="0.25">
      <c r="A4214" s="36">
        <v>4212</v>
      </c>
      <c r="B4214" s="37">
        <v>416256516</v>
      </c>
      <c r="C4214" s="38">
        <v>0.19383454518105581</v>
      </c>
      <c r="D4214" s="14" t="s">
        <v>4255</v>
      </c>
      <c r="E4214" s="14" t="s">
        <v>40</v>
      </c>
    </row>
    <row r="4215" spans="1:5" x14ac:dyDescent="0.25">
      <c r="A4215" s="36">
        <v>4213</v>
      </c>
      <c r="B4215" s="37">
        <v>1972363749</v>
      </c>
      <c r="C4215" s="38">
        <v>0.91845344282614694</v>
      </c>
      <c r="D4215" s="14" t="s">
        <v>4256</v>
      </c>
      <c r="E4215" s="14" t="s">
        <v>43</v>
      </c>
    </row>
    <row r="4216" spans="1:5" x14ac:dyDescent="0.25">
      <c r="A4216" s="36">
        <v>4214</v>
      </c>
      <c r="B4216" s="37">
        <v>405994965</v>
      </c>
      <c r="C4216" s="38">
        <v>0.18905613813039668</v>
      </c>
      <c r="D4216" s="14" t="s">
        <v>4257</v>
      </c>
      <c r="E4216" s="14" t="s">
        <v>46</v>
      </c>
    </row>
    <row r="4217" spans="1:5" x14ac:dyDescent="0.25">
      <c r="A4217" s="36">
        <v>4215</v>
      </c>
      <c r="B4217" s="37">
        <v>301630065</v>
      </c>
      <c r="C4217" s="38">
        <v>0.14045744442402266</v>
      </c>
      <c r="D4217" s="14" t="s">
        <v>4258</v>
      </c>
      <c r="E4217" s="14" t="s">
        <v>48</v>
      </c>
    </row>
    <row r="4218" spans="1:5" x14ac:dyDescent="0.25">
      <c r="A4218" s="36">
        <v>4216</v>
      </c>
      <c r="B4218" s="37">
        <v>858597983</v>
      </c>
      <c r="C4218" s="38">
        <v>0.39981584222978717</v>
      </c>
      <c r="D4218" s="14" t="s">
        <v>4259</v>
      </c>
      <c r="E4218" s="14" t="s">
        <v>37</v>
      </c>
    </row>
    <row r="4219" spans="1:5" x14ac:dyDescent="0.25">
      <c r="A4219" s="36">
        <v>4217</v>
      </c>
      <c r="B4219" s="37">
        <v>2012027857</v>
      </c>
      <c r="C4219" s="38">
        <v>0.93692348242594092</v>
      </c>
      <c r="D4219" s="14" t="s">
        <v>4260</v>
      </c>
      <c r="E4219" s="14" t="s">
        <v>40</v>
      </c>
    </row>
    <row r="4220" spans="1:5" x14ac:dyDescent="0.25">
      <c r="A4220" s="36">
        <v>4218</v>
      </c>
      <c r="B4220" s="37">
        <v>68120297</v>
      </c>
      <c r="C4220" s="38">
        <v>3.1720985207576761E-2</v>
      </c>
      <c r="D4220" s="14" t="s">
        <v>4261</v>
      </c>
      <c r="E4220" s="14" t="s">
        <v>43</v>
      </c>
    </row>
    <row r="4221" spans="1:5" x14ac:dyDescent="0.25">
      <c r="A4221" s="36">
        <v>4219</v>
      </c>
      <c r="B4221" s="37">
        <v>1814706548</v>
      </c>
      <c r="C4221" s="38">
        <v>0.84503858762096551</v>
      </c>
      <c r="D4221" s="14" t="s">
        <v>4262</v>
      </c>
      <c r="E4221" s="14" t="s">
        <v>46</v>
      </c>
    </row>
    <row r="4222" spans="1:5" x14ac:dyDescent="0.25">
      <c r="A4222" s="36">
        <v>4220</v>
      </c>
      <c r="B4222" s="37">
        <v>702647487</v>
      </c>
      <c r="C4222" s="38">
        <v>0.32719573347233039</v>
      </c>
      <c r="D4222" s="14" t="s">
        <v>4263</v>
      </c>
      <c r="E4222" s="14" t="s">
        <v>48</v>
      </c>
    </row>
    <row r="4223" spans="1:5" x14ac:dyDescent="0.25">
      <c r="A4223" s="36">
        <v>4221</v>
      </c>
      <c r="B4223" s="37">
        <v>2040955523</v>
      </c>
      <c r="C4223" s="38">
        <v>0.95039397662058189</v>
      </c>
      <c r="D4223" s="14" t="s">
        <v>4264</v>
      </c>
      <c r="E4223" s="14" t="s">
        <v>37</v>
      </c>
    </row>
    <row r="4224" spans="1:5" x14ac:dyDescent="0.25">
      <c r="A4224" s="36">
        <v>4222</v>
      </c>
      <c r="B4224" s="37">
        <v>13035913</v>
      </c>
      <c r="C4224" s="38">
        <v>6.070320031638406E-3</v>
      </c>
      <c r="D4224" s="14" t="s">
        <v>4265</v>
      </c>
      <c r="E4224" s="14" t="s">
        <v>40</v>
      </c>
    </row>
    <row r="4225" spans="1:5" x14ac:dyDescent="0.25">
      <c r="A4225" s="36">
        <v>4223</v>
      </c>
      <c r="B4225" s="37">
        <v>1442221260</v>
      </c>
      <c r="C4225" s="38">
        <v>0.67158660882692156</v>
      </c>
      <c r="D4225" s="14" t="s">
        <v>4266</v>
      </c>
      <c r="E4225" s="14" t="s">
        <v>43</v>
      </c>
    </row>
    <row r="4226" spans="1:5" x14ac:dyDescent="0.25">
      <c r="A4226" s="36">
        <v>4224</v>
      </c>
      <c r="B4226" s="37">
        <v>369782892</v>
      </c>
      <c r="C4226" s="38">
        <v>0.1721935775932826</v>
      </c>
      <c r="D4226" s="14" t="s">
        <v>4267</v>
      </c>
      <c r="E4226" s="14" t="s">
        <v>46</v>
      </c>
    </row>
    <row r="4227" spans="1:5" x14ac:dyDescent="0.25">
      <c r="A4227" s="36">
        <v>4225</v>
      </c>
      <c r="B4227" s="37">
        <v>2119307383</v>
      </c>
      <c r="C4227" s="38">
        <v>0.98687940462812751</v>
      </c>
      <c r="D4227" s="14" t="s">
        <v>4268</v>
      </c>
      <c r="E4227" s="14" t="s">
        <v>48</v>
      </c>
    </row>
    <row r="4228" spans="1:5" x14ac:dyDescent="0.25">
      <c r="A4228" s="36">
        <v>4226</v>
      </c>
      <c r="B4228" s="37">
        <v>1960920103</v>
      </c>
      <c r="C4228" s="38">
        <v>0.91312457989581142</v>
      </c>
      <c r="D4228" s="14" t="s">
        <v>4269</v>
      </c>
      <c r="E4228" s="14" t="s">
        <v>37</v>
      </c>
    </row>
    <row r="4229" spans="1:5" x14ac:dyDescent="0.25">
      <c r="A4229" s="36">
        <v>4227</v>
      </c>
      <c r="B4229" s="37">
        <v>351085705</v>
      </c>
      <c r="C4229" s="38">
        <v>0.16348702142177476</v>
      </c>
      <c r="D4229" s="14" t="s">
        <v>4270</v>
      </c>
      <c r="E4229" s="14" t="s">
        <v>40</v>
      </c>
    </row>
    <row r="4230" spans="1:5" x14ac:dyDescent="0.25">
      <c r="A4230" s="36">
        <v>4228</v>
      </c>
      <c r="B4230" s="37">
        <v>1517128532</v>
      </c>
      <c r="C4230" s="38">
        <v>0.70646802555139554</v>
      </c>
      <c r="D4230" s="14" t="s">
        <v>4271</v>
      </c>
      <c r="E4230" s="14" t="s">
        <v>43</v>
      </c>
    </row>
    <row r="4231" spans="1:5" x14ac:dyDescent="0.25">
      <c r="A4231" s="36">
        <v>4229</v>
      </c>
      <c r="B4231" s="37">
        <v>348680225</v>
      </c>
      <c r="C4231" s="38">
        <v>0.16236688250786013</v>
      </c>
      <c r="D4231" s="14" t="s">
        <v>4272</v>
      </c>
      <c r="E4231" s="14" t="s">
        <v>46</v>
      </c>
    </row>
    <row r="4232" spans="1:5" x14ac:dyDescent="0.25">
      <c r="A4232" s="36">
        <v>4230</v>
      </c>
      <c r="B4232" s="37">
        <v>445049540</v>
      </c>
      <c r="C4232" s="38">
        <v>0.20724234180862194</v>
      </c>
      <c r="D4232" s="14" t="s">
        <v>4273</v>
      </c>
      <c r="E4232" s="14" t="s">
        <v>48</v>
      </c>
    </row>
    <row r="4233" spans="1:5" x14ac:dyDescent="0.25">
      <c r="A4233" s="36">
        <v>4231</v>
      </c>
      <c r="B4233" s="37">
        <v>1140603603</v>
      </c>
      <c r="C4233" s="38">
        <v>0.5311349423281545</v>
      </c>
      <c r="D4233" s="14" t="s">
        <v>4274</v>
      </c>
      <c r="E4233" s="14" t="s">
        <v>37</v>
      </c>
    </row>
    <row r="4234" spans="1:5" x14ac:dyDescent="0.25">
      <c r="A4234" s="36">
        <v>4232</v>
      </c>
      <c r="B4234" s="37">
        <v>1851162509</v>
      </c>
      <c r="C4234" s="38">
        <v>0.86201471735817137</v>
      </c>
      <c r="D4234" s="14" t="s">
        <v>4275</v>
      </c>
      <c r="E4234" s="14" t="s">
        <v>40</v>
      </c>
    </row>
    <row r="4235" spans="1:5" x14ac:dyDescent="0.25">
      <c r="A4235" s="36">
        <v>4233</v>
      </c>
      <c r="B4235" s="37">
        <v>1115717733</v>
      </c>
      <c r="C4235" s="38">
        <v>0.51954655606278521</v>
      </c>
      <c r="D4235" s="14" t="s">
        <v>4276</v>
      </c>
      <c r="E4235" s="14" t="s">
        <v>43</v>
      </c>
    </row>
    <row r="4236" spans="1:5" x14ac:dyDescent="0.25">
      <c r="A4236" s="36">
        <v>4234</v>
      </c>
      <c r="B4236" s="37">
        <v>1510467742</v>
      </c>
      <c r="C4236" s="38">
        <v>0.70336635350406462</v>
      </c>
      <c r="D4236" s="14" t="s">
        <v>4277</v>
      </c>
      <c r="E4236" s="14" t="s">
        <v>46</v>
      </c>
    </row>
    <row r="4237" spans="1:5" x14ac:dyDescent="0.25">
      <c r="A4237" s="36">
        <v>4235</v>
      </c>
      <c r="B4237" s="37">
        <v>755274936</v>
      </c>
      <c r="C4237" s="38">
        <v>0.35170229913280454</v>
      </c>
      <c r="D4237" s="14" t="s">
        <v>4278</v>
      </c>
      <c r="E4237" s="14" t="s">
        <v>48</v>
      </c>
    </row>
    <row r="4238" spans="1:5" x14ac:dyDescent="0.25">
      <c r="A4238" s="36">
        <v>4236</v>
      </c>
      <c r="B4238" s="37">
        <v>1592573824</v>
      </c>
      <c r="C4238" s="38">
        <v>0.7415999773617834</v>
      </c>
      <c r="D4238" s="14" t="s">
        <v>4279</v>
      </c>
      <c r="E4238" s="14" t="s">
        <v>37</v>
      </c>
    </row>
    <row r="4239" spans="1:5" x14ac:dyDescent="0.25">
      <c r="A4239" s="36">
        <v>4237</v>
      </c>
      <c r="B4239" s="37">
        <v>374637259</v>
      </c>
      <c r="C4239" s="38">
        <v>0.17445406838061944</v>
      </c>
      <c r="D4239" s="14" t="s">
        <v>4280</v>
      </c>
      <c r="E4239" s="14" t="s">
        <v>40</v>
      </c>
    </row>
    <row r="4240" spans="1:5" x14ac:dyDescent="0.25">
      <c r="A4240" s="36">
        <v>4238</v>
      </c>
      <c r="B4240" s="37">
        <v>1353574397</v>
      </c>
      <c r="C4240" s="38">
        <v>0.63030719646732658</v>
      </c>
      <c r="D4240" s="14" t="s">
        <v>4281</v>
      </c>
      <c r="E4240" s="14" t="s">
        <v>43</v>
      </c>
    </row>
    <row r="4241" spans="1:5" x14ac:dyDescent="0.25">
      <c r="A4241" s="36">
        <v>4239</v>
      </c>
      <c r="B4241" s="37">
        <v>1199016834</v>
      </c>
      <c r="C4241" s="38">
        <v>0.55833572268408527</v>
      </c>
      <c r="D4241" s="14" t="s">
        <v>4282</v>
      </c>
      <c r="E4241" s="14" t="s">
        <v>46</v>
      </c>
    </row>
    <row r="4242" spans="1:5" x14ac:dyDescent="0.25">
      <c r="A4242" s="36">
        <v>4240</v>
      </c>
      <c r="B4242" s="37">
        <v>517407565</v>
      </c>
      <c r="C4242" s="38">
        <v>0.24093667289285767</v>
      </c>
      <c r="D4242" s="14" t="s">
        <v>4283</v>
      </c>
      <c r="E4242" s="14" t="s">
        <v>48</v>
      </c>
    </row>
    <row r="4243" spans="1:5" x14ac:dyDescent="0.25">
      <c r="A4243" s="36">
        <v>4241</v>
      </c>
      <c r="B4243" s="37">
        <v>1261824733</v>
      </c>
      <c r="C4243" s="38">
        <v>0.58758292979913895</v>
      </c>
      <c r="D4243" s="14" t="s">
        <v>4284</v>
      </c>
      <c r="E4243" s="14" t="s">
        <v>37</v>
      </c>
    </row>
    <row r="4244" spans="1:5" x14ac:dyDescent="0.25">
      <c r="A4244" s="36">
        <v>4242</v>
      </c>
      <c r="B4244" s="37">
        <v>2036587286</v>
      </c>
      <c r="C4244" s="38">
        <v>0.94835985775494946</v>
      </c>
      <c r="D4244" s="14" t="s">
        <v>4285</v>
      </c>
      <c r="E4244" s="14" t="s">
        <v>40</v>
      </c>
    </row>
    <row r="4245" spans="1:5" x14ac:dyDescent="0.25">
      <c r="A4245" s="36">
        <v>4243</v>
      </c>
      <c r="B4245" s="37">
        <v>352972230</v>
      </c>
      <c r="C4245" s="38">
        <v>0.16436550308222209</v>
      </c>
      <c r="D4245" s="14" t="s">
        <v>4286</v>
      </c>
      <c r="E4245" s="14" t="s">
        <v>43</v>
      </c>
    </row>
    <row r="4246" spans="1:5" x14ac:dyDescent="0.25">
      <c r="A4246" s="36">
        <v>4244</v>
      </c>
      <c r="B4246" s="37">
        <v>2064062243</v>
      </c>
      <c r="C4246" s="38">
        <v>0.96115388160625193</v>
      </c>
      <c r="D4246" s="14" t="s">
        <v>4287</v>
      </c>
      <c r="E4246" s="14" t="s">
        <v>46</v>
      </c>
    </row>
    <row r="4247" spans="1:5" x14ac:dyDescent="0.25">
      <c r="A4247" s="36">
        <v>4245</v>
      </c>
      <c r="B4247" s="37">
        <v>294026143</v>
      </c>
      <c r="C4247" s="38">
        <v>0.13691659231526618</v>
      </c>
      <c r="D4247" s="14" t="s">
        <v>4288</v>
      </c>
      <c r="E4247" s="14" t="s">
        <v>48</v>
      </c>
    </row>
    <row r="4248" spans="1:5" x14ac:dyDescent="0.25">
      <c r="A4248" s="36">
        <v>4246</v>
      </c>
      <c r="B4248" s="37">
        <v>1208946351</v>
      </c>
      <c r="C4248" s="38">
        <v>0.5629595143548024</v>
      </c>
      <c r="D4248" s="14" t="s">
        <v>4289</v>
      </c>
      <c r="E4248" s="14" t="s">
        <v>37</v>
      </c>
    </row>
    <row r="4249" spans="1:5" x14ac:dyDescent="0.25">
      <c r="A4249" s="36">
        <v>4247</v>
      </c>
      <c r="B4249" s="37">
        <v>1412544678</v>
      </c>
      <c r="C4249" s="38">
        <v>0.6577673734434728</v>
      </c>
      <c r="D4249" s="14" t="s">
        <v>4290</v>
      </c>
      <c r="E4249" s="14" t="s">
        <v>40</v>
      </c>
    </row>
    <row r="4250" spans="1:5" x14ac:dyDescent="0.25">
      <c r="A4250" s="36">
        <v>4248</v>
      </c>
      <c r="B4250" s="37">
        <v>1523461283</v>
      </c>
      <c r="C4250" s="38">
        <v>0.70941694253562804</v>
      </c>
      <c r="D4250" s="14" t="s">
        <v>4291</v>
      </c>
      <c r="E4250" s="14" t="s">
        <v>43</v>
      </c>
    </row>
    <row r="4251" spans="1:5" x14ac:dyDescent="0.25">
      <c r="A4251" s="36">
        <v>4249</v>
      </c>
      <c r="B4251" s="37">
        <v>1521299024</v>
      </c>
      <c r="C4251" s="38">
        <v>0.70841006222572644</v>
      </c>
      <c r="D4251" s="14" t="s">
        <v>4292</v>
      </c>
      <c r="E4251" s="14" t="s">
        <v>46</v>
      </c>
    </row>
    <row r="4252" spans="1:5" x14ac:dyDescent="0.25">
      <c r="A4252" s="36">
        <v>4250</v>
      </c>
      <c r="B4252" s="37">
        <v>1569729421</v>
      </c>
      <c r="C4252" s="38">
        <v>0.73096222324807303</v>
      </c>
      <c r="D4252" s="14" t="s">
        <v>4293</v>
      </c>
      <c r="E4252" s="14" t="s">
        <v>48</v>
      </c>
    </row>
    <row r="4253" spans="1:5" x14ac:dyDescent="0.25">
      <c r="A4253" s="36">
        <v>4251</v>
      </c>
      <c r="B4253" s="37">
        <v>787671113</v>
      </c>
      <c r="C4253" s="38">
        <v>0.36678794462549869</v>
      </c>
      <c r="D4253" s="14" t="s">
        <v>4294</v>
      </c>
      <c r="E4253" s="14" t="s">
        <v>37</v>
      </c>
    </row>
    <row r="4254" spans="1:5" x14ac:dyDescent="0.25">
      <c r="A4254" s="36">
        <v>4252</v>
      </c>
      <c r="B4254" s="37">
        <v>377234932</v>
      </c>
      <c r="C4254" s="38">
        <v>0.17566370413436727</v>
      </c>
      <c r="D4254" s="14" t="s">
        <v>4295</v>
      </c>
      <c r="E4254" s="14" t="s">
        <v>40</v>
      </c>
    </row>
    <row r="4255" spans="1:5" x14ac:dyDescent="0.25">
      <c r="A4255" s="36">
        <v>4253</v>
      </c>
      <c r="B4255" s="37">
        <v>213159664</v>
      </c>
      <c r="C4255" s="38">
        <v>9.9260203586546802E-2</v>
      </c>
      <c r="D4255" s="14" t="s">
        <v>4296</v>
      </c>
      <c r="E4255" s="14" t="s">
        <v>43</v>
      </c>
    </row>
    <row r="4256" spans="1:5" x14ac:dyDescent="0.25">
      <c r="A4256" s="36">
        <v>4254</v>
      </c>
      <c r="B4256" s="37">
        <v>1207982836</v>
      </c>
      <c r="C4256" s="38">
        <v>0.56251084271935314</v>
      </c>
      <c r="D4256" s="14" t="s">
        <v>4297</v>
      </c>
      <c r="E4256" s="14" t="s">
        <v>46</v>
      </c>
    </row>
    <row r="4257" spans="1:5" x14ac:dyDescent="0.25">
      <c r="A4257" s="36">
        <v>4255</v>
      </c>
      <c r="B4257" s="37">
        <v>1788023612</v>
      </c>
      <c r="C4257" s="38">
        <v>0.83261337728826956</v>
      </c>
      <c r="D4257" s="14" t="s">
        <v>4298</v>
      </c>
      <c r="E4257" s="14" t="s">
        <v>48</v>
      </c>
    </row>
    <row r="4258" spans="1:5" x14ac:dyDescent="0.25">
      <c r="A4258" s="36">
        <v>4256</v>
      </c>
      <c r="B4258" s="37">
        <v>545389341</v>
      </c>
      <c r="C4258" s="38">
        <v>0.25396670273224203</v>
      </c>
      <c r="D4258" s="14" t="s">
        <v>4299</v>
      </c>
      <c r="E4258" s="14" t="s">
        <v>37</v>
      </c>
    </row>
    <row r="4259" spans="1:5" x14ac:dyDescent="0.25">
      <c r="A4259" s="36">
        <v>4257</v>
      </c>
      <c r="B4259" s="37">
        <v>854701350</v>
      </c>
      <c r="C4259" s="38">
        <v>0.39800133108999641</v>
      </c>
      <c r="D4259" s="14" t="s">
        <v>4300</v>
      </c>
      <c r="E4259" s="14" t="s">
        <v>40</v>
      </c>
    </row>
    <row r="4260" spans="1:5" x14ac:dyDescent="0.25">
      <c r="A4260" s="36">
        <v>4258</v>
      </c>
      <c r="B4260" s="37">
        <v>1369597472</v>
      </c>
      <c r="C4260" s="38">
        <v>0.63776852220192948</v>
      </c>
      <c r="D4260" s="14" t="s">
        <v>4301</v>
      </c>
      <c r="E4260" s="14" t="s">
        <v>43</v>
      </c>
    </row>
    <row r="4261" spans="1:5" x14ac:dyDescent="0.25">
      <c r="A4261" s="36">
        <v>4259</v>
      </c>
      <c r="B4261" s="37">
        <v>261035469</v>
      </c>
      <c r="C4261" s="38">
        <v>0.12155411258412251</v>
      </c>
      <c r="D4261" s="14" t="s">
        <v>4302</v>
      </c>
      <c r="E4261" s="14" t="s">
        <v>46</v>
      </c>
    </row>
    <row r="4262" spans="1:5" x14ac:dyDescent="0.25">
      <c r="A4262" s="36">
        <v>4260</v>
      </c>
      <c r="B4262" s="37">
        <v>711643938</v>
      </c>
      <c r="C4262" s="38">
        <v>0.33138503242814216</v>
      </c>
      <c r="D4262" s="14" t="s">
        <v>4303</v>
      </c>
      <c r="E4262" s="14" t="s">
        <v>48</v>
      </c>
    </row>
    <row r="4263" spans="1:5" x14ac:dyDescent="0.25">
      <c r="A4263" s="36">
        <v>4261</v>
      </c>
      <c r="B4263" s="37">
        <v>307602120</v>
      </c>
      <c r="C4263" s="38">
        <v>0.14323839924449028</v>
      </c>
      <c r="D4263" s="14" t="s">
        <v>4304</v>
      </c>
      <c r="E4263" s="14" t="s">
        <v>37</v>
      </c>
    </row>
    <row r="4264" spans="1:5" x14ac:dyDescent="0.25">
      <c r="A4264" s="36">
        <v>4262</v>
      </c>
      <c r="B4264" s="37">
        <v>791644895</v>
      </c>
      <c r="C4264" s="38">
        <v>0.36863838106796071</v>
      </c>
      <c r="D4264" s="14" t="s">
        <v>4305</v>
      </c>
      <c r="E4264" s="14" t="s">
        <v>40</v>
      </c>
    </row>
    <row r="4265" spans="1:5" x14ac:dyDescent="0.25">
      <c r="A4265" s="36">
        <v>4263</v>
      </c>
      <c r="B4265" s="37">
        <v>587085722</v>
      </c>
      <c r="C4265" s="38">
        <v>0.27338309319381748</v>
      </c>
      <c r="D4265" s="14" t="s">
        <v>4306</v>
      </c>
      <c r="E4265" s="14" t="s">
        <v>43</v>
      </c>
    </row>
    <row r="4266" spans="1:5" x14ac:dyDescent="0.25">
      <c r="A4266" s="36">
        <v>4264</v>
      </c>
      <c r="B4266" s="37">
        <v>999297982</v>
      </c>
      <c r="C4266" s="38">
        <v>0.46533438491883428</v>
      </c>
      <c r="D4266" s="14" t="s">
        <v>4307</v>
      </c>
      <c r="E4266" s="14" t="s">
        <v>46</v>
      </c>
    </row>
    <row r="4267" spans="1:5" x14ac:dyDescent="0.25">
      <c r="A4267" s="36">
        <v>4265</v>
      </c>
      <c r="B4267" s="37">
        <v>406288806</v>
      </c>
      <c r="C4267" s="38">
        <v>0.18919296850878417</v>
      </c>
      <c r="D4267" s="14" t="s">
        <v>4308</v>
      </c>
      <c r="E4267" s="14" t="s">
        <v>48</v>
      </c>
    </row>
    <row r="4268" spans="1:5" x14ac:dyDescent="0.25">
      <c r="A4268" s="36">
        <v>4266</v>
      </c>
      <c r="B4268" s="37">
        <v>1928532721</v>
      </c>
      <c r="C4268" s="38">
        <v>0.89804302989414098</v>
      </c>
      <c r="D4268" s="14" t="s">
        <v>4309</v>
      </c>
      <c r="E4268" s="14" t="s">
        <v>37</v>
      </c>
    </row>
    <row r="4269" spans="1:5" x14ac:dyDescent="0.25">
      <c r="A4269" s="36">
        <v>4267</v>
      </c>
      <c r="B4269" s="37">
        <v>1173536443</v>
      </c>
      <c r="C4269" s="38">
        <v>0.54647049100439549</v>
      </c>
      <c r="D4269" s="14" t="s">
        <v>4310</v>
      </c>
      <c r="E4269" s="14" t="s">
        <v>40</v>
      </c>
    </row>
    <row r="4270" spans="1:5" x14ac:dyDescent="0.25">
      <c r="A4270" s="36">
        <v>4268</v>
      </c>
      <c r="B4270" s="37">
        <v>571606540</v>
      </c>
      <c r="C4270" s="38">
        <v>0.26617503737387016</v>
      </c>
      <c r="D4270" s="14" t="s">
        <v>4311</v>
      </c>
      <c r="E4270" s="14" t="s">
        <v>43</v>
      </c>
    </row>
    <row r="4271" spans="1:5" x14ac:dyDescent="0.25">
      <c r="A4271" s="36">
        <v>4269</v>
      </c>
      <c r="B4271" s="37">
        <v>1022676138</v>
      </c>
      <c r="C4271" s="38">
        <v>0.47622068714174476</v>
      </c>
      <c r="D4271" s="14" t="s">
        <v>4312</v>
      </c>
      <c r="E4271" s="14" t="s">
        <v>46</v>
      </c>
    </row>
    <row r="4272" spans="1:5" x14ac:dyDescent="0.25">
      <c r="A4272" s="36">
        <v>4270</v>
      </c>
      <c r="B4272" s="37">
        <v>1527721066</v>
      </c>
      <c r="C4272" s="38">
        <v>0.71140055857198337</v>
      </c>
      <c r="D4272" s="14" t="s">
        <v>4313</v>
      </c>
      <c r="E4272" s="14" t="s">
        <v>48</v>
      </c>
    </row>
    <row r="4273" spans="1:5" x14ac:dyDescent="0.25">
      <c r="A4273" s="36">
        <v>4271</v>
      </c>
      <c r="B4273" s="37">
        <v>1045594705</v>
      </c>
      <c r="C4273" s="38">
        <v>0.48689297655918307</v>
      </c>
      <c r="D4273" s="14" t="s">
        <v>4314</v>
      </c>
      <c r="E4273" s="14" t="s">
        <v>37</v>
      </c>
    </row>
    <row r="4274" spans="1:5" x14ac:dyDescent="0.25">
      <c r="A4274" s="36">
        <v>4272</v>
      </c>
      <c r="B4274" s="37">
        <v>8467786</v>
      </c>
      <c r="C4274" s="38">
        <v>3.943120131242611E-3</v>
      </c>
      <c r="D4274" s="14" t="s">
        <v>4315</v>
      </c>
      <c r="E4274" s="14" t="s">
        <v>40</v>
      </c>
    </row>
    <row r="4275" spans="1:5" x14ac:dyDescent="0.25">
      <c r="A4275" s="36">
        <v>4273</v>
      </c>
      <c r="B4275" s="37">
        <v>1920220612</v>
      </c>
      <c r="C4275" s="38">
        <v>0.89417240251515639</v>
      </c>
      <c r="D4275" s="14" t="s">
        <v>4316</v>
      </c>
      <c r="E4275" s="14" t="s">
        <v>43</v>
      </c>
    </row>
    <row r="4276" spans="1:5" x14ac:dyDescent="0.25">
      <c r="A4276" s="36">
        <v>4274</v>
      </c>
      <c r="B4276" s="37">
        <v>1697440839</v>
      </c>
      <c r="C4276" s="38">
        <v>0.79043248658554277</v>
      </c>
      <c r="D4276" s="14" t="s">
        <v>4317</v>
      </c>
      <c r="E4276" s="14" t="s">
        <v>46</v>
      </c>
    </row>
    <row r="4277" spans="1:5" x14ac:dyDescent="0.25">
      <c r="A4277" s="36">
        <v>4275</v>
      </c>
      <c r="B4277" s="37">
        <v>229501033</v>
      </c>
      <c r="C4277" s="38">
        <v>0.10686974651500106</v>
      </c>
      <c r="D4277" s="14" t="s">
        <v>4318</v>
      </c>
      <c r="E4277" s="14" t="s">
        <v>48</v>
      </c>
    </row>
    <row r="4278" spans="1:5" x14ac:dyDescent="0.25">
      <c r="A4278" s="36">
        <v>4276</v>
      </c>
      <c r="B4278" s="37">
        <v>1797344659</v>
      </c>
      <c r="C4278" s="38">
        <v>0.83695382803536666</v>
      </c>
      <c r="D4278" s="14" t="s">
        <v>4319</v>
      </c>
      <c r="E4278" s="14" t="s">
        <v>37</v>
      </c>
    </row>
    <row r="4279" spans="1:5" x14ac:dyDescent="0.25">
      <c r="A4279" s="36">
        <v>4277</v>
      </c>
      <c r="B4279" s="37">
        <v>91797441</v>
      </c>
      <c r="C4279" s="38">
        <v>4.274651456752164E-2</v>
      </c>
      <c r="D4279" s="14" t="s">
        <v>4320</v>
      </c>
      <c r="E4279" s="14" t="s">
        <v>40</v>
      </c>
    </row>
    <row r="4280" spans="1:5" x14ac:dyDescent="0.25">
      <c r="A4280" s="36">
        <v>4278</v>
      </c>
      <c r="B4280" s="37">
        <v>245449757</v>
      </c>
      <c r="C4280" s="38">
        <v>0.11429644986721521</v>
      </c>
      <c r="D4280" s="14" t="s">
        <v>4321</v>
      </c>
      <c r="E4280" s="14" t="s">
        <v>43</v>
      </c>
    </row>
    <row r="4281" spans="1:5" x14ac:dyDescent="0.25">
      <c r="A4281" s="36">
        <v>4279</v>
      </c>
      <c r="B4281" s="37">
        <v>1654316545</v>
      </c>
      <c r="C4281" s="38">
        <v>0.77035117231791428</v>
      </c>
      <c r="D4281" s="14" t="s">
        <v>4322</v>
      </c>
      <c r="E4281" s="14" t="s">
        <v>46</v>
      </c>
    </row>
    <row r="4282" spans="1:5" x14ac:dyDescent="0.25">
      <c r="A4282" s="36">
        <v>4280</v>
      </c>
      <c r="B4282" s="37">
        <v>552415305</v>
      </c>
      <c r="C4282" s="38">
        <v>0.25723842217458337</v>
      </c>
      <c r="D4282" s="14" t="s">
        <v>4323</v>
      </c>
      <c r="E4282" s="14" t="s">
        <v>48</v>
      </c>
    </row>
    <row r="4283" spans="1:5" x14ac:dyDescent="0.25">
      <c r="A4283" s="36">
        <v>4281</v>
      </c>
      <c r="B4283" s="37">
        <v>551486888</v>
      </c>
      <c r="C4283" s="38">
        <v>0.2568060943190037</v>
      </c>
      <c r="D4283" s="14" t="s">
        <v>4324</v>
      </c>
      <c r="E4283" s="14" t="s">
        <v>37</v>
      </c>
    </row>
    <row r="4284" spans="1:5" x14ac:dyDescent="0.25">
      <c r="A4284" s="36">
        <v>4282</v>
      </c>
      <c r="B4284" s="37">
        <v>1366405803</v>
      </c>
      <c r="C4284" s="38">
        <v>0.63628228550603716</v>
      </c>
      <c r="D4284" s="14" t="s">
        <v>4325</v>
      </c>
      <c r="E4284" s="14" t="s">
        <v>40</v>
      </c>
    </row>
    <row r="4285" spans="1:5" x14ac:dyDescent="0.25">
      <c r="A4285" s="36">
        <v>4283</v>
      </c>
      <c r="B4285" s="37">
        <v>522735922</v>
      </c>
      <c r="C4285" s="38">
        <v>0.24341788247386825</v>
      </c>
      <c r="D4285" s="14" t="s">
        <v>4326</v>
      </c>
      <c r="E4285" s="14" t="s">
        <v>43</v>
      </c>
    </row>
    <row r="4286" spans="1:5" x14ac:dyDescent="0.25">
      <c r="A4286" s="36">
        <v>4284</v>
      </c>
      <c r="B4286" s="37">
        <v>1337798048</v>
      </c>
      <c r="C4286" s="38">
        <v>0.62296076147954949</v>
      </c>
      <c r="D4286" s="14" t="s">
        <v>4327</v>
      </c>
      <c r="E4286" s="14" t="s">
        <v>46</v>
      </c>
    </row>
    <row r="4287" spans="1:5" x14ac:dyDescent="0.25">
      <c r="A4287" s="36">
        <v>4285</v>
      </c>
      <c r="B4287" s="37">
        <v>501733125</v>
      </c>
      <c r="C4287" s="38">
        <v>0.23363769298123088</v>
      </c>
      <c r="D4287" s="14" t="s">
        <v>4328</v>
      </c>
      <c r="E4287" s="14" t="s">
        <v>48</v>
      </c>
    </row>
    <row r="4288" spans="1:5" x14ac:dyDescent="0.25">
      <c r="A4288" s="36">
        <v>4286</v>
      </c>
      <c r="B4288" s="37">
        <v>543411136</v>
      </c>
      <c r="C4288" s="38">
        <v>0.25304552924495449</v>
      </c>
      <c r="D4288" s="14" t="s">
        <v>4329</v>
      </c>
      <c r="E4288" s="14" t="s">
        <v>37</v>
      </c>
    </row>
    <row r="4289" spans="1:5" x14ac:dyDescent="0.25">
      <c r="A4289" s="36">
        <v>4287</v>
      </c>
      <c r="B4289" s="37">
        <v>175454576</v>
      </c>
      <c r="C4289" s="38">
        <v>8.1702403762239223E-2</v>
      </c>
      <c r="D4289" s="14" t="s">
        <v>4330</v>
      </c>
      <c r="E4289" s="14" t="s">
        <v>40</v>
      </c>
    </row>
    <row r="4290" spans="1:5" x14ac:dyDescent="0.25">
      <c r="A4290" s="36">
        <v>4288</v>
      </c>
      <c r="B4290" s="37">
        <v>355963211</v>
      </c>
      <c r="C4290" s="38">
        <v>0.16575828714564364</v>
      </c>
      <c r="D4290" s="14" t="s">
        <v>4331</v>
      </c>
      <c r="E4290" s="14" t="s">
        <v>43</v>
      </c>
    </row>
    <row r="4291" spans="1:5" x14ac:dyDescent="0.25">
      <c r="A4291" s="36">
        <v>4289</v>
      </c>
      <c r="B4291" s="37">
        <v>612133875</v>
      </c>
      <c r="C4291" s="38">
        <v>0.28504704836991013</v>
      </c>
      <c r="D4291" s="14" t="s">
        <v>4332</v>
      </c>
      <c r="E4291" s="14" t="s">
        <v>46</v>
      </c>
    </row>
    <row r="4292" spans="1:5" x14ac:dyDescent="0.25">
      <c r="A4292" s="36">
        <v>4290</v>
      </c>
      <c r="B4292" s="37">
        <v>881163802</v>
      </c>
      <c r="C4292" s="38">
        <v>0.4103238705593738</v>
      </c>
      <c r="D4292" s="14" t="s">
        <v>4333</v>
      </c>
      <c r="E4292" s="14" t="s">
        <v>48</v>
      </c>
    </row>
    <row r="4293" spans="1:5" x14ac:dyDescent="0.25">
      <c r="A4293" s="36">
        <v>4291</v>
      </c>
      <c r="B4293" s="37">
        <v>1745429155</v>
      </c>
      <c r="C4293" s="38">
        <v>0.81277878760023914</v>
      </c>
      <c r="D4293" s="14" t="s">
        <v>4334</v>
      </c>
      <c r="E4293" s="14" t="s">
        <v>37</v>
      </c>
    </row>
    <row r="4294" spans="1:5" x14ac:dyDescent="0.25">
      <c r="A4294" s="36">
        <v>4292</v>
      </c>
      <c r="B4294" s="37">
        <v>179457121</v>
      </c>
      <c r="C4294" s="38">
        <v>8.3566234020314295E-2</v>
      </c>
      <c r="D4294" s="14" t="s">
        <v>4335</v>
      </c>
      <c r="E4294" s="14" t="s">
        <v>40</v>
      </c>
    </row>
    <row r="4295" spans="1:5" x14ac:dyDescent="0.25">
      <c r="A4295" s="36">
        <v>4293</v>
      </c>
      <c r="B4295" s="37">
        <v>1197906342</v>
      </c>
      <c r="C4295" s="38">
        <v>0.55781860954957951</v>
      </c>
      <c r="D4295" s="14" t="s">
        <v>4336</v>
      </c>
      <c r="E4295" s="14" t="s">
        <v>43</v>
      </c>
    </row>
    <row r="4296" spans="1:5" x14ac:dyDescent="0.25">
      <c r="A4296" s="36">
        <v>4294</v>
      </c>
      <c r="B4296" s="37">
        <v>1059131332</v>
      </c>
      <c r="C4296" s="38">
        <v>0.49319645971674309</v>
      </c>
      <c r="D4296" s="14" t="s">
        <v>4337</v>
      </c>
      <c r="E4296" s="14" t="s">
        <v>46</v>
      </c>
    </row>
    <row r="4297" spans="1:5" x14ac:dyDescent="0.25">
      <c r="A4297" s="36">
        <v>4295</v>
      </c>
      <c r="B4297" s="37">
        <v>664100637</v>
      </c>
      <c r="C4297" s="38">
        <v>0.30924595767131352</v>
      </c>
      <c r="D4297" s="14" t="s">
        <v>4338</v>
      </c>
      <c r="E4297" s="14" t="s">
        <v>48</v>
      </c>
    </row>
    <row r="4298" spans="1:5" x14ac:dyDescent="0.25">
      <c r="A4298" s="36">
        <v>4296</v>
      </c>
      <c r="B4298" s="37">
        <v>214380692</v>
      </c>
      <c r="C4298" s="38">
        <v>9.9828789057130357E-2</v>
      </c>
      <c r="D4298" s="14" t="s">
        <v>4339</v>
      </c>
      <c r="E4298" s="14" t="s">
        <v>37</v>
      </c>
    </row>
    <row r="4299" spans="1:5" x14ac:dyDescent="0.25">
      <c r="A4299" s="36">
        <v>4297</v>
      </c>
      <c r="B4299" s="37">
        <v>2120084474</v>
      </c>
      <c r="C4299" s="38">
        <v>0.9872412658237113</v>
      </c>
      <c r="D4299" s="14" t="s">
        <v>4340</v>
      </c>
      <c r="E4299" s="14" t="s">
        <v>40</v>
      </c>
    </row>
    <row r="4300" spans="1:5" x14ac:dyDescent="0.25">
      <c r="A4300" s="36">
        <v>4298</v>
      </c>
      <c r="B4300" s="37">
        <v>515677737</v>
      </c>
      <c r="C4300" s="38">
        <v>0.24013115895918158</v>
      </c>
      <c r="D4300" s="14" t="s">
        <v>4341</v>
      </c>
      <c r="E4300" s="14" t="s">
        <v>43</v>
      </c>
    </row>
    <row r="4301" spans="1:5" x14ac:dyDescent="0.25">
      <c r="A4301" s="36">
        <v>4299</v>
      </c>
      <c r="B4301" s="37">
        <v>1695443660</v>
      </c>
      <c r="C4301" s="38">
        <v>0.78950247764098569</v>
      </c>
      <c r="D4301" s="14" t="s">
        <v>4342</v>
      </c>
      <c r="E4301" s="14" t="s">
        <v>46</v>
      </c>
    </row>
    <row r="4302" spans="1:5" x14ac:dyDescent="0.25">
      <c r="A4302" s="36">
        <v>4300</v>
      </c>
      <c r="B4302" s="37">
        <v>179811614</v>
      </c>
      <c r="C4302" s="38">
        <v>8.3731307687112733E-2</v>
      </c>
      <c r="D4302" s="14" t="s">
        <v>4343</v>
      </c>
      <c r="E4302" s="14" t="s">
        <v>48</v>
      </c>
    </row>
    <row r="4303" spans="1:5" x14ac:dyDescent="0.25">
      <c r="A4303" s="36">
        <v>4301</v>
      </c>
      <c r="B4303" s="37">
        <v>702364242</v>
      </c>
      <c r="C4303" s="38">
        <v>0.32706383724094545</v>
      </c>
      <c r="D4303" s="14" t="s">
        <v>4344</v>
      </c>
      <c r="E4303" s="14" t="s">
        <v>37</v>
      </c>
    </row>
    <row r="4304" spans="1:5" x14ac:dyDescent="0.25">
      <c r="A4304" s="36">
        <v>4302</v>
      </c>
      <c r="B4304" s="37">
        <v>871490591</v>
      </c>
      <c r="C4304" s="38">
        <v>0.40581943067061688</v>
      </c>
      <c r="D4304" s="14" t="s">
        <v>4345</v>
      </c>
      <c r="E4304" s="14" t="s">
        <v>40</v>
      </c>
    </row>
    <row r="4305" spans="1:5" x14ac:dyDescent="0.25">
      <c r="A4305" s="36">
        <v>4303</v>
      </c>
      <c r="B4305" s="37">
        <v>128790939</v>
      </c>
      <c r="C4305" s="38">
        <v>5.9972954476239605E-2</v>
      </c>
      <c r="D4305" s="14" t="s">
        <v>4346</v>
      </c>
      <c r="E4305" s="14" t="s">
        <v>43</v>
      </c>
    </row>
    <row r="4306" spans="1:5" x14ac:dyDescent="0.25">
      <c r="A4306" s="36">
        <v>4304</v>
      </c>
      <c r="B4306" s="37">
        <v>2049097776</v>
      </c>
      <c r="C4306" s="38">
        <v>0.95418550863591278</v>
      </c>
      <c r="D4306" s="14" t="s">
        <v>4347</v>
      </c>
      <c r="E4306" s="14" t="s">
        <v>46</v>
      </c>
    </row>
    <row r="4307" spans="1:5" x14ac:dyDescent="0.25">
      <c r="A4307" s="36">
        <v>4305</v>
      </c>
      <c r="B4307" s="37">
        <v>227414521</v>
      </c>
      <c r="C4307" s="38">
        <v>0.10589813865064557</v>
      </c>
      <c r="D4307" s="14" t="s">
        <v>4348</v>
      </c>
      <c r="E4307" s="14" t="s">
        <v>48</v>
      </c>
    </row>
    <row r="4308" spans="1:5" x14ac:dyDescent="0.25">
      <c r="A4308" s="36">
        <v>4306</v>
      </c>
      <c r="B4308" s="37">
        <v>1227015058</v>
      </c>
      <c r="C4308" s="38">
        <v>0.57137341172032685</v>
      </c>
      <c r="D4308" s="14" t="s">
        <v>4349</v>
      </c>
      <c r="E4308" s="14" t="s">
        <v>37</v>
      </c>
    </row>
    <row r="4309" spans="1:5" x14ac:dyDescent="0.25">
      <c r="A4309" s="36">
        <v>4307</v>
      </c>
      <c r="B4309" s="37">
        <v>1718587618</v>
      </c>
      <c r="C4309" s="38">
        <v>0.80027972292168048</v>
      </c>
      <c r="D4309" s="14" t="s">
        <v>4350</v>
      </c>
      <c r="E4309" s="14" t="s">
        <v>40</v>
      </c>
    </row>
    <row r="4310" spans="1:5" x14ac:dyDescent="0.25">
      <c r="A4310" s="36">
        <v>4308</v>
      </c>
      <c r="B4310" s="37">
        <v>167358031</v>
      </c>
      <c r="C4310" s="38">
        <v>7.7932156193038518E-2</v>
      </c>
      <c r="D4310" s="14" t="s">
        <v>4351</v>
      </c>
      <c r="E4310" s="14" t="s">
        <v>43</v>
      </c>
    </row>
    <row r="4311" spans="1:5" x14ac:dyDescent="0.25">
      <c r="A4311" s="36">
        <v>4309</v>
      </c>
      <c r="B4311" s="37">
        <v>1061765658</v>
      </c>
      <c r="C4311" s="38">
        <v>0.49442316335366254</v>
      </c>
      <c r="D4311" s="14" t="s">
        <v>4352</v>
      </c>
      <c r="E4311" s="14" t="s">
        <v>46</v>
      </c>
    </row>
    <row r="4312" spans="1:5" x14ac:dyDescent="0.25">
      <c r="A4312" s="36">
        <v>4310</v>
      </c>
      <c r="B4312" s="37">
        <v>403978613</v>
      </c>
      <c r="C4312" s="38">
        <v>0.18811720106197391</v>
      </c>
      <c r="D4312" s="14" t="s">
        <v>4353</v>
      </c>
      <c r="E4312" s="14" t="s">
        <v>48</v>
      </c>
    </row>
    <row r="4313" spans="1:5" x14ac:dyDescent="0.25">
      <c r="A4313" s="36">
        <v>4311</v>
      </c>
      <c r="B4313" s="37">
        <v>550257526</v>
      </c>
      <c r="C4313" s="38">
        <v>0.25623362802724986</v>
      </c>
      <c r="D4313" s="14" t="s">
        <v>4354</v>
      </c>
      <c r="E4313" s="14" t="s">
        <v>37</v>
      </c>
    </row>
    <row r="4314" spans="1:5" x14ac:dyDescent="0.25">
      <c r="A4314" s="36">
        <v>4312</v>
      </c>
      <c r="B4314" s="37">
        <v>1614538344</v>
      </c>
      <c r="C4314" s="38">
        <v>0.75182800402484273</v>
      </c>
      <c r="D4314" s="14" t="s">
        <v>4355</v>
      </c>
      <c r="E4314" s="14" t="s">
        <v>40</v>
      </c>
    </row>
    <row r="4315" spans="1:5" x14ac:dyDescent="0.25">
      <c r="A4315" s="36">
        <v>4313</v>
      </c>
      <c r="B4315" s="37">
        <v>2105683731</v>
      </c>
      <c r="C4315" s="38">
        <v>0.98053539729702077</v>
      </c>
      <c r="D4315" s="14" t="s">
        <v>4356</v>
      </c>
      <c r="E4315" s="14" t="s">
        <v>43</v>
      </c>
    </row>
    <row r="4316" spans="1:5" x14ac:dyDescent="0.25">
      <c r="A4316" s="36">
        <v>4314</v>
      </c>
      <c r="B4316" s="37">
        <v>331403476</v>
      </c>
      <c r="C4316" s="38">
        <v>0.15432176932428116</v>
      </c>
      <c r="D4316" s="14" t="s">
        <v>4357</v>
      </c>
      <c r="E4316" s="14" t="s">
        <v>46</v>
      </c>
    </row>
    <row r="4317" spans="1:5" x14ac:dyDescent="0.25">
      <c r="A4317" s="36">
        <v>4315</v>
      </c>
      <c r="B4317" s="37">
        <v>1965420939</v>
      </c>
      <c r="C4317" s="38">
        <v>0.91522044498250843</v>
      </c>
      <c r="D4317" s="14" t="s">
        <v>4358</v>
      </c>
      <c r="E4317" s="14" t="s">
        <v>48</v>
      </c>
    </row>
    <row r="4318" spans="1:5" x14ac:dyDescent="0.25">
      <c r="A4318" s="36">
        <v>4316</v>
      </c>
      <c r="B4318" s="37">
        <v>1682167869</v>
      </c>
      <c r="C4318" s="38">
        <v>0.78332045571101849</v>
      </c>
      <c r="D4318" s="14" t="s">
        <v>4359</v>
      </c>
      <c r="E4318" s="14" t="s">
        <v>37</v>
      </c>
    </row>
    <row r="4319" spans="1:5" x14ac:dyDescent="0.25">
      <c r="A4319" s="36">
        <v>4317</v>
      </c>
      <c r="B4319" s="37">
        <v>2048008616</v>
      </c>
      <c r="C4319" s="38">
        <v>0.95367832898799254</v>
      </c>
      <c r="D4319" s="14" t="s">
        <v>4360</v>
      </c>
      <c r="E4319" s="14" t="s">
        <v>40</v>
      </c>
    </row>
    <row r="4320" spans="1:5" x14ac:dyDescent="0.25">
      <c r="A4320" s="36">
        <v>4318</v>
      </c>
      <c r="B4320" s="37">
        <v>1917047236</v>
      </c>
      <c r="C4320" s="38">
        <v>0.89269468416119679</v>
      </c>
      <c r="D4320" s="14" t="s">
        <v>4361</v>
      </c>
      <c r="E4320" s="14" t="s">
        <v>43</v>
      </c>
    </row>
    <row r="4321" spans="1:5" x14ac:dyDescent="0.25">
      <c r="A4321" s="36">
        <v>4319</v>
      </c>
      <c r="B4321" s="37">
        <v>196042412</v>
      </c>
      <c r="C4321" s="38">
        <v>9.1289361981344117E-2</v>
      </c>
      <c r="D4321" s="14" t="s">
        <v>4362</v>
      </c>
      <c r="E4321" s="14" t="s">
        <v>46</v>
      </c>
    </row>
    <row r="4322" spans="1:5" x14ac:dyDescent="0.25">
      <c r="A4322" s="36">
        <v>4320</v>
      </c>
      <c r="B4322" s="37">
        <v>1927125932</v>
      </c>
      <c r="C4322" s="38">
        <v>0.89738794271712563</v>
      </c>
      <c r="D4322" s="14" t="s">
        <v>4363</v>
      </c>
      <c r="E4322" s="14" t="s">
        <v>48</v>
      </c>
    </row>
    <row r="4323" spans="1:5" x14ac:dyDescent="0.25">
      <c r="A4323" s="36">
        <v>4321</v>
      </c>
      <c r="B4323" s="37">
        <v>295251448</v>
      </c>
      <c r="C4323" s="38">
        <v>0.13748716941917649</v>
      </c>
      <c r="D4323" s="14" t="s">
        <v>4364</v>
      </c>
      <c r="E4323" s="14" t="s">
        <v>37</v>
      </c>
    </row>
    <row r="4324" spans="1:5" x14ac:dyDescent="0.25">
      <c r="A4324" s="36">
        <v>4322</v>
      </c>
      <c r="B4324" s="37">
        <v>650286826</v>
      </c>
      <c r="C4324" s="38">
        <v>0.30281340065543233</v>
      </c>
      <c r="D4324" s="14" t="s">
        <v>4365</v>
      </c>
      <c r="E4324" s="14" t="s">
        <v>40</v>
      </c>
    </row>
    <row r="4325" spans="1:5" x14ac:dyDescent="0.25">
      <c r="A4325" s="36">
        <v>4323</v>
      </c>
      <c r="B4325" s="37">
        <v>2035517993</v>
      </c>
      <c r="C4325" s="38">
        <v>0.94786192939982838</v>
      </c>
      <c r="D4325" s="14" t="s">
        <v>4366</v>
      </c>
      <c r="E4325" s="14" t="s">
        <v>43</v>
      </c>
    </row>
    <row r="4326" spans="1:5" x14ac:dyDescent="0.25">
      <c r="A4326" s="36">
        <v>4324</v>
      </c>
      <c r="B4326" s="37">
        <v>751984768</v>
      </c>
      <c r="C4326" s="38">
        <v>0.35017019526575238</v>
      </c>
      <c r="D4326" s="14" t="s">
        <v>4367</v>
      </c>
      <c r="E4326" s="14" t="s">
        <v>46</v>
      </c>
    </row>
    <row r="4327" spans="1:5" x14ac:dyDescent="0.25">
      <c r="A4327" s="36">
        <v>4325</v>
      </c>
      <c r="B4327" s="37">
        <v>1108983474</v>
      </c>
      <c r="C4327" s="38">
        <v>0.51641067234632121</v>
      </c>
      <c r="D4327" s="14" t="s">
        <v>4368</v>
      </c>
      <c r="E4327" s="14" t="s">
        <v>48</v>
      </c>
    </row>
    <row r="4328" spans="1:5" x14ac:dyDescent="0.25">
      <c r="A4328" s="36">
        <v>4326</v>
      </c>
      <c r="B4328" s="37">
        <v>2032643107</v>
      </c>
      <c r="C4328" s="38">
        <v>0.946523206283582</v>
      </c>
      <c r="D4328" s="14" t="s">
        <v>4369</v>
      </c>
      <c r="E4328" s="14" t="s">
        <v>37</v>
      </c>
    </row>
    <row r="4329" spans="1:5" x14ac:dyDescent="0.25">
      <c r="A4329" s="36">
        <v>4327</v>
      </c>
      <c r="B4329" s="37">
        <v>25931134</v>
      </c>
      <c r="C4329" s="38">
        <v>1.2075125245412405E-2</v>
      </c>
      <c r="D4329" s="14" t="s">
        <v>4370</v>
      </c>
      <c r="E4329" s="14" t="s">
        <v>40</v>
      </c>
    </row>
    <row r="4330" spans="1:5" x14ac:dyDescent="0.25">
      <c r="A4330" s="36">
        <v>4328</v>
      </c>
      <c r="B4330" s="37">
        <v>1760904520</v>
      </c>
      <c r="C4330" s="38">
        <v>0.81998506599105203</v>
      </c>
      <c r="D4330" s="14" t="s">
        <v>4371</v>
      </c>
      <c r="E4330" s="14" t="s">
        <v>43</v>
      </c>
    </row>
    <row r="4331" spans="1:5" x14ac:dyDescent="0.25">
      <c r="A4331" s="36">
        <v>4329</v>
      </c>
      <c r="B4331" s="37">
        <v>245037981</v>
      </c>
      <c r="C4331" s="38">
        <v>0.11410470172488349</v>
      </c>
      <c r="D4331" s="14" t="s">
        <v>4372</v>
      </c>
      <c r="E4331" s="14" t="s">
        <v>46</v>
      </c>
    </row>
    <row r="4332" spans="1:5" x14ac:dyDescent="0.25">
      <c r="A4332" s="36">
        <v>4330</v>
      </c>
      <c r="B4332" s="37">
        <v>1290153538</v>
      </c>
      <c r="C4332" s="38">
        <v>0.60077455760947174</v>
      </c>
      <c r="D4332" s="14" t="s">
        <v>4373</v>
      </c>
      <c r="E4332" s="14" t="s">
        <v>48</v>
      </c>
    </row>
    <row r="4333" spans="1:5" x14ac:dyDescent="0.25">
      <c r="A4333" s="36">
        <v>4331</v>
      </c>
      <c r="B4333" s="37">
        <v>1594809085</v>
      </c>
      <c r="C4333" s="38">
        <v>0.7426408518769968</v>
      </c>
      <c r="D4333" s="14" t="s">
        <v>4374</v>
      </c>
      <c r="E4333" s="14" t="s">
        <v>37</v>
      </c>
    </row>
    <row r="4334" spans="1:5" x14ac:dyDescent="0.25">
      <c r="A4334" s="36">
        <v>4332</v>
      </c>
      <c r="B4334" s="37">
        <v>1580776680</v>
      </c>
      <c r="C4334" s="38">
        <v>0.73610650409763045</v>
      </c>
      <c r="D4334" s="14" t="s">
        <v>4375</v>
      </c>
      <c r="E4334" s="14" t="s">
        <v>40</v>
      </c>
    </row>
    <row r="4335" spans="1:5" x14ac:dyDescent="0.25">
      <c r="A4335" s="36">
        <v>4333</v>
      </c>
      <c r="B4335" s="37">
        <v>323988827</v>
      </c>
      <c r="C4335" s="38">
        <v>0.15086905432439832</v>
      </c>
      <c r="D4335" s="14" t="s">
        <v>4376</v>
      </c>
      <c r="E4335" s="14" t="s">
        <v>43</v>
      </c>
    </row>
    <row r="4336" spans="1:5" x14ac:dyDescent="0.25">
      <c r="A4336" s="36">
        <v>4334</v>
      </c>
      <c r="B4336" s="37">
        <v>1685313523</v>
      </c>
      <c r="C4336" s="38">
        <v>0.78478526500276535</v>
      </c>
      <c r="D4336" s="14" t="s">
        <v>4377</v>
      </c>
      <c r="E4336" s="14" t="s">
        <v>46</v>
      </c>
    </row>
    <row r="4337" spans="1:5" x14ac:dyDescent="0.25">
      <c r="A4337" s="36">
        <v>4335</v>
      </c>
      <c r="B4337" s="37">
        <v>355117933</v>
      </c>
      <c r="C4337" s="38">
        <v>0.16536467390384743</v>
      </c>
      <c r="D4337" s="14" t="s">
        <v>4378</v>
      </c>
      <c r="E4337" s="14" t="s">
        <v>48</v>
      </c>
    </row>
    <row r="4338" spans="1:5" x14ac:dyDescent="0.25">
      <c r="A4338" s="36">
        <v>4336</v>
      </c>
      <c r="B4338" s="37">
        <v>227559710</v>
      </c>
      <c r="C4338" s="38">
        <v>0.10596574754731997</v>
      </c>
      <c r="D4338" s="14" t="s">
        <v>4379</v>
      </c>
      <c r="E4338" s="14" t="s">
        <v>37</v>
      </c>
    </row>
    <row r="4339" spans="1:5" x14ac:dyDescent="0.25">
      <c r="A4339" s="36">
        <v>4337</v>
      </c>
      <c r="B4339" s="37">
        <v>232083172</v>
      </c>
      <c r="C4339" s="38">
        <v>0.10807214868630849</v>
      </c>
      <c r="D4339" s="14" t="s">
        <v>4380</v>
      </c>
      <c r="E4339" s="14" t="s">
        <v>40</v>
      </c>
    </row>
    <row r="4340" spans="1:5" x14ac:dyDescent="0.25">
      <c r="A4340" s="36">
        <v>4338</v>
      </c>
      <c r="B4340" s="37">
        <v>570002340</v>
      </c>
      <c r="C4340" s="38">
        <v>0.26542802353642325</v>
      </c>
      <c r="D4340" s="14" t="s">
        <v>4381</v>
      </c>
      <c r="E4340" s="14" t="s">
        <v>43</v>
      </c>
    </row>
    <row r="4341" spans="1:5" x14ac:dyDescent="0.25">
      <c r="A4341" s="36">
        <v>4339</v>
      </c>
      <c r="B4341" s="37">
        <v>113844359</v>
      </c>
      <c r="C4341" s="38">
        <v>5.301291078935047E-2</v>
      </c>
      <c r="D4341" s="14" t="s">
        <v>4382</v>
      </c>
      <c r="E4341" s="14" t="s">
        <v>46</v>
      </c>
    </row>
    <row r="4342" spans="1:5" x14ac:dyDescent="0.25">
      <c r="A4342" s="36">
        <v>4340</v>
      </c>
      <c r="B4342" s="37">
        <v>1691073771</v>
      </c>
      <c r="C4342" s="38">
        <v>0.78746758950290618</v>
      </c>
      <c r="D4342" s="14" t="s">
        <v>4383</v>
      </c>
      <c r="E4342" s="14" t="s">
        <v>48</v>
      </c>
    </row>
    <row r="4343" spans="1:5" x14ac:dyDescent="0.25">
      <c r="A4343" s="36">
        <v>4341</v>
      </c>
      <c r="B4343" s="37">
        <v>2064919925</v>
      </c>
      <c r="C4343" s="38">
        <v>0.96155327091065856</v>
      </c>
      <c r="D4343" s="14" t="s">
        <v>4384</v>
      </c>
      <c r="E4343" s="14" t="s">
        <v>37</v>
      </c>
    </row>
    <row r="4344" spans="1:5" x14ac:dyDescent="0.25">
      <c r="A4344" s="36">
        <v>4342</v>
      </c>
      <c r="B4344" s="37">
        <v>1998015585</v>
      </c>
      <c r="C4344" s="38">
        <v>0.93039850980527627</v>
      </c>
      <c r="D4344" s="14" t="s">
        <v>4385</v>
      </c>
      <c r="E4344" s="14" t="s">
        <v>40</v>
      </c>
    </row>
    <row r="4345" spans="1:5" x14ac:dyDescent="0.25">
      <c r="A4345" s="36">
        <v>4343</v>
      </c>
      <c r="B4345" s="37">
        <v>110959564</v>
      </c>
      <c r="C4345" s="38">
        <v>5.1669573435405999E-2</v>
      </c>
      <c r="D4345" s="14" t="s">
        <v>4386</v>
      </c>
      <c r="E4345" s="14" t="s">
        <v>43</v>
      </c>
    </row>
    <row r="4346" spans="1:5" x14ac:dyDescent="0.25">
      <c r="A4346" s="36">
        <v>4344</v>
      </c>
      <c r="B4346" s="37">
        <v>1651111088</v>
      </c>
      <c r="C4346" s="38">
        <v>0.76885851508418956</v>
      </c>
      <c r="D4346" s="14" t="s">
        <v>4387</v>
      </c>
      <c r="E4346" s="14" t="s">
        <v>46</v>
      </c>
    </row>
    <row r="4347" spans="1:5" x14ac:dyDescent="0.25">
      <c r="A4347" s="36">
        <v>4345</v>
      </c>
      <c r="B4347" s="37">
        <v>1485965175</v>
      </c>
      <c r="C4347" s="38">
        <v>0.69195645660718741</v>
      </c>
      <c r="D4347" s="14" t="s">
        <v>4388</v>
      </c>
      <c r="E4347" s="14" t="s">
        <v>48</v>
      </c>
    </row>
    <row r="4348" spans="1:5" x14ac:dyDescent="0.25">
      <c r="A4348" s="36">
        <v>4346</v>
      </c>
      <c r="B4348" s="37">
        <v>629363085</v>
      </c>
      <c r="C4348" s="38">
        <v>0.29307002448154151</v>
      </c>
      <c r="D4348" s="14" t="s">
        <v>4389</v>
      </c>
      <c r="E4348" s="14" t="s">
        <v>37</v>
      </c>
    </row>
    <row r="4349" spans="1:5" x14ac:dyDescent="0.25">
      <c r="A4349" s="36">
        <v>4347</v>
      </c>
      <c r="B4349" s="37">
        <v>1835317014</v>
      </c>
      <c r="C4349" s="38">
        <v>0.8546360837550071</v>
      </c>
      <c r="D4349" s="14" t="s">
        <v>4390</v>
      </c>
      <c r="E4349" s="14" t="s">
        <v>40</v>
      </c>
    </row>
    <row r="4350" spans="1:5" x14ac:dyDescent="0.25">
      <c r="A4350" s="36">
        <v>4348</v>
      </c>
      <c r="B4350" s="37">
        <v>1287305312</v>
      </c>
      <c r="C4350" s="38">
        <v>0.59944824902315075</v>
      </c>
      <c r="D4350" s="14" t="s">
        <v>4391</v>
      </c>
      <c r="E4350" s="14" t="s">
        <v>43</v>
      </c>
    </row>
    <row r="4351" spans="1:5" x14ac:dyDescent="0.25">
      <c r="A4351" s="36">
        <v>4349</v>
      </c>
      <c r="B4351" s="37">
        <v>147835364</v>
      </c>
      <c r="C4351" s="38">
        <v>6.8841205941904904E-2</v>
      </c>
      <c r="D4351" s="14" t="s">
        <v>4392</v>
      </c>
      <c r="E4351" s="14" t="s">
        <v>46</v>
      </c>
    </row>
    <row r="4352" spans="1:5" x14ac:dyDescent="0.25">
      <c r="A4352" s="36">
        <v>4350</v>
      </c>
      <c r="B4352" s="37">
        <v>817023887</v>
      </c>
      <c r="C4352" s="38">
        <v>0.38045639515875673</v>
      </c>
      <c r="D4352" s="14" t="s">
        <v>4393</v>
      </c>
      <c r="E4352" s="14" t="s">
        <v>48</v>
      </c>
    </row>
    <row r="4353" spans="1:5" x14ac:dyDescent="0.25">
      <c r="A4353" s="36">
        <v>4351</v>
      </c>
      <c r="B4353" s="37">
        <v>1402924385</v>
      </c>
      <c r="C4353" s="38">
        <v>0.65328757541872917</v>
      </c>
      <c r="D4353" s="14" t="s">
        <v>4394</v>
      </c>
      <c r="E4353" s="14" t="s">
        <v>37</v>
      </c>
    </row>
    <row r="4354" spans="1:5" x14ac:dyDescent="0.25">
      <c r="A4354" s="36">
        <v>4352</v>
      </c>
      <c r="B4354" s="37">
        <v>2090811137</v>
      </c>
      <c r="C4354" s="38">
        <v>0.97360980602615044</v>
      </c>
      <c r="D4354" s="14" t="s">
        <v>4395</v>
      </c>
      <c r="E4354" s="14" t="s">
        <v>40</v>
      </c>
    </row>
    <row r="4355" spans="1:5" x14ac:dyDescent="0.25">
      <c r="A4355" s="36">
        <v>4353</v>
      </c>
      <c r="B4355" s="37">
        <v>718358242</v>
      </c>
      <c r="C4355" s="38">
        <v>0.33451162387361361</v>
      </c>
      <c r="D4355" s="14" t="s">
        <v>4396</v>
      </c>
      <c r="E4355" s="14" t="s">
        <v>43</v>
      </c>
    </row>
    <row r="4356" spans="1:5" x14ac:dyDescent="0.25">
      <c r="A4356" s="36">
        <v>4354</v>
      </c>
      <c r="B4356" s="37">
        <v>929568732</v>
      </c>
      <c r="C4356" s="38">
        <v>0.43286417258571097</v>
      </c>
      <c r="D4356" s="14" t="s">
        <v>4397</v>
      </c>
      <c r="E4356" s="14" t="s">
        <v>46</v>
      </c>
    </row>
    <row r="4357" spans="1:5" x14ac:dyDescent="0.25">
      <c r="A4357" s="36">
        <v>4355</v>
      </c>
      <c r="B4357" s="37">
        <v>1522585612</v>
      </c>
      <c r="C4357" s="38">
        <v>0.70900917645032013</v>
      </c>
      <c r="D4357" s="14" t="s">
        <v>4398</v>
      </c>
      <c r="E4357" s="14" t="s">
        <v>48</v>
      </c>
    </row>
    <row r="4358" spans="1:5" x14ac:dyDescent="0.25">
      <c r="A4358" s="36">
        <v>4356</v>
      </c>
      <c r="B4358" s="37">
        <v>2086424062</v>
      </c>
      <c r="C4358" s="38">
        <v>0.97156691503318349</v>
      </c>
      <c r="D4358" s="14" t="s">
        <v>4399</v>
      </c>
      <c r="E4358" s="14" t="s">
        <v>37</v>
      </c>
    </row>
    <row r="4359" spans="1:5" x14ac:dyDescent="0.25">
      <c r="A4359" s="36">
        <v>4357</v>
      </c>
      <c r="B4359" s="37">
        <v>1914227314</v>
      </c>
      <c r="C4359" s="38">
        <v>0.89138155565195787</v>
      </c>
      <c r="D4359" s="14" t="s">
        <v>4400</v>
      </c>
      <c r="E4359" s="14" t="s">
        <v>40</v>
      </c>
    </row>
    <row r="4360" spans="1:5" x14ac:dyDescent="0.25">
      <c r="A4360" s="36">
        <v>4358</v>
      </c>
      <c r="B4360" s="37">
        <v>764627704</v>
      </c>
      <c r="C4360" s="38">
        <v>0.35605752112160322</v>
      </c>
      <c r="D4360" s="14" t="s">
        <v>4401</v>
      </c>
      <c r="E4360" s="14" t="s">
        <v>43</v>
      </c>
    </row>
    <row r="4361" spans="1:5" x14ac:dyDescent="0.25">
      <c r="A4361" s="36">
        <v>4359</v>
      </c>
      <c r="B4361" s="37">
        <v>252288274</v>
      </c>
      <c r="C4361" s="38">
        <v>0.11748088249819394</v>
      </c>
      <c r="D4361" s="14" t="s">
        <v>4402</v>
      </c>
      <c r="E4361" s="14" t="s">
        <v>46</v>
      </c>
    </row>
    <row r="4362" spans="1:5" x14ac:dyDescent="0.25">
      <c r="A4362" s="36">
        <v>4360</v>
      </c>
      <c r="B4362" s="37">
        <v>726013223</v>
      </c>
      <c r="C4362" s="38">
        <v>0.33807625218204979</v>
      </c>
      <c r="D4362" s="14" t="s">
        <v>4403</v>
      </c>
      <c r="E4362" s="14" t="s">
        <v>48</v>
      </c>
    </row>
    <row r="4363" spans="1:5" x14ac:dyDescent="0.25">
      <c r="A4363" s="36">
        <v>4361</v>
      </c>
      <c r="B4363" s="37">
        <v>1816340106</v>
      </c>
      <c r="C4363" s="38">
        <v>0.84579927234249153</v>
      </c>
      <c r="D4363" s="14" t="s">
        <v>4404</v>
      </c>
      <c r="E4363" s="14" t="s">
        <v>37</v>
      </c>
    </row>
    <row r="4364" spans="1:5" x14ac:dyDescent="0.25">
      <c r="A4364" s="36">
        <v>4362</v>
      </c>
      <c r="B4364" s="37">
        <v>1086480335</v>
      </c>
      <c r="C4364" s="38">
        <v>0.50593183166623668</v>
      </c>
      <c r="D4364" s="14" t="s">
        <v>4405</v>
      </c>
      <c r="E4364" s="14" t="s">
        <v>40</v>
      </c>
    </row>
    <row r="4365" spans="1:5" x14ac:dyDescent="0.25">
      <c r="A4365" s="36">
        <v>4363</v>
      </c>
      <c r="B4365" s="37">
        <v>1404970106</v>
      </c>
      <c r="C4365" s="38">
        <v>0.65424018849350518</v>
      </c>
      <c r="D4365" s="14" t="s">
        <v>4406</v>
      </c>
      <c r="E4365" s="14" t="s">
        <v>43</v>
      </c>
    </row>
    <row r="4366" spans="1:5" x14ac:dyDescent="0.25">
      <c r="A4366" s="36">
        <v>4364</v>
      </c>
      <c r="B4366" s="37">
        <v>1335494520</v>
      </c>
      <c r="C4366" s="38">
        <v>0.62188809766522057</v>
      </c>
      <c r="D4366" s="14" t="s">
        <v>4407</v>
      </c>
      <c r="E4366" s="14" t="s">
        <v>46</v>
      </c>
    </row>
    <row r="4367" spans="1:5" x14ac:dyDescent="0.25">
      <c r="A4367" s="36">
        <v>4365</v>
      </c>
      <c r="B4367" s="37">
        <v>1627582467</v>
      </c>
      <c r="C4367" s="38">
        <v>0.75790214713565174</v>
      </c>
      <c r="D4367" s="14" t="s">
        <v>4408</v>
      </c>
      <c r="E4367" s="14" t="s">
        <v>48</v>
      </c>
    </row>
    <row r="4368" spans="1:5" x14ac:dyDescent="0.25">
      <c r="A4368" s="36">
        <v>4366</v>
      </c>
      <c r="B4368" s="37">
        <v>1167365489</v>
      </c>
      <c r="C4368" s="38">
        <v>0.5435969166195006</v>
      </c>
      <c r="D4368" s="14" t="s">
        <v>4409</v>
      </c>
      <c r="E4368" s="14" t="s">
        <v>37</v>
      </c>
    </row>
    <row r="4369" spans="1:5" x14ac:dyDescent="0.25">
      <c r="A4369" s="36">
        <v>4367</v>
      </c>
      <c r="B4369" s="37">
        <v>278683291</v>
      </c>
      <c r="C4369" s="38">
        <v>0.12977202009864711</v>
      </c>
      <c r="D4369" s="14" t="s">
        <v>4410</v>
      </c>
      <c r="E4369" s="14" t="s">
        <v>40</v>
      </c>
    </row>
    <row r="4370" spans="1:5" x14ac:dyDescent="0.25">
      <c r="A4370" s="36">
        <v>4368</v>
      </c>
      <c r="B4370" s="37">
        <v>523751175</v>
      </c>
      <c r="C4370" s="38">
        <v>0.24389064649301145</v>
      </c>
      <c r="D4370" s="14" t="s">
        <v>4411</v>
      </c>
      <c r="E4370" s="14" t="s">
        <v>43</v>
      </c>
    </row>
    <row r="4371" spans="1:5" x14ac:dyDescent="0.25">
      <c r="A4371" s="36">
        <v>4369</v>
      </c>
      <c r="B4371" s="37">
        <v>1182167684</v>
      </c>
      <c r="C4371" s="38">
        <v>0.55048972580139044</v>
      </c>
      <c r="D4371" s="14" t="s">
        <v>4412</v>
      </c>
      <c r="E4371" s="14" t="s">
        <v>46</v>
      </c>
    </row>
    <row r="4372" spans="1:5" x14ac:dyDescent="0.25">
      <c r="A4372" s="36">
        <v>4370</v>
      </c>
      <c r="B4372" s="37">
        <v>822433635</v>
      </c>
      <c r="C4372" s="38">
        <v>0.38297550537762021</v>
      </c>
      <c r="D4372" s="14" t="s">
        <v>4413</v>
      </c>
      <c r="E4372" s="14" t="s">
        <v>48</v>
      </c>
    </row>
    <row r="4373" spans="1:5" x14ac:dyDescent="0.25">
      <c r="A4373" s="36">
        <v>4371</v>
      </c>
      <c r="B4373" s="37">
        <v>1664782214</v>
      </c>
      <c r="C4373" s="38">
        <v>0.77522462921926039</v>
      </c>
      <c r="D4373" s="14" t="s">
        <v>4414</v>
      </c>
      <c r="E4373" s="14" t="s">
        <v>37</v>
      </c>
    </row>
    <row r="4374" spans="1:5" x14ac:dyDescent="0.25">
      <c r="A4374" s="36">
        <v>4372</v>
      </c>
      <c r="B4374" s="37">
        <v>532763066</v>
      </c>
      <c r="C4374" s="38">
        <v>0.24808713525910261</v>
      </c>
      <c r="D4374" s="14" t="s">
        <v>4415</v>
      </c>
      <c r="E4374" s="14" t="s">
        <v>40</v>
      </c>
    </row>
    <row r="4375" spans="1:5" x14ac:dyDescent="0.25">
      <c r="A4375" s="36">
        <v>4373</v>
      </c>
      <c r="B4375" s="37">
        <v>1526760164</v>
      </c>
      <c r="C4375" s="38">
        <v>0.7109531037094784</v>
      </c>
      <c r="D4375" s="14" t="s">
        <v>4416</v>
      </c>
      <c r="E4375" s="14" t="s">
        <v>43</v>
      </c>
    </row>
    <row r="4376" spans="1:5" x14ac:dyDescent="0.25">
      <c r="A4376" s="36">
        <v>4374</v>
      </c>
      <c r="B4376" s="37">
        <v>1475510170</v>
      </c>
      <c r="C4376" s="38">
        <v>0.68708796551781148</v>
      </c>
      <c r="D4376" s="14" t="s">
        <v>4417</v>
      </c>
      <c r="E4376" s="14" t="s">
        <v>46</v>
      </c>
    </row>
    <row r="4377" spans="1:5" x14ac:dyDescent="0.25">
      <c r="A4377" s="36">
        <v>4375</v>
      </c>
      <c r="B4377" s="37">
        <v>1219640748</v>
      </c>
      <c r="C4377" s="38">
        <v>0.56793948103112146</v>
      </c>
      <c r="D4377" s="14" t="s">
        <v>4418</v>
      </c>
      <c r="E4377" s="14" t="s">
        <v>48</v>
      </c>
    </row>
    <row r="4378" spans="1:5" x14ac:dyDescent="0.25">
      <c r="A4378" s="36">
        <v>4376</v>
      </c>
      <c r="B4378" s="37">
        <v>2011761120</v>
      </c>
      <c r="C4378" s="38">
        <v>0.93679927333109048</v>
      </c>
      <c r="D4378" s="14" t="s">
        <v>4419</v>
      </c>
      <c r="E4378" s="14" t="s">
        <v>37</v>
      </c>
    </row>
    <row r="4379" spans="1:5" x14ac:dyDescent="0.25">
      <c r="A4379" s="36">
        <v>4377</v>
      </c>
      <c r="B4379" s="37">
        <v>606830301</v>
      </c>
      <c r="C4379" s="38">
        <v>0.28257737927258825</v>
      </c>
      <c r="D4379" s="14" t="s">
        <v>4420</v>
      </c>
      <c r="E4379" s="14" t="s">
        <v>40</v>
      </c>
    </row>
    <row r="4380" spans="1:5" x14ac:dyDescent="0.25">
      <c r="A4380" s="36">
        <v>4378</v>
      </c>
      <c r="B4380" s="37">
        <v>1254924269</v>
      </c>
      <c r="C4380" s="38">
        <v>0.58436965084838199</v>
      </c>
      <c r="D4380" s="14" t="s">
        <v>4421</v>
      </c>
      <c r="E4380" s="14" t="s">
        <v>43</v>
      </c>
    </row>
    <row r="4381" spans="1:5" x14ac:dyDescent="0.25">
      <c r="A4381" s="36">
        <v>4379</v>
      </c>
      <c r="B4381" s="37">
        <v>784291842</v>
      </c>
      <c r="C4381" s="38">
        <v>0.36521434894074423</v>
      </c>
      <c r="D4381" s="14" t="s">
        <v>4422</v>
      </c>
      <c r="E4381" s="14" t="s">
        <v>46</v>
      </c>
    </row>
    <row r="4382" spans="1:5" x14ac:dyDescent="0.25">
      <c r="A4382" s="36">
        <v>4380</v>
      </c>
      <c r="B4382" s="37">
        <v>1903328797</v>
      </c>
      <c r="C4382" s="38">
        <v>0.88630653819362937</v>
      </c>
      <c r="D4382" s="14" t="s">
        <v>4423</v>
      </c>
      <c r="E4382" s="14" t="s">
        <v>48</v>
      </c>
    </row>
    <row r="4383" spans="1:5" x14ac:dyDescent="0.25">
      <c r="A4383" s="36">
        <v>4381</v>
      </c>
      <c r="B4383" s="37">
        <v>1852468135</v>
      </c>
      <c r="C4383" s="38">
        <v>0.86262269684235693</v>
      </c>
      <c r="D4383" s="14" t="s">
        <v>4424</v>
      </c>
      <c r="E4383" s="14" t="s">
        <v>37</v>
      </c>
    </row>
    <row r="4384" spans="1:5" x14ac:dyDescent="0.25">
      <c r="A4384" s="36">
        <v>4382</v>
      </c>
      <c r="B4384" s="37">
        <v>1109384619</v>
      </c>
      <c r="C4384" s="38">
        <v>0.51659747004350531</v>
      </c>
      <c r="D4384" s="14" t="s">
        <v>4425</v>
      </c>
      <c r="E4384" s="14" t="s">
        <v>40</v>
      </c>
    </row>
    <row r="4385" spans="1:5" x14ac:dyDescent="0.25">
      <c r="A4385" s="36">
        <v>4383</v>
      </c>
      <c r="B4385" s="37">
        <v>1881110015</v>
      </c>
      <c r="C4385" s="38">
        <v>0.87596011156028142</v>
      </c>
      <c r="D4385" s="14" t="s">
        <v>4426</v>
      </c>
      <c r="E4385" s="14" t="s">
        <v>43</v>
      </c>
    </row>
    <row r="4386" spans="1:5" x14ac:dyDescent="0.25">
      <c r="A4386" s="36">
        <v>4384</v>
      </c>
      <c r="B4386" s="37">
        <v>2097728219</v>
      </c>
      <c r="C4386" s="38">
        <v>0.97683082333618343</v>
      </c>
      <c r="D4386" s="14" t="s">
        <v>4427</v>
      </c>
      <c r="E4386" s="14" t="s">
        <v>46</v>
      </c>
    </row>
    <row r="4387" spans="1:5" x14ac:dyDescent="0.25">
      <c r="A4387" s="36">
        <v>4385</v>
      </c>
      <c r="B4387" s="37">
        <v>1714442725</v>
      </c>
      <c r="C4387" s="38">
        <v>0.79834960671064892</v>
      </c>
      <c r="D4387" s="14" t="s">
        <v>4428</v>
      </c>
      <c r="E4387" s="14" t="s">
        <v>48</v>
      </c>
    </row>
    <row r="4388" spans="1:5" x14ac:dyDescent="0.25">
      <c r="A4388" s="36">
        <v>4386</v>
      </c>
      <c r="B4388" s="37">
        <v>754295017</v>
      </c>
      <c r="C4388" s="38">
        <v>0.35124598878959473</v>
      </c>
      <c r="D4388" s="14" t="s">
        <v>4429</v>
      </c>
      <c r="E4388" s="14" t="s">
        <v>37</v>
      </c>
    </row>
    <row r="4389" spans="1:5" x14ac:dyDescent="0.25">
      <c r="A4389" s="36">
        <v>4387</v>
      </c>
      <c r="B4389" s="37">
        <v>432988422</v>
      </c>
      <c r="C4389" s="38">
        <v>0.20162594607175605</v>
      </c>
      <c r="D4389" s="14" t="s">
        <v>4430</v>
      </c>
      <c r="E4389" s="14" t="s">
        <v>40</v>
      </c>
    </row>
    <row r="4390" spans="1:5" x14ac:dyDescent="0.25">
      <c r="A4390" s="36">
        <v>4388</v>
      </c>
      <c r="B4390" s="37">
        <v>1932780456</v>
      </c>
      <c r="C4390" s="38">
        <v>0.90002103564330427</v>
      </c>
      <c r="D4390" s="14" t="s">
        <v>4431</v>
      </c>
      <c r="E4390" s="14" t="s">
        <v>43</v>
      </c>
    </row>
    <row r="4391" spans="1:5" x14ac:dyDescent="0.25">
      <c r="A4391" s="36">
        <v>4389</v>
      </c>
      <c r="B4391" s="37">
        <v>2118471394</v>
      </c>
      <c r="C4391" s="38">
        <v>0.9864901169140311</v>
      </c>
      <c r="D4391" s="14" t="s">
        <v>4432</v>
      </c>
      <c r="E4391" s="14" t="s">
        <v>46</v>
      </c>
    </row>
    <row r="4392" spans="1:5" x14ac:dyDescent="0.25">
      <c r="A4392" s="36">
        <v>4390</v>
      </c>
      <c r="B4392" s="37">
        <v>2005733134</v>
      </c>
      <c r="C4392" s="38">
        <v>0.93399227360915038</v>
      </c>
      <c r="D4392" s="14" t="s">
        <v>4433</v>
      </c>
      <c r="E4392" s="14" t="s">
        <v>48</v>
      </c>
    </row>
    <row r="4393" spans="1:5" x14ac:dyDescent="0.25">
      <c r="A4393" s="36">
        <v>4391</v>
      </c>
      <c r="B4393" s="37">
        <v>2064516082</v>
      </c>
      <c r="C4393" s="38">
        <v>0.96136521685932075</v>
      </c>
      <c r="D4393" s="14" t="s">
        <v>4434</v>
      </c>
      <c r="E4393" s="14" t="s">
        <v>37</v>
      </c>
    </row>
    <row r="4394" spans="1:5" x14ac:dyDescent="0.25">
      <c r="A4394" s="36">
        <v>4392</v>
      </c>
      <c r="B4394" s="37">
        <v>1953627521</v>
      </c>
      <c r="C4394" s="38">
        <v>0.90972870677231288</v>
      </c>
      <c r="D4394" s="14" t="s">
        <v>4435</v>
      </c>
      <c r="E4394" s="14" t="s">
        <v>40</v>
      </c>
    </row>
    <row r="4395" spans="1:5" x14ac:dyDescent="0.25">
      <c r="A4395" s="36">
        <v>4393</v>
      </c>
      <c r="B4395" s="37">
        <v>1391088646</v>
      </c>
      <c r="C4395" s="38">
        <v>0.64777612995718425</v>
      </c>
      <c r="D4395" s="14" t="s">
        <v>4436</v>
      </c>
      <c r="E4395" s="14" t="s">
        <v>43</v>
      </c>
    </row>
    <row r="4396" spans="1:5" x14ac:dyDescent="0.25">
      <c r="A4396" s="36">
        <v>4394</v>
      </c>
      <c r="B4396" s="37">
        <v>74846093</v>
      </c>
      <c r="C4396" s="38">
        <v>3.4852928032564429E-2</v>
      </c>
      <c r="D4396" s="14" t="s">
        <v>4437</v>
      </c>
      <c r="E4396" s="14" t="s">
        <v>46</v>
      </c>
    </row>
    <row r="4397" spans="1:5" x14ac:dyDescent="0.25">
      <c r="A4397" s="36">
        <v>4395</v>
      </c>
      <c r="B4397" s="37">
        <v>90557990</v>
      </c>
      <c r="C4397" s="38">
        <v>4.2169350219038011E-2</v>
      </c>
      <c r="D4397" s="14" t="s">
        <v>4438</v>
      </c>
      <c r="E4397" s="14" t="s">
        <v>48</v>
      </c>
    </row>
    <row r="4398" spans="1:5" x14ac:dyDescent="0.25">
      <c r="A4398" s="36">
        <v>4396</v>
      </c>
      <c r="B4398" s="37">
        <v>880058749</v>
      </c>
      <c r="C4398" s="38">
        <v>0.40980929015661088</v>
      </c>
      <c r="D4398" s="14" t="s">
        <v>4439</v>
      </c>
      <c r="E4398" s="14" t="s">
        <v>37</v>
      </c>
    </row>
    <row r="4399" spans="1:5" x14ac:dyDescent="0.25">
      <c r="A4399" s="36">
        <v>4397</v>
      </c>
      <c r="B4399" s="37">
        <v>603086162</v>
      </c>
      <c r="C4399" s="38">
        <v>0.28083387868517723</v>
      </c>
      <c r="D4399" s="14" t="s">
        <v>4440</v>
      </c>
      <c r="E4399" s="14" t="s">
        <v>40</v>
      </c>
    </row>
    <row r="4400" spans="1:5" x14ac:dyDescent="0.25">
      <c r="A4400" s="36">
        <v>4398</v>
      </c>
      <c r="B4400" s="37">
        <v>1039498888</v>
      </c>
      <c r="C4400" s="38">
        <v>0.48405439056644889</v>
      </c>
      <c r="D4400" s="14" t="s">
        <v>4441</v>
      </c>
      <c r="E4400" s="14" t="s">
        <v>43</v>
      </c>
    </row>
    <row r="4401" spans="1:5" x14ac:dyDescent="0.25">
      <c r="A4401" s="36">
        <v>4399</v>
      </c>
      <c r="B4401" s="37">
        <v>228907936</v>
      </c>
      <c r="C4401" s="38">
        <v>0.10659356420235409</v>
      </c>
      <c r="D4401" s="14" t="s">
        <v>4442</v>
      </c>
      <c r="E4401" s="14" t="s">
        <v>46</v>
      </c>
    </row>
    <row r="4402" spans="1:5" x14ac:dyDescent="0.25">
      <c r="A4402" s="36">
        <v>4400</v>
      </c>
      <c r="B4402" s="37">
        <v>267554707</v>
      </c>
      <c r="C4402" s="38">
        <v>0.12458986934488167</v>
      </c>
      <c r="D4402" s="14" t="s">
        <v>4443</v>
      </c>
      <c r="E4402" s="14" t="s">
        <v>48</v>
      </c>
    </row>
    <row r="4403" spans="1:5" x14ac:dyDescent="0.25">
      <c r="A4403" s="36">
        <v>4401</v>
      </c>
      <c r="B4403" s="37">
        <v>911407597</v>
      </c>
      <c r="C4403" s="38">
        <v>0.42440723507870326</v>
      </c>
      <c r="D4403" s="14" t="s">
        <v>4444</v>
      </c>
      <c r="E4403" s="14" t="s">
        <v>37</v>
      </c>
    </row>
    <row r="4404" spans="1:5" x14ac:dyDescent="0.25">
      <c r="A4404" s="36">
        <v>4402</v>
      </c>
      <c r="B4404" s="37">
        <v>1986648556</v>
      </c>
      <c r="C4404" s="38">
        <v>0.92510532444580706</v>
      </c>
      <c r="D4404" s="14" t="s">
        <v>4445</v>
      </c>
      <c r="E4404" s="14" t="s">
        <v>40</v>
      </c>
    </row>
    <row r="4405" spans="1:5" x14ac:dyDescent="0.25">
      <c r="A4405" s="36">
        <v>4403</v>
      </c>
      <c r="B4405" s="37">
        <v>885427056</v>
      </c>
      <c r="C4405" s="38">
        <v>0.4123091029060581</v>
      </c>
      <c r="D4405" s="14" t="s">
        <v>4446</v>
      </c>
      <c r="E4405" s="14" t="s">
        <v>43</v>
      </c>
    </row>
    <row r="4406" spans="1:5" x14ac:dyDescent="0.25">
      <c r="A4406" s="36">
        <v>4404</v>
      </c>
      <c r="B4406" s="37">
        <v>604840170</v>
      </c>
      <c r="C4406" s="38">
        <v>0.28165065230878567</v>
      </c>
      <c r="D4406" s="14" t="s">
        <v>4447</v>
      </c>
      <c r="E4406" s="14" t="s">
        <v>46</v>
      </c>
    </row>
    <row r="4407" spans="1:5" x14ac:dyDescent="0.25">
      <c r="A4407" s="36">
        <v>4405</v>
      </c>
      <c r="B4407" s="37">
        <v>51905168</v>
      </c>
      <c r="C4407" s="38">
        <v>2.4170227360059613E-2</v>
      </c>
      <c r="D4407" s="14" t="s">
        <v>4448</v>
      </c>
      <c r="E4407" s="14" t="s">
        <v>48</v>
      </c>
    </row>
    <row r="4408" spans="1:5" x14ac:dyDescent="0.25">
      <c r="A4408" s="36">
        <v>4406</v>
      </c>
      <c r="B4408" s="37">
        <v>901583319</v>
      </c>
      <c r="C4408" s="38">
        <v>0.41983244913622386</v>
      </c>
      <c r="D4408" s="14" t="s">
        <v>4449</v>
      </c>
      <c r="E4408" s="14" t="s">
        <v>37</v>
      </c>
    </row>
    <row r="4409" spans="1:5" x14ac:dyDescent="0.25">
      <c r="A4409" s="36">
        <v>4407</v>
      </c>
      <c r="B4409" s="37">
        <v>170798864</v>
      </c>
      <c r="C4409" s="38">
        <v>7.953441891797558E-2</v>
      </c>
      <c r="D4409" s="14" t="s">
        <v>4450</v>
      </c>
      <c r="E4409" s="14" t="s">
        <v>40</v>
      </c>
    </row>
    <row r="4410" spans="1:5" x14ac:dyDescent="0.25">
      <c r="A4410" s="36">
        <v>4408</v>
      </c>
      <c r="B4410" s="37">
        <v>1075428434</v>
      </c>
      <c r="C4410" s="38">
        <v>0.50078538921698246</v>
      </c>
      <c r="D4410" s="14" t="s">
        <v>4451</v>
      </c>
      <c r="E4410" s="14" t="s">
        <v>43</v>
      </c>
    </row>
    <row r="4411" spans="1:5" x14ac:dyDescent="0.25">
      <c r="A4411" s="36">
        <v>4409</v>
      </c>
      <c r="B4411" s="37">
        <v>584378283</v>
      </c>
      <c r="C4411" s="38">
        <v>0.27212234366318322</v>
      </c>
      <c r="D4411" s="14" t="s">
        <v>4452</v>
      </c>
      <c r="E4411" s="14" t="s">
        <v>46</v>
      </c>
    </row>
    <row r="4412" spans="1:5" x14ac:dyDescent="0.25">
      <c r="A4412" s="36">
        <v>4410</v>
      </c>
      <c r="B4412" s="37">
        <v>1967571560</v>
      </c>
      <c r="C4412" s="38">
        <v>0.91622190592634578</v>
      </c>
      <c r="D4412" s="14" t="s">
        <v>4453</v>
      </c>
      <c r="E4412" s="14" t="s">
        <v>48</v>
      </c>
    </row>
    <row r="4413" spans="1:5" x14ac:dyDescent="0.25">
      <c r="A4413" s="36">
        <v>4411</v>
      </c>
      <c r="B4413" s="37">
        <v>1589348345</v>
      </c>
      <c r="C4413" s="38">
        <v>0.74009799665775988</v>
      </c>
      <c r="D4413" s="14" t="s">
        <v>4454</v>
      </c>
      <c r="E4413" s="14" t="s">
        <v>37</v>
      </c>
    </row>
    <row r="4414" spans="1:5" x14ac:dyDescent="0.25">
      <c r="A4414" s="36">
        <v>4412</v>
      </c>
      <c r="B4414" s="37">
        <v>193322284</v>
      </c>
      <c r="C4414" s="38">
        <v>9.0022703674632457E-2</v>
      </c>
      <c r="D4414" s="14" t="s">
        <v>4455</v>
      </c>
      <c r="E4414" s="14" t="s">
        <v>40</v>
      </c>
    </row>
    <row r="4415" spans="1:5" x14ac:dyDescent="0.25">
      <c r="A4415" s="36">
        <v>4413</v>
      </c>
      <c r="B4415" s="37">
        <v>1101594608</v>
      </c>
      <c r="C4415" s="38">
        <v>0.51296996349141466</v>
      </c>
      <c r="D4415" s="14" t="s">
        <v>4456</v>
      </c>
      <c r="E4415" s="14" t="s">
        <v>43</v>
      </c>
    </row>
    <row r="4416" spans="1:5" x14ac:dyDescent="0.25">
      <c r="A4416" s="36">
        <v>4414</v>
      </c>
      <c r="B4416" s="37">
        <v>1719310826</v>
      </c>
      <c r="C4416" s="38">
        <v>0.80061649289010861</v>
      </c>
      <c r="D4416" s="14" t="s">
        <v>4457</v>
      </c>
      <c r="E4416" s="14" t="s">
        <v>46</v>
      </c>
    </row>
    <row r="4417" spans="1:5" x14ac:dyDescent="0.25">
      <c r="A4417" s="36">
        <v>4415</v>
      </c>
      <c r="B4417" s="37">
        <v>1374311911</v>
      </c>
      <c r="C4417" s="38">
        <v>0.63996385393662558</v>
      </c>
      <c r="D4417" s="14" t="s">
        <v>4458</v>
      </c>
      <c r="E4417" s="14" t="s">
        <v>48</v>
      </c>
    </row>
    <row r="4418" spans="1:5" x14ac:dyDescent="0.25">
      <c r="A4418" s="36">
        <v>4416</v>
      </c>
      <c r="B4418" s="37">
        <v>657365806</v>
      </c>
      <c r="C4418" s="38">
        <v>0.30610980759659306</v>
      </c>
      <c r="D4418" s="14" t="s">
        <v>4459</v>
      </c>
      <c r="E4418" s="14" t="s">
        <v>37</v>
      </c>
    </row>
    <row r="4419" spans="1:5" x14ac:dyDescent="0.25">
      <c r="A4419" s="36">
        <v>4417</v>
      </c>
      <c r="B4419" s="37">
        <v>1931931404</v>
      </c>
      <c r="C4419" s="38">
        <v>0.89962566499580898</v>
      </c>
      <c r="D4419" s="14" t="s">
        <v>4460</v>
      </c>
      <c r="E4419" s="14" t="s">
        <v>40</v>
      </c>
    </row>
    <row r="4420" spans="1:5" x14ac:dyDescent="0.25">
      <c r="A4420" s="36">
        <v>4418</v>
      </c>
      <c r="B4420" s="37">
        <v>1894430820</v>
      </c>
      <c r="C4420" s="38">
        <v>0.88216309476744525</v>
      </c>
      <c r="D4420" s="14" t="s">
        <v>4461</v>
      </c>
      <c r="E4420" s="14" t="s">
        <v>43</v>
      </c>
    </row>
    <row r="4421" spans="1:5" x14ac:dyDescent="0.25">
      <c r="A4421" s="36">
        <v>4419</v>
      </c>
      <c r="B4421" s="37">
        <v>2142015569</v>
      </c>
      <c r="C4421" s="38">
        <v>0.99745372775823515</v>
      </c>
      <c r="D4421" s="14" t="s">
        <v>4462</v>
      </c>
      <c r="E4421" s="14" t="s">
        <v>46</v>
      </c>
    </row>
    <row r="4422" spans="1:5" x14ac:dyDescent="0.25">
      <c r="A4422" s="36">
        <v>4420</v>
      </c>
      <c r="B4422" s="37">
        <v>297067259</v>
      </c>
      <c r="C4422" s="38">
        <v>0.13833272230733779</v>
      </c>
      <c r="D4422" s="14" t="s">
        <v>4463</v>
      </c>
      <c r="E4422" s="14" t="s">
        <v>48</v>
      </c>
    </row>
    <row r="4423" spans="1:5" x14ac:dyDescent="0.25">
      <c r="A4423" s="36">
        <v>4421</v>
      </c>
      <c r="B4423" s="37">
        <v>1603600272</v>
      </c>
      <c r="C4423" s="38">
        <v>0.74673456733428623</v>
      </c>
      <c r="D4423" s="14" t="s">
        <v>4464</v>
      </c>
      <c r="E4423" s="14" t="s">
        <v>37</v>
      </c>
    </row>
    <row r="4424" spans="1:5" x14ac:dyDescent="0.25">
      <c r="A4424" s="36">
        <v>4422</v>
      </c>
      <c r="B4424" s="37">
        <v>1777747197</v>
      </c>
      <c r="C4424" s="38">
        <v>0.82782804864823256</v>
      </c>
      <c r="D4424" s="14" t="s">
        <v>4465</v>
      </c>
      <c r="E4424" s="14" t="s">
        <v>40</v>
      </c>
    </row>
    <row r="4425" spans="1:5" x14ac:dyDescent="0.25">
      <c r="A4425" s="36">
        <v>4423</v>
      </c>
      <c r="B4425" s="37">
        <v>2050443468</v>
      </c>
      <c r="C4425" s="38">
        <v>0.95481214530524428</v>
      </c>
      <c r="D4425" s="14" t="s">
        <v>4466</v>
      </c>
      <c r="E4425" s="14" t="s">
        <v>43</v>
      </c>
    </row>
    <row r="4426" spans="1:5" x14ac:dyDescent="0.25">
      <c r="A4426" s="36">
        <v>4424</v>
      </c>
      <c r="B4426" s="37">
        <v>339947000</v>
      </c>
      <c r="C4426" s="38">
        <v>0.15830015771011829</v>
      </c>
      <c r="D4426" s="14" t="s">
        <v>4467</v>
      </c>
      <c r="E4426" s="14" t="s">
        <v>46</v>
      </c>
    </row>
    <row r="4427" spans="1:5" x14ac:dyDescent="0.25">
      <c r="A4427" s="36">
        <v>4425</v>
      </c>
      <c r="B4427" s="37">
        <v>90512958</v>
      </c>
      <c r="C4427" s="38">
        <v>4.2148380559938206E-2</v>
      </c>
      <c r="D4427" s="14" t="s">
        <v>4468</v>
      </c>
      <c r="E4427" s="14" t="s">
        <v>48</v>
      </c>
    </row>
    <row r="4428" spans="1:5" x14ac:dyDescent="0.25">
      <c r="A4428" s="36">
        <v>4426</v>
      </c>
      <c r="B4428" s="37">
        <v>1085096594</v>
      </c>
      <c r="C4428" s="38">
        <v>0.50528747705057608</v>
      </c>
      <c r="D4428" s="14" t="s">
        <v>4469</v>
      </c>
      <c r="E4428" s="14" t="s">
        <v>37</v>
      </c>
    </row>
    <row r="4429" spans="1:5" x14ac:dyDescent="0.25">
      <c r="A4429" s="36">
        <v>4427</v>
      </c>
      <c r="B4429" s="37">
        <v>235951665</v>
      </c>
      <c r="C4429" s="38">
        <v>0.10987355611746831</v>
      </c>
      <c r="D4429" s="14" t="s">
        <v>4470</v>
      </c>
      <c r="E4429" s="14" t="s">
        <v>40</v>
      </c>
    </row>
    <row r="4430" spans="1:5" x14ac:dyDescent="0.25">
      <c r="A4430" s="36">
        <v>4428</v>
      </c>
      <c r="B4430" s="37">
        <v>1617339459</v>
      </c>
      <c r="C4430" s="38">
        <v>0.75313237484224715</v>
      </c>
      <c r="D4430" s="14" t="s">
        <v>4471</v>
      </c>
      <c r="E4430" s="14" t="s">
        <v>43</v>
      </c>
    </row>
    <row r="4431" spans="1:5" x14ac:dyDescent="0.25">
      <c r="A4431" s="36">
        <v>4429</v>
      </c>
      <c r="B4431" s="37">
        <v>297147822</v>
      </c>
      <c r="C4431" s="38">
        <v>0.13837023737764462</v>
      </c>
      <c r="D4431" s="14" t="s">
        <v>4472</v>
      </c>
      <c r="E4431" s="14" t="s">
        <v>46</v>
      </c>
    </row>
    <row r="4432" spans="1:5" x14ac:dyDescent="0.25">
      <c r="A4432" s="36">
        <v>4430</v>
      </c>
      <c r="B4432" s="37">
        <v>411258086</v>
      </c>
      <c r="C4432" s="38">
        <v>0.19150696983165433</v>
      </c>
      <c r="D4432" s="14" t="s">
        <v>4473</v>
      </c>
      <c r="E4432" s="14" t="s">
        <v>48</v>
      </c>
    </row>
    <row r="4433" spans="1:5" x14ac:dyDescent="0.25">
      <c r="A4433" s="36">
        <v>4431</v>
      </c>
      <c r="B4433" s="37">
        <v>1312316477</v>
      </c>
      <c r="C4433" s="38">
        <v>0.61109498031954046</v>
      </c>
      <c r="D4433" s="14" t="s">
        <v>4474</v>
      </c>
      <c r="E4433" s="14" t="s">
        <v>37</v>
      </c>
    </row>
    <row r="4434" spans="1:5" x14ac:dyDescent="0.25">
      <c r="A4434" s="36">
        <v>4432</v>
      </c>
      <c r="B4434" s="37">
        <v>739276247</v>
      </c>
      <c r="C4434" s="38">
        <v>0.3442523290143592</v>
      </c>
      <c r="D4434" s="14" t="s">
        <v>4475</v>
      </c>
      <c r="E4434" s="14" t="s">
        <v>40</v>
      </c>
    </row>
    <row r="4435" spans="1:5" x14ac:dyDescent="0.25">
      <c r="A4435" s="36">
        <v>4433</v>
      </c>
      <c r="B4435" s="37">
        <v>171988899</v>
      </c>
      <c r="C4435" s="38">
        <v>8.0088572148274903E-2</v>
      </c>
      <c r="D4435" s="14" t="s">
        <v>4476</v>
      </c>
      <c r="E4435" s="14" t="s">
        <v>43</v>
      </c>
    </row>
    <row r="4436" spans="1:5" x14ac:dyDescent="0.25">
      <c r="A4436" s="36">
        <v>4434</v>
      </c>
      <c r="B4436" s="37">
        <v>1938514275</v>
      </c>
      <c r="C4436" s="38">
        <v>0.90269105318127718</v>
      </c>
      <c r="D4436" s="14" t="s">
        <v>4477</v>
      </c>
      <c r="E4436" s="14" t="s">
        <v>46</v>
      </c>
    </row>
    <row r="4437" spans="1:5" x14ac:dyDescent="0.25">
      <c r="A4437" s="36">
        <v>4435</v>
      </c>
      <c r="B4437" s="37">
        <v>638731454</v>
      </c>
      <c r="C4437" s="38">
        <v>0.29743251125208686</v>
      </c>
      <c r="D4437" s="14" t="s">
        <v>4478</v>
      </c>
      <c r="E4437" s="14" t="s">
        <v>48</v>
      </c>
    </row>
    <row r="4438" spans="1:5" x14ac:dyDescent="0.25">
      <c r="A4438" s="36">
        <v>4436</v>
      </c>
      <c r="B4438" s="37">
        <v>693482225</v>
      </c>
      <c r="C4438" s="38">
        <v>0.32292782576891027</v>
      </c>
      <c r="D4438" s="14" t="s">
        <v>4479</v>
      </c>
      <c r="E4438" s="14" t="s">
        <v>37</v>
      </c>
    </row>
    <row r="4439" spans="1:5" x14ac:dyDescent="0.25">
      <c r="A4439" s="36">
        <v>4437</v>
      </c>
      <c r="B4439" s="37">
        <v>1957053261</v>
      </c>
      <c r="C4439" s="38">
        <v>0.91132394127143734</v>
      </c>
      <c r="D4439" s="14" t="s">
        <v>4480</v>
      </c>
      <c r="E4439" s="14" t="s">
        <v>40</v>
      </c>
    </row>
    <row r="4440" spans="1:5" x14ac:dyDescent="0.25">
      <c r="A4440" s="36">
        <v>4438</v>
      </c>
      <c r="B4440" s="37">
        <v>2051879361</v>
      </c>
      <c r="C4440" s="38">
        <v>0.95548078508837186</v>
      </c>
      <c r="D4440" s="14" t="s">
        <v>4481</v>
      </c>
      <c r="E4440" s="14" t="s">
        <v>43</v>
      </c>
    </row>
    <row r="4441" spans="1:5" x14ac:dyDescent="0.25">
      <c r="A4441" s="36">
        <v>4439</v>
      </c>
      <c r="B4441" s="37">
        <v>270443714</v>
      </c>
      <c r="C4441" s="38">
        <v>0.12593516806416921</v>
      </c>
      <c r="D4441" s="14" t="s">
        <v>4482</v>
      </c>
      <c r="E4441" s="14" t="s">
        <v>46</v>
      </c>
    </row>
    <row r="4442" spans="1:5" x14ac:dyDescent="0.25">
      <c r="A4442" s="36">
        <v>4440</v>
      </c>
      <c r="B4442" s="37">
        <v>1519898639</v>
      </c>
      <c r="C4442" s="38">
        <v>0.70775795714359635</v>
      </c>
      <c r="D4442" s="14" t="s">
        <v>4483</v>
      </c>
      <c r="E4442" s="14" t="s">
        <v>48</v>
      </c>
    </row>
    <row r="4443" spans="1:5" x14ac:dyDescent="0.25">
      <c r="A4443" s="36">
        <v>4441</v>
      </c>
      <c r="B4443" s="37">
        <v>613644291</v>
      </c>
      <c r="C4443" s="38">
        <v>0.28575039062916785</v>
      </c>
      <c r="D4443" s="14" t="s">
        <v>4484</v>
      </c>
      <c r="E4443" s="14" t="s">
        <v>37</v>
      </c>
    </row>
    <row r="4444" spans="1:5" x14ac:dyDescent="0.25">
      <c r="A4444" s="36">
        <v>4442</v>
      </c>
      <c r="B4444" s="37">
        <v>303005565</v>
      </c>
      <c r="C4444" s="38">
        <v>0.14109796152501272</v>
      </c>
      <c r="D4444" s="14" t="s">
        <v>4485</v>
      </c>
      <c r="E4444" s="14" t="s">
        <v>40</v>
      </c>
    </row>
    <row r="4445" spans="1:5" x14ac:dyDescent="0.25">
      <c r="A4445" s="36">
        <v>4443</v>
      </c>
      <c r="B4445" s="37">
        <v>1195167781</v>
      </c>
      <c r="C4445" s="38">
        <v>0.55654336770835489</v>
      </c>
      <c r="D4445" s="14" t="s">
        <v>4486</v>
      </c>
      <c r="E4445" s="14" t="s">
        <v>43</v>
      </c>
    </row>
    <row r="4446" spans="1:5" x14ac:dyDescent="0.25">
      <c r="A4446" s="36">
        <v>4444</v>
      </c>
      <c r="B4446" s="37">
        <v>1763665388</v>
      </c>
      <c r="C4446" s="38">
        <v>0.82127069533861741</v>
      </c>
      <c r="D4446" s="14" t="s">
        <v>4487</v>
      </c>
      <c r="E4446" s="14" t="s">
        <v>46</v>
      </c>
    </row>
    <row r="4447" spans="1:5" x14ac:dyDescent="0.25">
      <c r="A4447" s="36">
        <v>4445</v>
      </c>
      <c r="B4447" s="37">
        <v>163841101</v>
      </c>
      <c r="C4447" s="38">
        <v>7.6294458041104699E-2</v>
      </c>
      <c r="D4447" s="14" t="s">
        <v>4488</v>
      </c>
      <c r="E4447" s="14" t="s">
        <v>48</v>
      </c>
    </row>
    <row r="4448" spans="1:5" x14ac:dyDescent="0.25">
      <c r="A4448" s="36">
        <v>4446</v>
      </c>
      <c r="B4448" s="37">
        <v>1084279130</v>
      </c>
      <c r="C4448" s="38">
        <v>0.50490681571183116</v>
      </c>
      <c r="D4448" s="14" t="s">
        <v>4489</v>
      </c>
      <c r="E4448" s="14" t="s">
        <v>37</v>
      </c>
    </row>
    <row r="4449" spans="1:5" x14ac:dyDescent="0.25">
      <c r="A4449" s="36">
        <v>4447</v>
      </c>
      <c r="B4449" s="37">
        <v>1051319263</v>
      </c>
      <c r="C4449" s="38">
        <v>0.48955868160797222</v>
      </c>
      <c r="D4449" s="14" t="s">
        <v>4490</v>
      </c>
      <c r="E4449" s="14" t="s">
        <v>40</v>
      </c>
    </row>
    <row r="4450" spans="1:5" x14ac:dyDescent="0.25">
      <c r="A4450" s="36">
        <v>4448</v>
      </c>
      <c r="B4450" s="37">
        <v>293430997</v>
      </c>
      <c r="C4450" s="38">
        <v>0.13663945586264109</v>
      </c>
      <c r="D4450" s="14" t="s">
        <v>4491</v>
      </c>
      <c r="E4450" s="14" t="s">
        <v>43</v>
      </c>
    </row>
    <row r="4451" spans="1:5" x14ac:dyDescent="0.25">
      <c r="A4451" s="36">
        <v>4449</v>
      </c>
      <c r="B4451" s="37">
        <v>563511968</v>
      </c>
      <c r="C4451" s="38">
        <v>0.26240570855438977</v>
      </c>
      <c r="D4451" s="14" t="s">
        <v>4492</v>
      </c>
      <c r="E4451" s="14" t="s">
        <v>46</v>
      </c>
    </row>
    <row r="4452" spans="1:5" x14ac:dyDescent="0.25">
      <c r="A4452" s="36">
        <v>4450</v>
      </c>
      <c r="B4452" s="37">
        <v>717619116</v>
      </c>
      <c r="C4452" s="38">
        <v>0.33416744150881073</v>
      </c>
      <c r="D4452" s="14" t="s">
        <v>4493</v>
      </c>
      <c r="E4452" s="14" t="s">
        <v>48</v>
      </c>
    </row>
    <row r="4453" spans="1:5" x14ac:dyDescent="0.25">
      <c r="A4453" s="36">
        <v>4451</v>
      </c>
      <c r="B4453" s="37">
        <v>1143993313</v>
      </c>
      <c r="C4453" s="38">
        <v>0.5327133990510895</v>
      </c>
      <c r="D4453" s="14" t="s">
        <v>4494</v>
      </c>
      <c r="E4453" s="14" t="s">
        <v>37</v>
      </c>
    </row>
    <row r="4454" spans="1:5" x14ac:dyDescent="0.25">
      <c r="A4454" s="36">
        <v>4452</v>
      </c>
      <c r="B4454" s="37">
        <v>521175943</v>
      </c>
      <c r="C4454" s="38">
        <v>0.24269146064421696</v>
      </c>
      <c r="D4454" s="14" t="s">
        <v>4495</v>
      </c>
      <c r="E4454" s="14" t="s">
        <v>40</v>
      </c>
    </row>
    <row r="4455" spans="1:5" x14ac:dyDescent="0.25">
      <c r="A4455" s="36">
        <v>4453</v>
      </c>
      <c r="B4455" s="37">
        <v>1021482296</v>
      </c>
      <c r="C4455" s="38">
        <v>0.47566476113892381</v>
      </c>
      <c r="D4455" s="14" t="s">
        <v>4496</v>
      </c>
      <c r="E4455" s="14" t="s">
        <v>43</v>
      </c>
    </row>
    <row r="4456" spans="1:5" x14ac:dyDescent="0.25">
      <c r="A4456" s="36">
        <v>4454</v>
      </c>
      <c r="B4456" s="37">
        <v>770239491</v>
      </c>
      <c r="C4456" s="38">
        <v>0.35867071308133691</v>
      </c>
      <c r="D4456" s="14" t="s">
        <v>4497</v>
      </c>
      <c r="E4456" s="14" t="s">
        <v>46</v>
      </c>
    </row>
    <row r="4457" spans="1:5" x14ac:dyDescent="0.25">
      <c r="A4457" s="36">
        <v>4455</v>
      </c>
      <c r="B4457" s="37">
        <v>1805663646</v>
      </c>
      <c r="C4457" s="38">
        <v>0.8408276582326869</v>
      </c>
      <c r="D4457" s="14" t="s">
        <v>4498</v>
      </c>
      <c r="E4457" s="14" t="s">
        <v>48</v>
      </c>
    </row>
    <row r="4458" spans="1:5" x14ac:dyDescent="0.25">
      <c r="A4458" s="36">
        <v>4456</v>
      </c>
      <c r="B4458" s="37">
        <v>279077760</v>
      </c>
      <c r="C4458" s="38">
        <v>0.12995570904107565</v>
      </c>
      <c r="D4458" s="14" t="s">
        <v>4499</v>
      </c>
      <c r="E4458" s="14" t="s">
        <v>37</v>
      </c>
    </row>
    <row r="4459" spans="1:5" x14ac:dyDescent="0.25">
      <c r="A4459" s="36">
        <v>4457</v>
      </c>
      <c r="B4459" s="37">
        <v>2144751065</v>
      </c>
      <c r="C4459" s="38">
        <v>0.99872754234761352</v>
      </c>
      <c r="D4459" s="14" t="s">
        <v>4500</v>
      </c>
      <c r="E4459" s="14" t="s">
        <v>40</v>
      </c>
    </row>
    <row r="4460" spans="1:5" x14ac:dyDescent="0.25">
      <c r="A4460" s="36">
        <v>4458</v>
      </c>
      <c r="B4460" s="37">
        <v>933215019</v>
      </c>
      <c r="C4460" s="38">
        <v>0.43456210728481509</v>
      </c>
      <c r="D4460" s="14" t="s">
        <v>4501</v>
      </c>
      <c r="E4460" s="14" t="s">
        <v>43</v>
      </c>
    </row>
    <row r="4461" spans="1:5" x14ac:dyDescent="0.25">
      <c r="A4461" s="36">
        <v>4459</v>
      </c>
      <c r="B4461" s="37">
        <v>2069667865</v>
      </c>
      <c r="C4461" s="38">
        <v>0.96376420276414798</v>
      </c>
      <c r="D4461" s="14" t="s">
        <v>4502</v>
      </c>
      <c r="E4461" s="14" t="s">
        <v>46</v>
      </c>
    </row>
    <row r="4462" spans="1:5" x14ac:dyDescent="0.25">
      <c r="A4462" s="36">
        <v>4460</v>
      </c>
      <c r="B4462" s="37">
        <v>175539478</v>
      </c>
      <c r="C4462" s="38">
        <v>8.1741939336872627E-2</v>
      </c>
      <c r="D4462" s="14" t="s">
        <v>4503</v>
      </c>
      <c r="E4462" s="14" t="s">
        <v>48</v>
      </c>
    </row>
    <row r="4463" spans="1:5" x14ac:dyDescent="0.25">
      <c r="A4463" s="36">
        <v>4461</v>
      </c>
      <c r="B4463" s="37">
        <v>2091027706</v>
      </c>
      <c r="C4463" s="38">
        <v>0.97371065382552824</v>
      </c>
      <c r="D4463" s="14" t="s">
        <v>4504</v>
      </c>
      <c r="E4463" s="14" t="s">
        <v>37</v>
      </c>
    </row>
    <row r="4464" spans="1:5" x14ac:dyDescent="0.25">
      <c r="A4464" s="36">
        <v>4462</v>
      </c>
      <c r="B4464" s="37">
        <v>425620271</v>
      </c>
      <c r="C4464" s="38">
        <v>0.19819488339042052</v>
      </c>
      <c r="D4464" s="14" t="s">
        <v>4505</v>
      </c>
      <c r="E4464" s="14" t="s">
        <v>40</v>
      </c>
    </row>
    <row r="4465" spans="1:5" x14ac:dyDescent="0.25">
      <c r="A4465" s="36">
        <v>4463</v>
      </c>
      <c r="B4465" s="37">
        <v>1740345198</v>
      </c>
      <c r="C4465" s="38">
        <v>0.81041138563789961</v>
      </c>
      <c r="D4465" s="14" t="s">
        <v>4506</v>
      </c>
      <c r="E4465" s="14" t="s">
        <v>43</v>
      </c>
    </row>
    <row r="4466" spans="1:5" x14ac:dyDescent="0.25">
      <c r="A4466" s="36">
        <v>4464</v>
      </c>
      <c r="B4466" s="37">
        <v>1038984523</v>
      </c>
      <c r="C4466" s="38">
        <v>0.48381487069829127</v>
      </c>
      <c r="D4466" s="14" t="s">
        <v>4507</v>
      </c>
      <c r="E4466" s="14" t="s">
        <v>46</v>
      </c>
    </row>
    <row r="4467" spans="1:5" x14ac:dyDescent="0.25">
      <c r="A4467" s="36">
        <v>4465</v>
      </c>
      <c r="B4467" s="37">
        <v>901481464</v>
      </c>
      <c r="C4467" s="38">
        <v>0.41978501920578304</v>
      </c>
      <c r="D4467" s="14" t="s">
        <v>4508</v>
      </c>
      <c r="E4467" s="14" t="s">
        <v>48</v>
      </c>
    </row>
    <row r="4468" spans="1:5" x14ac:dyDescent="0.25">
      <c r="A4468" s="36">
        <v>4466</v>
      </c>
      <c r="B4468" s="37">
        <v>281813102</v>
      </c>
      <c r="C4468" s="38">
        <v>0.13122945191861571</v>
      </c>
      <c r="D4468" s="14" t="s">
        <v>4509</v>
      </c>
      <c r="E4468" s="14" t="s">
        <v>37</v>
      </c>
    </row>
    <row r="4469" spans="1:5" x14ac:dyDescent="0.25">
      <c r="A4469" s="36">
        <v>4467</v>
      </c>
      <c r="B4469" s="37">
        <v>377078328</v>
      </c>
      <c r="C4469" s="38">
        <v>0.17559077971409576</v>
      </c>
      <c r="D4469" s="14" t="s">
        <v>4510</v>
      </c>
      <c r="E4469" s="14" t="s">
        <v>40</v>
      </c>
    </row>
    <row r="4470" spans="1:5" x14ac:dyDescent="0.25">
      <c r="A4470" s="36">
        <v>4468</v>
      </c>
      <c r="B4470" s="37">
        <v>1534891498</v>
      </c>
      <c r="C4470" s="38">
        <v>0.71473955116921084</v>
      </c>
      <c r="D4470" s="14" t="s">
        <v>4511</v>
      </c>
      <c r="E4470" s="14" t="s">
        <v>43</v>
      </c>
    </row>
    <row r="4471" spans="1:5" x14ac:dyDescent="0.25">
      <c r="A4471" s="36">
        <v>4469</v>
      </c>
      <c r="B4471" s="37">
        <v>694809479</v>
      </c>
      <c r="C4471" s="38">
        <v>0.32354587657542244</v>
      </c>
      <c r="D4471" s="14" t="s">
        <v>4512</v>
      </c>
      <c r="E4471" s="14" t="s">
        <v>46</v>
      </c>
    </row>
    <row r="4472" spans="1:5" x14ac:dyDescent="0.25">
      <c r="A4472" s="36">
        <v>4470</v>
      </c>
      <c r="B4472" s="37">
        <v>1443844848</v>
      </c>
      <c r="C4472" s="38">
        <v>0.67234265090541101</v>
      </c>
      <c r="D4472" s="14" t="s">
        <v>4513</v>
      </c>
      <c r="E4472" s="14" t="s">
        <v>48</v>
      </c>
    </row>
    <row r="4473" spans="1:5" x14ac:dyDescent="0.25">
      <c r="A4473" s="36">
        <v>4471</v>
      </c>
      <c r="B4473" s="37">
        <v>1338170666</v>
      </c>
      <c r="C4473" s="38">
        <v>0.62313427525718434</v>
      </c>
      <c r="D4473" s="14" t="s">
        <v>4514</v>
      </c>
      <c r="E4473" s="14" t="s">
        <v>37</v>
      </c>
    </row>
    <row r="4474" spans="1:5" x14ac:dyDescent="0.25">
      <c r="A4474" s="36">
        <v>4472</v>
      </c>
      <c r="B4474" s="37">
        <v>110935592</v>
      </c>
      <c r="C4474" s="38">
        <v>5.1658410603021461E-2</v>
      </c>
      <c r="D4474" s="14" t="s">
        <v>4515</v>
      </c>
      <c r="E4474" s="14" t="s">
        <v>40</v>
      </c>
    </row>
    <row r="4475" spans="1:5" x14ac:dyDescent="0.25">
      <c r="A4475" s="36">
        <v>4473</v>
      </c>
      <c r="B4475" s="37">
        <v>403823434</v>
      </c>
      <c r="C4475" s="38">
        <v>0.18804494020903714</v>
      </c>
      <c r="D4475" s="14" t="s">
        <v>4516</v>
      </c>
      <c r="E4475" s="14" t="s">
        <v>43</v>
      </c>
    </row>
    <row r="4476" spans="1:5" x14ac:dyDescent="0.25">
      <c r="A4476" s="36">
        <v>4474</v>
      </c>
      <c r="B4476" s="37">
        <v>2096453838</v>
      </c>
      <c r="C4476" s="38">
        <v>0.97623739343892657</v>
      </c>
      <c r="D4476" s="14" t="s">
        <v>4517</v>
      </c>
      <c r="E4476" s="14" t="s">
        <v>46</v>
      </c>
    </row>
    <row r="4477" spans="1:5" x14ac:dyDescent="0.25">
      <c r="A4477" s="36">
        <v>4475</v>
      </c>
      <c r="B4477" s="37">
        <v>41768289</v>
      </c>
      <c r="C4477" s="38">
        <v>1.9449875233438739E-2</v>
      </c>
      <c r="D4477" s="14" t="s">
        <v>4518</v>
      </c>
      <c r="E4477" s="14" t="s">
        <v>48</v>
      </c>
    </row>
    <row r="4478" spans="1:5" x14ac:dyDescent="0.25">
      <c r="A4478" s="36">
        <v>4476</v>
      </c>
      <c r="B4478" s="37">
        <v>592080323</v>
      </c>
      <c r="C4478" s="38">
        <v>0.27570888552614903</v>
      </c>
      <c r="D4478" s="14" t="s">
        <v>4519</v>
      </c>
      <c r="E4478" s="14" t="s">
        <v>37</v>
      </c>
    </row>
    <row r="4479" spans="1:5" x14ac:dyDescent="0.25">
      <c r="A4479" s="36">
        <v>4477</v>
      </c>
      <c r="B4479" s="37">
        <v>1728329970</v>
      </c>
      <c r="C4479" s="38">
        <v>0.80481635909751814</v>
      </c>
      <c r="D4479" s="14" t="s">
        <v>4520</v>
      </c>
      <c r="E4479" s="14" t="s">
        <v>40</v>
      </c>
    </row>
    <row r="4480" spans="1:5" x14ac:dyDescent="0.25">
      <c r="A4480" s="36">
        <v>4478</v>
      </c>
      <c r="B4480" s="37">
        <v>906802334</v>
      </c>
      <c r="C4480" s="38">
        <v>0.42226274238073397</v>
      </c>
      <c r="D4480" s="14" t="s">
        <v>4521</v>
      </c>
      <c r="E4480" s="14" t="s">
        <v>43</v>
      </c>
    </row>
    <row r="4481" spans="1:5" x14ac:dyDescent="0.25">
      <c r="A4481" s="36">
        <v>4479</v>
      </c>
      <c r="B4481" s="37">
        <v>780389624</v>
      </c>
      <c r="C4481" s="38">
        <v>0.36339723708266264</v>
      </c>
      <c r="D4481" s="14" t="s">
        <v>4522</v>
      </c>
      <c r="E4481" s="14" t="s">
        <v>46</v>
      </c>
    </row>
    <row r="4482" spans="1:5" x14ac:dyDescent="0.25">
      <c r="A4482" s="36">
        <v>4480</v>
      </c>
      <c r="B4482" s="37">
        <v>554460875</v>
      </c>
      <c r="C4482" s="38">
        <v>0.25819096493450505</v>
      </c>
      <c r="D4482" s="14" t="s">
        <v>4523</v>
      </c>
      <c r="E4482" s="14" t="s">
        <v>48</v>
      </c>
    </row>
    <row r="4483" spans="1:5" x14ac:dyDescent="0.25">
      <c r="A4483" s="36">
        <v>4481</v>
      </c>
      <c r="B4483" s="37">
        <v>1692310643</v>
      </c>
      <c r="C4483" s="38">
        <v>0.78804355291092931</v>
      </c>
      <c r="D4483" s="14" t="s">
        <v>4524</v>
      </c>
      <c r="E4483" s="14" t="s">
        <v>37</v>
      </c>
    </row>
    <row r="4484" spans="1:5" x14ac:dyDescent="0.25">
      <c r="A4484" s="36">
        <v>4482</v>
      </c>
      <c r="B4484" s="37">
        <v>1432468252</v>
      </c>
      <c r="C4484" s="38">
        <v>0.66704501056440413</v>
      </c>
      <c r="D4484" s="14" t="s">
        <v>4525</v>
      </c>
      <c r="E4484" s="14" t="s">
        <v>40</v>
      </c>
    </row>
    <row r="4485" spans="1:5" x14ac:dyDescent="0.25">
      <c r="A4485" s="36">
        <v>4483</v>
      </c>
      <c r="B4485" s="37">
        <v>1220513012</v>
      </c>
      <c r="C4485" s="38">
        <v>0.56834566060842273</v>
      </c>
      <c r="D4485" s="14" t="s">
        <v>4526</v>
      </c>
      <c r="E4485" s="14" t="s">
        <v>43</v>
      </c>
    </row>
    <row r="4486" spans="1:5" x14ac:dyDescent="0.25">
      <c r="A4486" s="36">
        <v>4484</v>
      </c>
      <c r="B4486" s="37">
        <v>70566701</v>
      </c>
      <c r="C4486" s="38">
        <v>3.2860180844022042E-2</v>
      </c>
      <c r="D4486" s="14" t="s">
        <v>4527</v>
      </c>
      <c r="E4486" s="14" t="s">
        <v>46</v>
      </c>
    </row>
    <row r="4487" spans="1:5" x14ac:dyDescent="0.25">
      <c r="A4487" s="36">
        <v>4485</v>
      </c>
      <c r="B4487" s="37">
        <v>138846289</v>
      </c>
      <c r="C4487" s="38">
        <v>6.4655341703749883E-2</v>
      </c>
      <c r="D4487" s="14" t="s">
        <v>4528</v>
      </c>
      <c r="E4487" s="14" t="s">
        <v>48</v>
      </c>
    </row>
    <row r="4488" spans="1:5" x14ac:dyDescent="0.25">
      <c r="A4488" s="36">
        <v>4486</v>
      </c>
      <c r="B4488" s="37">
        <v>1943011808</v>
      </c>
      <c r="C4488" s="38">
        <v>0.90478538018874144</v>
      </c>
      <c r="D4488" s="14" t="s">
        <v>4529</v>
      </c>
      <c r="E4488" s="14" t="s">
        <v>37</v>
      </c>
    </row>
    <row r="4489" spans="1:5" x14ac:dyDescent="0.25">
      <c r="A4489" s="36">
        <v>4487</v>
      </c>
      <c r="B4489" s="37">
        <v>766854837</v>
      </c>
      <c r="C4489" s="38">
        <v>0.35709461074187171</v>
      </c>
      <c r="D4489" s="14" t="s">
        <v>4530</v>
      </c>
      <c r="E4489" s="14" t="s">
        <v>40</v>
      </c>
    </row>
    <row r="4490" spans="1:5" x14ac:dyDescent="0.25">
      <c r="A4490" s="36">
        <v>4488</v>
      </c>
      <c r="B4490" s="37">
        <v>814070377</v>
      </c>
      <c r="C4490" s="38">
        <v>0.37908105988943996</v>
      </c>
      <c r="D4490" s="14" t="s">
        <v>4531</v>
      </c>
      <c r="E4490" s="14" t="s">
        <v>43</v>
      </c>
    </row>
    <row r="4491" spans="1:5" x14ac:dyDescent="0.25">
      <c r="A4491" s="36">
        <v>4489</v>
      </c>
      <c r="B4491" s="37">
        <v>801759618</v>
      </c>
      <c r="C4491" s="38">
        <v>0.37334841600309521</v>
      </c>
      <c r="D4491" s="14" t="s">
        <v>4532</v>
      </c>
      <c r="E4491" s="14" t="s">
        <v>46</v>
      </c>
    </row>
    <row r="4492" spans="1:5" x14ac:dyDescent="0.25">
      <c r="A4492" s="36">
        <v>4490</v>
      </c>
      <c r="B4492" s="37">
        <v>524594817</v>
      </c>
      <c r="C4492" s="38">
        <v>0.24428349791294127</v>
      </c>
      <c r="D4492" s="14" t="s">
        <v>4533</v>
      </c>
      <c r="E4492" s="14" t="s">
        <v>48</v>
      </c>
    </row>
    <row r="4493" spans="1:5" x14ac:dyDescent="0.25">
      <c r="A4493" s="36">
        <v>4491</v>
      </c>
      <c r="B4493" s="37">
        <v>991062596</v>
      </c>
      <c r="C4493" s="38">
        <v>0.46149948447081235</v>
      </c>
      <c r="D4493" s="14" t="s">
        <v>4534</v>
      </c>
      <c r="E4493" s="14" t="s">
        <v>37</v>
      </c>
    </row>
    <row r="4494" spans="1:5" x14ac:dyDescent="0.25">
      <c r="A4494" s="36">
        <v>4492</v>
      </c>
      <c r="B4494" s="37">
        <v>1936009604</v>
      </c>
      <c r="C4494" s="38">
        <v>0.9015247248585917</v>
      </c>
      <c r="D4494" s="14" t="s">
        <v>4535</v>
      </c>
      <c r="E4494" s="14" t="s">
        <v>40</v>
      </c>
    </row>
    <row r="4495" spans="1:5" x14ac:dyDescent="0.25">
      <c r="A4495" s="36">
        <v>4493</v>
      </c>
      <c r="B4495" s="37">
        <v>1964477653</v>
      </c>
      <c r="C4495" s="38">
        <v>0.91478119320924445</v>
      </c>
      <c r="D4495" s="14" t="s">
        <v>4536</v>
      </c>
      <c r="E4495" s="14" t="s">
        <v>43</v>
      </c>
    </row>
    <row r="4496" spans="1:5" x14ac:dyDescent="0.25">
      <c r="A4496" s="36">
        <v>4494</v>
      </c>
      <c r="B4496" s="37">
        <v>1369584676</v>
      </c>
      <c r="C4496" s="38">
        <v>0.63776256360009431</v>
      </c>
      <c r="D4496" s="14" t="s">
        <v>4537</v>
      </c>
      <c r="E4496" s="14" t="s">
        <v>46</v>
      </c>
    </row>
    <row r="4497" spans="1:5" x14ac:dyDescent="0.25">
      <c r="A4497" s="36">
        <v>4495</v>
      </c>
      <c r="B4497" s="37">
        <v>436610039</v>
      </c>
      <c r="C4497" s="38">
        <v>0.20331239290689695</v>
      </c>
      <c r="D4497" s="14" t="s">
        <v>4538</v>
      </c>
      <c r="E4497" s="14" t="s">
        <v>48</v>
      </c>
    </row>
    <row r="4498" spans="1:5" x14ac:dyDescent="0.25">
      <c r="A4498" s="36">
        <v>4496</v>
      </c>
      <c r="B4498" s="37">
        <v>70736605</v>
      </c>
      <c r="C4498" s="38">
        <v>3.2939298559417622E-2</v>
      </c>
      <c r="D4498" s="14" t="s">
        <v>4539</v>
      </c>
      <c r="E4498" s="14" t="s">
        <v>37</v>
      </c>
    </row>
    <row r="4499" spans="1:5" x14ac:dyDescent="0.25">
      <c r="A4499" s="36">
        <v>4497</v>
      </c>
      <c r="B4499" s="37">
        <v>1627944132</v>
      </c>
      <c r="C4499" s="38">
        <v>0.75807056052520427</v>
      </c>
      <c r="D4499" s="14" t="s">
        <v>4540</v>
      </c>
      <c r="E4499" s="14" t="s">
        <v>40</v>
      </c>
    </row>
    <row r="4500" spans="1:5" x14ac:dyDescent="0.25">
      <c r="A4500" s="36">
        <v>4498</v>
      </c>
      <c r="B4500" s="37">
        <v>1872378454</v>
      </c>
      <c r="C4500" s="38">
        <v>0.87189416162292199</v>
      </c>
      <c r="D4500" s="14" t="s">
        <v>4541</v>
      </c>
      <c r="E4500" s="14" t="s">
        <v>43</v>
      </c>
    </row>
    <row r="4501" spans="1:5" x14ac:dyDescent="0.25">
      <c r="A4501" s="36">
        <v>4499</v>
      </c>
      <c r="B4501" s="37">
        <v>217993943</v>
      </c>
      <c r="C4501" s="38">
        <v>0.10151134016993983</v>
      </c>
      <c r="D4501" s="14" t="s">
        <v>4542</v>
      </c>
      <c r="E4501" s="14" t="s">
        <v>46</v>
      </c>
    </row>
    <row r="4502" spans="1:5" x14ac:dyDescent="0.25">
      <c r="A4502" s="36">
        <v>4500</v>
      </c>
      <c r="B4502" s="37">
        <v>1365010002</v>
      </c>
      <c r="C4502" s="38">
        <v>0.63563231501524908</v>
      </c>
      <c r="D4502" s="14" t="s">
        <v>4543</v>
      </c>
      <c r="E4502" s="14" t="s">
        <v>48</v>
      </c>
    </row>
    <row r="4503" spans="1:5" x14ac:dyDescent="0.25">
      <c r="A4503" s="36">
        <v>4501</v>
      </c>
      <c r="B4503" s="37">
        <v>754382451</v>
      </c>
      <c r="C4503" s="38">
        <v>0.35128670341860813</v>
      </c>
      <c r="D4503" s="14" t="s">
        <v>4544</v>
      </c>
      <c r="E4503" s="14" t="s">
        <v>37</v>
      </c>
    </row>
    <row r="4504" spans="1:5" x14ac:dyDescent="0.25">
      <c r="A4504" s="36">
        <v>4502</v>
      </c>
      <c r="B4504" s="37">
        <v>2087662923</v>
      </c>
      <c r="C4504" s="38">
        <v>0.97214380464150751</v>
      </c>
      <c r="D4504" s="14" t="s">
        <v>4545</v>
      </c>
      <c r="E4504" s="14" t="s">
        <v>40</v>
      </c>
    </row>
    <row r="4505" spans="1:5" x14ac:dyDescent="0.25">
      <c r="A4505" s="36">
        <v>4503</v>
      </c>
      <c r="B4505" s="37">
        <v>297548572</v>
      </c>
      <c r="C4505" s="38">
        <v>0.1385568511386201</v>
      </c>
      <c r="D4505" s="14" t="s">
        <v>4546</v>
      </c>
      <c r="E4505" s="14" t="s">
        <v>43</v>
      </c>
    </row>
    <row r="4506" spans="1:5" x14ac:dyDescent="0.25">
      <c r="A4506" s="36">
        <v>4504</v>
      </c>
      <c r="B4506" s="37">
        <v>1749721266</v>
      </c>
      <c r="C4506" s="38">
        <v>0.81477745753469755</v>
      </c>
      <c r="D4506" s="14" t="s">
        <v>4547</v>
      </c>
      <c r="E4506" s="14" t="s">
        <v>46</v>
      </c>
    </row>
    <row r="4507" spans="1:5" x14ac:dyDescent="0.25">
      <c r="A4507" s="36">
        <v>4505</v>
      </c>
      <c r="B4507" s="37">
        <v>1974909474</v>
      </c>
      <c r="C4507" s="38">
        <v>0.91963888840733043</v>
      </c>
      <c r="D4507" s="14" t="s">
        <v>4548</v>
      </c>
      <c r="E4507" s="14" t="s">
        <v>48</v>
      </c>
    </row>
    <row r="4508" spans="1:5" x14ac:dyDescent="0.25">
      <c r="A4508" s="36">
        <v>4506</v>
      </c>
      <c r="B4508" s="37">
        <v>843665059</v>
      </c>
      <c r="C4508" s="38">
        <v>0.39286215761344051</v>
      </c>
      <c r="D4508" s="14" t="s">
        <v>4549</v>
      </c>
      <c r="E4508" s="14" t="s">
        <v>37</v>
      </c>
    </row>
    <row r="4509" spans="1:5" x14ac:dyDescent="0.25">
      <c r="A4509" s="36">
        <v>4507</v>
      </c>
      <c r="B4509" s="37">
        <v>762437135</v>
      </c>
      <c r="C4509" s="38">
        <v>0.35503745794065178</v>
      </c>
      <c r="D4509" s="14" t="s">
        <v>4550</v>
      </c>
      <c r="E4509" s="14" t="s">
        <v>40</v>
      </c>
    </row>
    <row r="4510" spans="1:5" x14ac:dyDescent="0.25">
      <c r="A4510" s="36">
        <v>4508</v>
      </c>
      <c r="B4510" s="37">
        <v>422656155</v>
      </c>
      <c r="C4510" s="38">
        <v>0.19681460931748831</v>
      </c>
      <c r="D4510" s="14" t="s">
        <v>4551</v>
      </c>
      <c r="E4510" s="14" t="s">
        <v>43</v>
      </c>
    </row>
    <row r="4511" spans="1:5" x14ac:dyDescent="0.25">
      <c r="A4511" s="36">
        <v>4509</v>
      </c>
      <c r="B4511" s="37">
        <v>665097457</v>
      </c>
      <c r="C4511" s="38">
        <v>0.30971013815594378</v>
      </c>
      <c r="D4511" s="14" t="s">
        <v>4552</v>
      </c>
      <c r="E4511" s="14" t="s">
        <v>46</v>
      </c>
    </row>
    <row r="4512" spans="1:5" x14ac:dyDescent="0.25">
      <c r="A4512" s="36">
        <v>4510</v>
      </c>
      <c r="B4512" s="37">
        <v>1588815708</v>
      </c>
      <c r="C4512" s="38">
        <v>0.73984996822655669</v>
      </c>
      <c r="D4512" s="14" t="s">
        <v>4553</v>
      </c>
      <c r="E4512" s="14" t="s">
        <v>48</v>
      </c>
    </row>
    <row r="4513" spans="1:5" x14ac:dyDescent="0.25">
      <c r="A4513" s="36">
        <v>4511</v>
      </c>
      <c r="B4513" s="37">
        <v>516466070</v>
      </c>
      <c r="C4513" s="38">
        <v>0.2404982551189597</v>
      </c>
      <c r="D4513" s="14" t="s">
        <v>4554</v>
      </c>
      <c r="E4513" s="14" t="s">
        <v>37</v>
      </c>
    </row>
    <row r="4514" spans="1:5" x14ac:dyDescent="0.25">
      <c r="A4514" s="36">
        <v>4512</v>
      </c>
      <c r="B4514" s="37">
        <v>1782922168</v>
      </c>
      <c r="C4514" s="38">
        <v>0.83023783230699499</v>
      </c>
      <c r="D4514" s="14" t="s">
        <v>4555</v>
      </c>
      <c r="E4514" s="14" t="s">
        <v>40</v>
      </c>
    </row>
    <row r="4515" spans="1:5" x14ac:dyDescent="0.25">
      <c r="A4515" s="36">
        <v>4513</v>
      </c>
      <c r="B4515" s="37">
        <v>214655479</v>
      </c>
      <c r="C4515" s="38">
        <v>9.995674672534538E-2</v>
      </c>
      <c r="D4515" s="14" t="s">
        <v>4556</v>
      </c>
      <c r="E4515" s="14" t="s">
        <v>43</v>
      </c>
    </row>
    <row r="4516" spans="1:5" x14ac:dyDescent="0.25">
      <c r="A4516" s="36">
        <v>4514</v>
      </c>
      <c r="B4516" s="37">
        <v>2095898838</v>
      </c>
      <c r="C4516" s="38">
        <v>0.97597895142435043</v>
      </c>
      <c r="D4516" s="14" t="s">
        <v>4557</v>
      </c>
      <c r="E4516" s="14" t="s">
        <v>46</v>
      </c>
    </row>
    <row r="4517" spans="1:5" x14ac:dyDescent="0.25">
      <c r="A4517" s="36">
        <v>4515</v>
      </c>
      <c r="B4517" s="37">
        <v>1795845146</v>
      </c>
      <c r="C4517" s="38">
        <v>0.83625556288112679</v>
      </c>
      <c r="D4517" s="14" t="s">
        <v>4558</v>
      </c>
      <c r="E4517" s="14" t="s">
        <v>48</v>
      </c>
    </row>
    <row r="4518" spans="1:5" x14ac:dyDescent="0.25">
      <c r="A4518" s="36">
        <v>4516</v>
      </c>
      <c r="B4518" s="37">
        <v>1638402577</v>
      </c>
      <c r="C4518" s="38">
        <v>0.76294065348940932</v>
      </c>
      <c r="D4518" s="14" t="s">
        <v>4559</v>
      </c>
      <c r="E4518" s="14" t="s">
        <v>37</v>
      </c>
    </row>
    <row r="4519" spans="1:5" x14ac:dyDescent="0.25">
      <c r="A4519" s="36">
        <v>4517</v>
      </c>
      <c r="B4519" s="37">
        <v>565615850</v>
      </c>
      <c r="C4519" s="38">
        <v>0.26338540495530954</v>
      </c>
      <c r="D4519" s="14" t="s">
        <v>4560</v>
      </c>
      <c r="E4519" s="14" t="s">
        <v>40</v>
      </c>
    </row>
    <row r="4520" spans="1:5" x14ac:dyDescent="0.25">
      <c r="A4520" s="36">
        <v>4518</v>
      </c>
      <c r="B4520" s="37">
        <v>135976909</v>
      </c>
      <c r="C4520" s="38">
        <v>6.3319182518552605E-2</v>
      </c>
      <c r="D4520" s="14" t="s">
        <v>4561</v>
      </c>
      <c r="E4520" s="14" t="s">
        <v>43</v>
      </c>
    </row>
    <row r="4521" spans="1:5" x14ac:dyDescent="0.25">
      <c r="A4521" s="36">
        <v>4519</v>
      </c>
      <c r="B4521" s="37">
        <v>1791898236</v>
      </c>
      <c r="C4521" s="38">
        <v>0.83441763968878313</v>
      </c>
      <c r="D4521" s="14" t="s">
        <v>4562</v>
      </c>
      <c r="E4521" s="14" t="s">
        <v>46</v>
      </c>
    </row>
    <row r="4522" spans="1:5" x14ac:dyDescent="0.25">
      <c r="A4522" s="36">
        <v>4520</v>
      </c>
      <c r="B4522" s="37">
        <v>1060511000</v>
      </c>
      <c r="C4522" s="38">
        <v>0.49383891769397953</v>
      </c>
      <c r="D4522" s="14" t="s">
        <v>4563</v>
      </c>
      <c r="E4522" s="14" t="s">
        <v>48</v>
      </c>
    </row>
    <row r="4523" spans="1:5" x14ac:dyDescent="0.25">
      <c r="A4523" s="36">
        <v>4521</v>
      </c>
      <c r="B4523" s="37">
        <v>1495959694</v>
      </c>
      <c r="C4523" s="38">
        <v>0.69661051719291622</v>
      </c>
      <c r="D4523" s="14" t="s">
        <v>4564</v>
      </c>
      <c r="E4523" s="14" t="s">
        <v>37</v>
      </c>
    </row>
    <row r="4524" spans="1:5" x14ac:dyDescent="0.25">
      <c r="A4524" s="36">
        <v>4522</v>
      </c>
      <c r="B4524" s="37">
        <v>200288251</v>
      </c>
      <c r="C4524" s="38">
        <v>9.3266484836706187E-2</v>
      </c>
      <c r="D4524" s="14" t="s">
        <v>4565</v>
      </c>
      <c r="E4524" s="14" t="s">
        <v>40</v>
      </c>
    </row>
    <row r="4525" spans="1:5" x14ac:dyDescent="0.25">
      <c r="A4525" s="36">
        <v>4523</v>
      </c>
      <c r="B4525" s="37">
        <v>1863605130</v>
      </c>
      <c r="C4525" s="38">
        <v>0.86780876427321174</v>
      </c>
      <c r="D4525" s="14" t="s">
        <v>4566</v>
      </c>
      <c r="E4525" s="14" t="s">
        <v>43</v>
      </c>
    </row>
    <row r="4526" spans="1:5" x14ac:dyDescent="0.25">
      <c r="A4526" s="36">
        <v>4524</v>
      </c>
      <c r="B4526" s="37">
        <v>1837146090</v>
      </c>
      <c r="C4526" s="38">
        <v>0.85548781364014737</v>
      </c>
      <c r="D4526" s="14" t="s">
        <v>4567</v>
      </c>
      <c r="E4526" s="14" t="s">
        <v>46</v>
      </c>
    </row>
    <row r="4527" spans="1:5" x14ac:dyDescent="0.25">
      <c r="A4527" s="36">
        <v>4525</v>
      </c>
      <c r="B4527" s="37">
        <v>698222766</v>
      </c>
      <c r="C4527" s="38">
        <v>0.32513531219453334</v>
      </c>
      <c r="D4527" s="14" t="s">
        <v>4568</v>
      </c>
      <c r="E4527" s="14" t="s">
        <v>48</v>
      </c>
    </row>
    <row r="4528" spans="1:5" x14ac:dyDescent="0.25">
      <c r="A4528" s="36">
        <v>4526</v>
      </c>
      <c r="B4528" s="37">
        <v>703658561</v>
      </c>
      <c r="C4528" s="38">
        <v>0.32766655149295298</v>
      </c>
      <c r="D4528" s="14" t="s">
        <v>4569</v>
      </c>
      <c r="E4528" s="14" t="s">
        <v>37</v>
      </c>
    </row>
    <row r="4529" spans="1:5" x14ac:dyDescent="0.25">
      <c r="A4529" s="36">
        <v>4527</v>
      </c>
      <c r="B4529" s="37">
        <v>1371726125</v>
      </c>
      <c r="C4529" s="38">
        <v>0.63875975349860259</v>
      </c>
      <c r="D4529" s="14" t="s">
        <v>4570</v>
      </c>
      <c r="E4529" s="14" t="s">
        <v>40</v>
      </c>
    </row>
    <row r="4530" spans="1:5" x14ac:dyDescent="0.25">
      <c r="A4530" s="36">
        <v>4528</v>
      </c>
      <c r="B4530" s="37">
        <v>109152744</v>
      </c>
      <c r="C4530" s="38">
        <v>5.0828207307880839E-2</v>
      </c>
      <c r="D4530" s="14" t="s">
        <v>4571</v>
      </c>
      <c r="E4530" s="14" t="s">
        <v>43</v>
      </c>
    </row>
    <row r="4531" spans="1:5" x14ac:dyDescent="0.25">
      <c r="A4531" s="36">
        <v>4529</v>
      </c>
      <c r="B4531" s="37">
        <v>631156388</v>
      </c>
      <c r="C4531" s="38">
        <v>0.2939050962654432</v>
      </c>
      <c r="D4531" s="14" t="s">
        <v>4572</v>
      </c>
      <c r="E4531" s="14" t="s">
        <v>46</v>
      </c>
    </row>
    <row r="4532" spans="1:5" x14ac:dyDescent="0.25">
      <c r="A4532" s="36">
        <v>4530</v>
      </c>
      <c r="B4532" s="37">
        <v>1830723759</v>
      </c>
      <c r="C4532" s="38">
        <v>0.8524971827177783</v>
      </c>
      <c r="D4532" s="14" t="s">
        <v>4573</v>
      </c>
      <c r="E4532" s="14" t="s">
        <v>48</v>
      </c>
    </row>
    <row r="4533" spans="1:5" x14ac:dyDescent="0.25">
      <c r="A4533" s="36">
        <v>4531</v>
      </c>
      <c r="B4533" s="37">
        <v>741309757</v>
      </c>
      <c r="C4533" s="38">
        <v>0.34519925589915329</v>
      </c>
      <c r="D4533" s="14" t="s">
        <v>4574</v>
      </c>
      <c r="E4533" s="14" t="s">
        <v>37</v>
      </c>
    </row>
    <row r="4534" spans="1:5" x14ac:dyDescent="0.25">
      <c r="A4534" s="36">
        <v>4532</v>
      </c>
      <c r="B4534" s="37">
        <v>565993977</v>
      </c>
      <c r="C4534" s="38">
        <v>0.26356148406097735</v>
      </c>
      <c r="D4534" s="14" t="s">
        <v>4575</v>
      </c>
      <c r="E4534" s="14" t="s">
        <v>40</v>
      </c>
    </row>
    <row r="4535" spans="1:5" x14ac:dyDescent="0.25">
      <c r="A4535" s="36">
        <v>4533</v>
      </c>
      <c r="B4535" s="37">
        <v>325113013</v>
      </c>
      <c r="C4535" s="38">
        <v>0.1513925442245754</v>
      </c>
      <c r="D4535" s="14" t="s">
        <v>4576</v>
      </c>
      <c r="E4535" s="14" t="s">
        <v>43</v>
      </c>
    </row>
    <row r="4536" spans="1:5" x14ac:dyDescent="0.25">
      <c r="A4536" s="36">
        <v>4534</v>
      </c>
      <c r="B4536" s="37">
        <v>315274989</v>
      </c>
      <c r="C4536" s="38">
        <v>0.1468113573020377</v>
      </c>
      <c r="D4536" s="14" t="s">
        <v>4577</v>
      </c>
      <c r="E4536" s="14" t="s">
        <v>46</v>
      </c>
    </row>
    <row r="4537" spans="1:5" x14ac:dyDescent="0.25">
      <c r="A4537" s="36">
        <v>4535</v>
      </c>
      <c r="B4537" s="37">
        <v>1388668411</v>
      </c>
      <c r="C4537" s="38">
        <v>0.64664912021097221</v>
      </c>
      <c r="D4537" s="14" t="s">
        <v>4578</v>
      </c>
      <c r="E4537" s="14" t="s">
        <v>48</v>
      </c>
    </row>
    <row r="4538" spans="1:5" x14ac:dyDescent="0.25">
      <c r="A4538" s="36">
        <v>4536</v>
      </c>
      <c r="B4538" s="37">
        <v>212504490</v>
      </c>
      <c r="C4538" s="38">
        <v>9.8955114418154175E-2</v>
      </c>
      <c r="D4538" s="14" t="s">
        <v>4579</v>
      </c>
      <c r="E4538" s="14" t="s">
        <v>37</v>
      </c>
    </row>
    <row r="4539" spans="1:5" x14ac:dyDescent="0.25">
      <c r="A4539" s="36">
        <v>4537</v>
      </c>
      <c r="B4539" s="37">
        <v>1576173162</v>
      </c>
      <c r="C4539" s="38">
        <v>0.7339628239786079</v>
      </c>
      <c r="D4539" s="14" t="s">
        <v>4580</v>
      </c>
      <c r="E4539" s="14" t="s">
        <v>40</v>
      </c>
    </row>
    <row r="4540" spans="1:5" x14ac:dyDescent="0.25">
      <c r="A4540" s="36">
        <v>4538</v>
      </c>
      <c r="B4540" s="37">
        <v>2022326020</v>
      </c>
      <c r="C4540" s="38">
        <v>0.94171893826765896</v>
      </c>
      <c r="D4540" s="14" t="s">
        <v>4581</v>
      </c>
      <c r="E4540" s="14" t="s">
        <v>43</v>
      </c>
    </row>
    <row r="4541" spans="1:5" x14ac:dyDescent="0.25">
      <c r="A4541" s="36">
        <v>4539</v>
      </c>
      <c r="B4541" s="37">
        <v>403417518</v>
      </c>
      <c r="C4541" s="38">
        <v>0.18785592084185029</v>
      </c>
      <c r="D4541" s="14" t="s">
        <v>4582</v>
      </c>
      <c r="E4541" s="14" t="s">
        <v>46</v>
      </c>
    </row>
    <row r="4542" spans="1:5" x14ac:dyDescent="0.25">
      <c r="A4542" s="36">
        <v>4540</v>
      </c>
      <c r="B4542" s="37">
        <v>748989096</v>
      </c>
      <c r="C4542" s="38">
        <v>0.34877522678523104</v>
      </c>
      <c r="D4542" s="14" t="s">
        <v>4583</v>
      </c>
      <c r="E4542" s="14" t="s">
        <v>48</v>
      </c>
    </row>
    <row r="4543" spans="1:5" x14ac:dyDescent="0.25">
      <c r="A4543" s="36">
        <v>4541</v>
      </c>
      <c r="B4543" s="37">
        <v>1195076008</v>
      </c>
      <c r="C4543" s="38">
        <v>0.55650063257501492</v>
      </c>
      <c r="D4543" s="14" t="s">
        <v>4584</v>
      </c>
      <c r="E4543" s="14" t="s">
        <v>37</v>
      </c>
    </row>
    <row r="4544" spans="1:5" x14ac:dyDescent="0.25">
      <c r="A4544" s="36">
        <v>4542</v>
      </c>
      <c r="B4544" s="37">
        <v>1476551500</v>
      </c>
      <c r="C4544" s="38">
        <v>0.68757287258634947</v>
      </c>
      <c r="D4544" s="14" t="s">
        <v>4585</v>
      </c>
      <c r="E4544" s="14" t="s">
        <v>40</v>
      </c>
    </row>
    <row r="4545" spans="1:5" x14ac:dyDescent="0.25">
      <c r="A4545" s="36">
        <v>4543</v>
      </c>
      <c r="B4545" s="37">
        <v>1520155869</v>
      </c>
      <c r="C4545" s="38">
        <v>0.70787773919658625</v>
      </c>
      <c r="D4545" s="14" t="s">
        <v>4586</v>
      </c>
      <c r="E4545" s="14" t="s">
        <v>43</v>
      </c>
    </row>
    <row r="4546" spans="1:5" x14ac:dyDescent="0.25">
      <c r="A4546" s="36">
        <v>4544</v>
      </c>
      <c r="B4546" s="37">
        <v>1430164288</v>
      </c>
      <c r="C4546" s="38">
        <v>0.66597214372175384</v>
      </c>
      <c r="D4546" s="14" t="s">
        <v>4587</v>
      </c>
      <c r="E4546" s="14" t="s">
        <v>46</v>
      </c>
    </row>
    <row r="4547" spans="1:5" x14ac:dyDescent="0.25">
      <c r="A4547" s="36">
        <v>4545</v>
      </c>
      <c r="B4547" s="37">
        <v>1620629454</v>
      </c>
      <c r="C4547" s="38">
        <v>0.75466439814989661</v>
      </c>
      <c r="D4547" s="14" t="s">
        <v>4588</v>
      </c>
      <c r="E4547" s="14" t="s">
        <v>48</v>
      </c>
    </row>
    <row r="4548" spans="1:5" x14ac:dyDescent="0.25">
      <c r="A4548" s="36">
        <v>4546</v>
      </c>
      <c r="B4548" s="37">
        <v>492775347</v>
      </c>
      <c r="C4548" s="38">
        <v>0.22946640254439152</v>
      </c>
      <c r="D4548" s="14" t="s">
        <v>4589</v>
      </c>
      <c r="E4548" s="14" t="s">
        <v>37</v>
      </c>
    </row>
    <row r="4549" spans="1:5" x14ac:dyDescent="0.25">
      <c r="A4549" s="36">
        <v>4547</v>
      </c>
      <c r="B4549" s="37">
        <v>76946807</v>
      </c>
      <c r="C4549" s="38">
        <v>3.5831149218525343E-2</v>
      </c>
      <c r="D4549" s="14" t="s">
        <v>4590</v>
      </c>
      <c r="E4549" s="14" t="s">
        <v>40</v>
      </c>
    </row>
    <row r="4550" spans="1:5" x14ac:dyDescent="0.25">
      <c r="A4550" s="36">
        <v>4548</v>
      </c>
      <c r="B4550" s="37">
        <v>678151524</v>
      </c>
      <c r="C4550" s="38">
        <v>0.31578891180259588</v>
      </c>
      <c r="D4550" s="14" t="s">
        <v>4591</v>
      </c>
      <c r="E4550" s="14" t="s">
        <v>43</v>
      </c>
    </row>
    <row r="4551" spans="1:5" x14ac:dyDescent="0.25">
      <c r="A4551" s="36">
        <v>4549</v>
      </c>
      <c r="B4551" s="37">
        <v>22664890</v>
      </c>
      <c r="C4551" s="38">
        <v>1.0554161859002971E-2</v>
      </c>
      <c r="D4551" s="14" t="s">
        <v>4592</v>
      </c>
      <c r="E4551" s="14" t="s">
        <v>46</v>
      </c>
    </row>
    <row r="4552" spans="1:5" x14ac:dyDescent="0.25">
      <c r="A4552" s="36">
        <v>4550</v>
      </c>
      <c r="B4552" s="37">
        <v>297220977</v>
      </c>
      <c r="C4552" s="38">
        <v>0.13840430282913349</v>
      </c>
      <c r="D4552" s="14" t="s">
        <v>4593</v>
      </c>
      <c r="E4552" s="14" t="s">
        <v>48</v>
      </c>
    </row>
    <row r="4553" spans="1:5" x14ac:dyDescent="0.25">
      <c r="A4553" s="36">
        <v>4551</v>
      </c>
      <c r="B4553" s="37">
        <v>1920500229</v>
      </c>
      <c r="C4553" s="38">
        <v>0.89430260932739014</v>
      </c>
      <c r="D4553" s="14" t="s">
        <v>4594</v>
      </c>
      <c r="E4553" s="14" t="s">
        <v>37</v>
      </c>
    </row>
    <row r="4554" spans="1:5" x14ac:dyDescent="0.25">
      <c r="A4554" s="36">
        <v>4552</v>
      </c>
      <c r="B4554" s="37">
        <v>1122976365</v>
      </c>
      <c r="C4554" s="38">
        <v>0.52292661998557233</v>
      </c>
      <c r="D4554" s="14" t="s">
        <v>4595</v>
      </c>
      <c r="E4554" s="14" t="s">
        <v>40</v>
      </c>
    </row>
    <row r="4555" spans="1:5" x14ac:dyDescent="0.25">
      <c r="A4555" s="36">
        <v>4553</v>
      </c>
      <c r="B4555" s="37">
        <v>1941899520</v>
      </c>
      <c r="C4555" s="38">
        <v>0.90426743072656335</v>
      </c>
      <c r="D4555" s="14" t="s">
        <v>4596</v>
      </c>
      <c r="E4555" s="14" t="s">
        <v>43</v>
      </c>
    </row>
    <row r="4556" spans="1:5" x14ac:dyDescent="0.25">
      <c r="A4556" s="36">
        <v>4554</v>
      </c>
      <c r="B4556" s="37">
        <v>466575351</v>
      </c>
      <c r="C4556" s="38">
        <v>0.21726607867389269</v>
      </c>
      <c r="D4556" s="14" t="s">
        <v>4597</v>
      </c>
      <c r="E4556" s="14" t="s">
        <v>46</v>
      </c>
    </row>
    <row r="4557" spans="1:5" x14ac:dyDescent="0.25">
      <c r="A4557" s="36">
        <v>4555</v>
      </c>
      <c r="B4557" s="37">
        <v>626508183</v>
      </c>
      <c r="C4557" s="38">
        <v>0.29174060714046501</v>
      </c>
      <c r="D4557" s="14" t="s">
        <v>4598</v>
      </c>
      <c r="E4557" s="14" t="s">
        <v>48</v>
      </c>
    </row>
    <row r="4558" spans="1:5" x14ac:dyDescent="0.25">
      <c r="A4558" s="36">
        <v>4556</v>
      </c>
      <c r="B4558" s="37">
        <v>13392628</v>
      </c>
      <c r="C4558" s="38">
        <v>6.2364283978177367E-3</v>
      </c>
      <c r="D4558" s="14" t="s">
        <v>4599</v>
      </c>
      <c r="E4558" s="14" t="s">
        <v>37</v>
      </c>
    </row>
    <row r="4559" spans="1:5" x14ac:dyDescent="0.25">
      <c r="A4559" s="36">
        <v>4557</v>
      </c>
      <c r="B4559" s="37">
        <v>350286416</v>
      </c>
      <c r="C4559" s="38">
        <v>0.16311482347693054</v>
      </c>
      <c r="D4559" s="14" t="s">
        <v>4600</v>
      </c>
      <c r="E4559" s="14" t="s">
        <v>40</v>
      </c>
    </row>
    <row r="4560" spans="1:5" x14ac:dyDescent="0.25">
      <c r="A4560" s="36">
        <v>4558</v>
      </c>
      <c r="B4560" s="37">
        <v>372983300</v>
      </c>
      <c r="C4560" s="38">
        <v>0.17368388370316656</v>
      </c>
      <c r="D4560" s="14" t="s">
        <v>4601</v>
      </c>
      <c r="E4560" s="14" t="s">
        <v>43</v>
      </c>
    </row>
    <row r="4561" spans="1:5" x14ac:dyDescent="0.25">
      <c r="A4561" s="36">
        <v>4559</v>
      </c>
      <c r="B4561" s="37">
        <v>1371505376</v>
      </c>
      <c r="C4561" s="38">
        <v>0.63865695923504273</v>
      </c>
      <c r="D4561" s="14" t="s">
        <v>4602</v>
      </c>
      <c r="E4561" s="14" t="s">
        <v>46</v>
      </c>
    </row>
    <row r="4562" spans="1:5" x14ac:dyDescent="0.25">
      <c r="A4562" s="36">
        <v>4560</v>
      </c>
      <c r="B4562" s="37">
        <v>2034110803</v>
      </c>
      <c r="C4562" s="38">
        <v>0.94720665549263672</v>
      </c>
      <c r="D4562" s="14" t="s">
        <v>4603</v>
      </c>
      <c r="E4562" s="14" t="s">
        <v>48</v>
      </c>
    </row>
    <row r="4563" spans="1:5" x14ac:dyDescent="0.25">
      <c r="A4563" s="36">
        <v>4561</v>
      </c>
      <c r="B4563" s="37">
        <v>1353708895</v>
      </c>
      <c r="C4563" s="38">
        <v>0.6303698269791761</v>
      </c>
      <c r="D4563" s="14" t="s">
        <v>4604</v>
      </c>
      <c r="E4563" s="14" t="s">
        <v>37</v>
      </c>
    </row>
    <row r="4564" spans="1:5" x14ac:dyDescent="0.25">
      <c r="A4564" s="36">
        <v>4562</v>
      </c>
      <c r="B4564" s="37">
        <v>1736000996</v>
      </c>
      <c r="C4564" s="38">
        <v>0.80838845894131273</v>
      </c>
      <c r="D4564" s="14" t="s">
        <v>4605</v>
      </c>
      <c r="E4564" s="14" t="s">
        <v>40</v>
      </c>
    </row>
    <row r="4565" spans="1:5" x14ac:dyDescent="0.25">
      <c r="A4565" s="36">
        <v>4563</v>
      </c>
      <c r="B4565" s="37">
        <v>583589922</v>
      </c>
      <c r="C4565" s="38">
        <v>0.27175523446488903</v>
      </c>
      <c r="D4565" s="14" t="s">
        <v>4606</v>
      </c>
      <c r="E4565" s="14" t="s">
        <v>43</v>
      </c>
    </row>
    <row r="4566" spans="1:5" x14ac:dyDescent="0.25">
      <c r="A4566" s="36">
        <v>4564</v>
      </c>
      <c r="B4566" s="37">
        <v>1833486352</v>
      </c>
      <c r="C4566" s="38">
        <v>0.85378361533106473</v>
      </c>
      <c r="D4566" s="14" t="s">
        <v>4607</v>
      </c>
      <c r="E4566" s="14" t="s">
        <v>46</v>
      </c>
    </row>
    <row r="4567" spans="1:5" x14ac:dyDescent="0.25">
      <c r="A4567" s="36">
        <v>4565</v>
      </c>
      <c r="B4567" s="37">
        <v>1383934855</v>
      </c>
      <c r="C4567" s="38">
        <v>0.64444488642944253</v>
      </c>
      <c r="D4567" s="14" t="s">
        <v>4608</v>
      </c>
      <c r="E4567" s="14" t="s">
        <v>48</v>
      </c>
    </row>
    <row r="4568" spans="1:5" x14ac:dyDescent="0.25">
      <c r="A4568" s="36">
        <v>4566</v>
      </c>
      <c r="B4568" s="37">
        <v>207704433</v>
      </c>
      <c r="C4568" s="38">
        <v>9.6719913695342802E-2</v>
      </c>
      <c r="D4568" s="14" t="s">
        <v>4609</v>
      </c>
      <c r="E4568" s="14" t="s">
        <v>37</v>
      </c>
    </row>
    <row r="4569" spans="1:5" x14ac:dyDescent="0.25">
      <c r="A4569" s="36">
        <v>4567</v>
      </c>
      <c r="B4569" s="37">
        <v>400462077</v>
      </c>
      <c r="C4569" s="38">
        <v>0.18647968638058737</v>
      </c>
      <c r="D4569" s="14" t="s">
        <v>4610</v>
      </c>
      <c r="E4569" s="14" t="s">
        <v>40</v>
      </c>
    </row>
    <row r="4570" spans="1:5" x14ac:dyDescent="0.25">
      <c r="A4570" s="36">
        <v>4568</v>
      </c>
      <c r="B4570" s="37">
        <v>1228593848</v>
      </c>
      <c r="C4570" s="38">
        <v>0.57210859310445772</v>
      </c>
      <c r="D4570" s="14" t="s">
        <v>4611</v>
      </c>
      <c r="E4570" s="14" t="s">
        <v>43</v>
      </c>
    </row>
    <row r="4571" spans="1:5" x14ac:dyDescent="0.25">
      <c r="A4571" s="36">
        <v>4569</v>
      </c>
      <c r="B4571" s="37">
        <v>1134028440</v>
      </c>
      <c r="C4571" s="38">
        <v>0.52807314345989054</v>
      </c>
      <c r="D4571" s="14" t="s">
        <v>4612</v>
      </c>
      <c r="E4571" s="14" t="s">
        <v>46</v>
      </c>
    </row>
    <row r="4572" spans="1:5" x14ac:dyDescent="0.25">
      <c r="A4572" s="36">
        <v>4570</v>
      </c>
      <c r="B4572" s="37">
        <v>904635046</v>
      </c>
      <c r="C4572" s="38">
        <v>0.4212535202602174</v>
      </c>
      <c r="D4572" s="14" t="s">
        <v>4613</v>
      </c>
      <c r="E4572" s="14" t="s">
        <v>48</v>
      </c>
    </row>
    <row r="4573" spans="1:5" x14ac:dyDescent="0.25">
      <c r="A4573" s="36">
        <v>4571</v>
      </c>
      <c r="B4573" s="37">
        <v>1047858384</v>
      </c>
      <c r="C4573" s="38">
        <v>0.48794708423686545</v>
      </c>
      <c r="D4573" s="14" t="s">
        <v>4614</v>
      </c>
      <c r="E4573" s="14" t="s">
        <v>37</v>
      </c>
    </row>
    <row r="4574" spans="1:5" x14ac:dyDescent="0.25">
      <c r="A4574" s="36">
        <v>4572</v>
      </c>
      <c r="B4574" s="37">
        <v>1272438423</v>
      </c>
      <c r="C4574" s="38">
        <v>0.59252531434992572</v>
      </c>
      <c r="D4574" s="14" t="s">
        <v>4615</v>
      </c>
      <c r="E4574" s="14" t="s">
        <v>40</v>
      </c>
    </row>
    <row r="4575" spans="1:5" x14ac:dyDescent="0.25">
      <c r="A4575" s="36">
        <v>4573</v>
      </c>
      <c r="B4575" s="37">
        <v>1440970667</v>
      </c>
      <c r="C4575" s="38">
        <v>0.6710042560803724</v>
      </c>
      <c r="D4575" s="14" t="s">
        <v>4616</v>
      </c>
      <c r="E4575" s="14" t="s">
        <v>43</v>
      </c>
    </row>
    <row r="4576" spans="1:5" x14ac:dyDescent="0.25">
      <c r="A4576" s="36">
        <v>4574</v>
      </c>
      <c r="B4576" s="37">
        <v>1785607157</v>
      </c>
      <c r="C4576" s="38">
        <v>0.83148812774172431</v>
      </c>
      <c r="D4576" s="14" t="s">
        <v>4617</v>
      </c>
      <c r="E4576" s="14" t="s">
        <v>46</v>
      </c>
    </row>
    <row r="4577" spans="1:5" x14ac:dyDescent="0.25">
      <c r="A4577" s="36">
        <v>4575</v>
      </c>
      <c r="B4577" s="37">
        <v>532501297</v>
      </c>
      <c r="C4577" s="38">
        <v>0.24796523956952859</v>
      </c>
      <c r="D4577" s="14" t="s">
        <v>4618</v>
      </c>
      <c r="E4577" s="14" t="s">
        <v>48</v>
      </c>
    </row>
    <row r="4578" spans="1:5" x14ac:dyDescent="0.25">
      <c r="A4578" s="36">
        <v>4576</v>
      </c>
      <c r="B4578" s="37">
        <v>1744895780</v>
      </c>
      <c r="C4578" s="38">
        <v>0.8125304155110058</v>
      </c>
      <c r="D4578" s="14" t="s">
        <v>4619</v>
      </c>
      <c r="E4578" s="14" t="s">
        <v>37</v>
      </c>
    </row>
    <row r="4579" spans="1:5" x14ac:dyDescent="0.25">
      <c r="A4579" s="36">
        <v>4577</v>
      </c>
      <c r="B4579" s="37">
        <v>1421665104</v>
      </c>
      <c r="C4579" s="38">
        <v>0.66201440275740553</v>
      </c>
      <c r="D4579" s="14" t="s">
        <v>4620</v>
      </c>
      <c r="E4579" s="14" t="s">
        <v>40</v>
      </c>
    </row>
    <row r="4580" spans="1:5" x14ac:dyDescent="0.25">
      <c r="A4580" s="36">
        <v>4578</v>
      </c>
      <c r="B4580" s="37">
        <v>2138648290</v>
      </c>
      <c r="C4580" s="38">
        <v>0.99588571628364064</v>
      </c>
      <c r="D4580" s="14" t="s">
        <v>4621</v>
      </c>
      <c r="E4580" s="14" t="s">
        <v>43</v>
      </c>
    </row>
    <row r="4581" spans="1:5" x14ac:dyDescent="0.25">
      <c r="A4581" s="36">
        <v>4579</v>
      </c>
      <c r="B4581" s="37">
        <v>309308454</v>
      </c>
      <c r="C4581" s="38">
        <v>0.14403297293187722</v>
      </c>
      <c r="D4581" s="14" t="s">
        <v>4622</v>
      </c>
      <c r="E4581" s="14" t="s">
        <v>46</v>
      </c>
    </row>
    <row r="4582" spans="1:5" x14ac:dyDescent="0.25">
      <c r="A4582" s="36">
        <v>4580</v>
      </c>
      <c r="B4582" s="37">
        <v>2053864911</v>
      </c>
      <c r="C4582" s="38">
        <v>0.95640537885781629</v>
      </c>
      <c r="D4582" s="14" t="s">
        <v>4623</v>
      </c>
      <c r="E4582" s="14" t="s">
        <v>48</v>
      </c>
    </row>
    <row r="4583" spans="1:5" x14ac:dyDescent="0.25">
      <c r="A4583" s="36">
        <v>4581</v>
      </c>
      <c r="B4583" s="37">
        <v>290724731</v>
      </c>
      <c r="C4583" s="38">
        <v>0.13537925255269709</v>
      </c>
      <c r="D4583" s="14" t="s">
        <v>4624</v>
      </c>
      <c r="E4583" s="14" t="s">
        <v>37</v>
      </c>
    </row>
    <row r="4584" spans="1:5" x14ac:dyDescent="0.25">
      <c r="A4584" s="36">
        <v>4582</v>
      </c>
      <c r="B4584" s="37">
        <v>1336789724</v>
      </c>
      <c r="C4584" s="38">
        <v>0.62249122402746748</v>
      </c>
      <c r="D4584" s="14" t="s">
        <v>4625</v>
      </c>
      <c r="E4584" s="14" t="s">
        <v>40</v>
      </c>
    </row>
    <row r="4585" spans="1:5" x14ac:dyDescent="0.25">
      <c r="A4585" s="36">
        <v>4583</v>
      </c>
      <c r="B4585" s="37">
        <v>1453438979</v>
      </c>
      <c r="C4585" s="38">
        <v>0.67681026629955054</v>
      </c>
      <c r="D4585" s="14" t="s">
        <v>4626</v>
      </c>
      <c r="E4585" s="14" t="s">
        <v>43</v>
      </c>
    </row>
    <row r="4586" spans="1:5" x14ac:dyDescent="0.25">
      <c r="A4586" s="36">
        <v>4584</v>
      </c>
      <c r="B4586" s="37">
        <v>173190702</v>
      </c>
      <c r="C4586" s="38">
        <v>8.0648205280605803E-2</v>
      </c>
      <c r="D4586" s="14" t="s">
        <v>4627</v>
      </c>
      <c r="E4586" s="14" t="s">
        <v>46</v>
      </c>
    </row>
    <row r="4587" spans="1:5" x14ac:dyDescent="0.25">
      <c r="A4587" s="36">
        <v>4585</v>
      </c>
      <c r="B4587" s="37">
        <v>914893846</v>
      </c>
      <c r="C4587" s="38">
        <v>0.42603064627667453</v>
      </c>
      <c r="D4587" s="14" t="s">
        <v>4628</v>
      </c>
      <c r="E4587" s="14" t="s">
        <v>48</v>
      </c>
    </row>
    <row r="4588" spans="1:5" x14ac:dyDescent="0.25">
      <c r="A4588" s="36">
        <v>4586</v>
      </c>
      <c r="B4588" s="37">
        <v>286967440</v>
      </c>
      <c r="C4588" s="38">
        <v>0.13362962758803257</v>
      </c>
      <c r="D4588" s="14" t="s">
        <v>4629</v>
      </c>
      <c r="E4588" s="14" t="s">
        <v>37</v>
      </c>
    </row>
    <row r="4589" spans="1:5" x14ac:dyDescent="0.25">
      <c r="A4589" s="36">
        <v>4587</v>
      </c>
      <c r="B4589" s="37">
        <v>704368013</v>
      </c>
      <c r="C4589" s="38">
        <v>0.32799691582470991</v>
      </c>
      <c r="D4589" s="14" t="s">
        <v>4630</v>
      </c>
      <c r="E4589" s="14" t="s">
        <v>40</v>
      </c>
    </row>
    <row r="4590" spans="1:5" x14ac:dyDescent="0.25">
      <c r="A4590" s="36">
        <v>4588</v>
      </c>
      <c r="B4590" s="37">
        <v>1156310575</v>
      </c>
      <c r="C4590" s="38">
        <v>0.53844907113278706</v>
      </c>
      <c r="D4590" s="14" t="s">
        <v>4631</v>
      </c>
      <c r="E4590" s="14" t="s">
        <v>43</v>
      </c>
    </row>
    <row r="4591" spans="1:5" x14ac:dyDescent="0.25">
      <c r="A4591" s="36">
        <v>4589</v>
      </c>
      <c r="B4591" s="37">
        <v>885328584</v>
      </c>
      <c r="C4591" s="38">
        <v>0.41226324830775302</v>
      </c>
      <c r="D4591" s="14" t="s">
        <v>4632</v>
      </c>
      <c r="E4591" s="14" t="s">
        <v>46</v>
      </c>
    </row>
    <row r="4592" spans="1:5" x14ac:dyDescent="0.25">
      <c r="A4592" s="36">
        <v>4590</v>
      </c>
      <c r="B4592" s="37">
        <v>2051975189</v>
      </c>
      <c r="C4592" s="38">
        <v>0.95552540847823275</v>
      </c>
      <c r="D4592" s="14" t="s">
        <v>4633</v>
      </c>
      <c r="E4592" s="14" t="s">
        <v>48</v>
      </c>
    </row>
    <row r="4593" spans="1:5" x14ac:dyDescent="0.25">
      <c r="A4593" s="36">
        <v>4591</v>
      </c>
      <c r="B4593" s="37">
        <v>864755536</v>
      </c>
      <c r="C4593" s="38">
        <v>0.40268317628776801</v>
      </c>
      <c r="D4593" s="14" t="s">
        <v>4634</v>
      </c>
      <c r="E4593" s="14" t="s">
        <v>37</v>
      </c>
    </row>
    <row r="4594" spans="1:5" x14ac:dyDescent="0.25">
      <c r="A4594" s="36">
        <v>4592</v>
      </c>
      <c r="B4594" s="37">
        <v>1473488051</v>
      </c>
      <c r="C4594" s="38">
        <v>0.68614634298074351</v>
      </c>
      <c r="D4594" s="14" t="s">
        <v>4635</v>
      </c>
      <c r="E4594" s="14" t="s">
        <v>40</v>
      </c>
    </row>
    <row r="4595" spans="1:5" x14ac:dyDescent="0.25">
      <c r="A4595" s="36">
        <v>4593</v>
      </c>
      <c r="B4595" s="37">
        <v>458887122</v>
      </c>
      <c r="C4595" s="38">
        <v>0.21368596805896889</v>
      </c>
      <c r="D4595" s="14" t="s">
        <v>4636</v>
      </c>
      <c r="E4595" s="14" t="s">
        <v>43</v>
      </c>
    </row>
    <row r="4596" spans="1:5" x14ac:dyDescent="0.25">
      <c r="A4596" s="36">
        <v>4594</v>
      </c>
      <c r="B4596" s="37">
        <v>232184431</v>
      </c>
      <c r="C4596" s="38">
        <v>0.10811930108262194</v>
      </c>
      <c r="D4596" s="14" t="s">
        <v>4637</v>
      </c>
      <c r="E4596" s="14" t="s">
        <v>46</v>
      </c>
    </row>
    <row r="4597" spans="1:5" x14ac:dyDescent="0.25">
      <c r="A4597" s="36">
        <v>4595</v>
      </c>
      <c r="B4597" s="37">
        <v>1614414849</v>
      </c>
      <c r="C4597" s="38">
        <v>0.75177049718413991</v>
      </c>
      <c r="D4597" s="14" t="s">
        <v>4638</v>
      </c>
      <c r="E4597" s="14" t="s">
        <v>48</v>
      </c>
    </row>
    <row r="4598" spans="1:5" x14ac:dyDescent="0.25">
      <c r="A4598" s="36">
        <v>4596</v>
      </c>
      <c r="B4598" s="37">
        <v>556115321</v>
      </c>
      <c r="C4598" s="38">
        <v>0.2589613763890049</v>
      </c>
      <c r="D4598" s="14" t="s">
        <v>4639</v>
      </c>
      <c r="E4598" s="14" t="s">
        <v>37</v>
      </c>
    </row>
    <row r="4599" spans="1:5" x14ac:dyDescent="0.25">
      <c r="A4599" s="36">
        <v>4597</v>
      </c>
      <c r="B4599" s="37">
        <v>337519692</v>
      </c>
      <c r="C4599" s="38">
        <v>0.15716985434161959</v>
      </c>
      <c r="D4599" s="14" t="s">
        <v>4640</v>
      </c>
      <c r="E4599" s="14" t="s">
        <v>40</v>
      </c>
    </row>
    <row r="4600" spans="1:5" x14ac:dyDescent="0.25">
      <c r="A4600" s="36">
        <v>4598</v>
      </c>
      <c r="B4600" s="37">
        <v>1339887912</v>
      </c>
      <c r="C4600" s="38">
        <v>0.62393393024054078</v>
      </c>
      <c r="D4600" s="14" t="s">
        <v>4641</v>
      </c>
      <c r="E4600" s="14" t="s">
        <v>43</v>
      </c>
    </row>
    <row r="4601" spans="1:5" x14ac:dyDescent="0.25">
      <c r="A4601" s="36">
        <v>4599</v>
      </c>
      <c r="B4601" s="37">
        <v>209099585</v>
      </c>
      <c r="C4601" s="38">
        <v>9.7369581971955291E-2</v>
      </c>
      <c r="D4601" s="14" t="s">
        <v>4642</v>
      </c>
      <c r="E4601" s="14" t="s">
        <v>46</v>
      </c>
    </row>
    <row r="4602" spans="1:5" x14ac:dyDescent="0.25">
      <c r="A4602" s="36">
        <v>4600</v>
      </c>
      <c r="B4602" s="37">
        <v>1236022470</v>
      </c>
      <c r="C4602" s="38">
        <v>0.57556781478951113</v>
      </c>
      <c r="D4602" s="14" t="s">
        <v>4643</v>
      </c>
      <c r="E4602" s="14" t="s">
        <v>48</v>
      </c>
    </row>
    <row r="4603" spans="1:5" x14ac:dyDescent="0.25">
      <c r="A4603" s="36">
        <v>4601</v>
      </c>
      <c r="B4603" s="37">
        <v>1050223564</v>
      </c>
      <c r="C4603" s="38">
        <v>0.48904845700089283</v>
      </c>
      <c r="D4603" s="14" t="s">
        <v>4644</v>
      </c>
      <c r="E4603" s="14" t="s">
        <v>37</v>
      </c>
    </row>
    <row r="4604" spans="1:5" x14ac:dyDescent="0.25">
      <c r="A4604" s="36">
        <v>4602</v>
      </c>
      <c r="B4604" s="37">
        <v>1836152972</v>
      </c>
      <c r="C4604" s="38">
        <v>0.85502535703360349</v>
      </c>
      <c r="D4604" s="14" t="s">
        <v>4645</v>
      </c>
      <c r="E4604" s="14" t="s">
        <v>40</v>
      </c>
    </row>
    <row r="4605" spans="1:5" x14ac:dyDescent="0.25">
      <c r="A4605" s="36">
        <v>4603</v>
      </c>
      <c r="B4605" s="37">
        <v>1190892006</v>
      </c>
      <c r="C4605" s="38">
        <v>0.55455230481668949</v>
      </c>
      <c r="D4605" s="14" t="s">
        <v>4646</v>
      </c>
      <c r="E4605" s="14" t="s">
        <v>43</v>
      </c>
    </row>
    <row r="4606" spans="1:5" x14ac:dyDescent="0.25">
      <c r="A4606" s="36">
        <v>4604</v>
      </c>
      <c r="B4606" s="37">
        <v>1390089671</v>
      </c>
      <c r="C4606" s="38">
        <v>0.6473109459724794</v>
      </c>
      <c r="D4606" s="14" t="s">
        <v>4647</v>
      </c>
      <c r="E4606" s="14" t="s">
        <v>46</v>
      </c>
    </row>
    <row r="4607" spans="1:5" x14ac:dyDescent="0.25">
      <c r="A4607" s="36">
        <v>4605</v>
      </c>
      <c r="B4607" s="37">
        <v>1555810643</v>
      </c>
      <c r="C4607" s="38">
        <v>0.72448078716382425</v>
      </c>
      <c r="D4607" s="14" t="s">
        <v>4648</v>
      </c>
      <c r="E4607" s="14" t="s">
        <v>48</v>
      </c>
    </row>
    <row r="4608" spans="1:5" x14ac:dyDescent="0.25">
      <c r="A4608" s="36">
        <v>4606</v>
      </c>
      <c r="B4608" s="37">
        <v>1834788146</v>
      </c>
      <c r="C4608" s="38">
        <v>0.85438981040119655</v>
      </c>
      <c r="D4608" s="14" t="s">
        <v>4649</v>
      </c>
      <c r="E4608" s="14" t="s">
        <v>37</v>
      </c>
    </row>
    <row r="4609" spans="1:5" x14ac:dyDescent="0.25">
      <c r="A4609" s="36">
        <v>4607</v>
      </c>
      <c r="B4609" s="37">
        <v>1441592882</v>
      </c>
      <c r="C4609" s="38">
        <v>0.67129399751838947</v>
      </c>
      <c r="D4609" s="14" t="s">
        <v>4650</v>
      </c>
      <c r="E4609" s="14" t="s">
        <v>40</v>
      </c>
    </row>
    <row r="4610" spans="1:5" x14ac:dyDescent="0.25">
      <c r="A4610" s="36">
        <v>4608</v>
      </c>
      <c r="B4610" s="37">
        <v>243428531</v>
      </c>
      <c r="C4610" s="38">
        <v>0.11335524316567706</v>
      </c>
      <c r="D4610" s="14" t="s">
        <v>4651</v>
      </c>
      <c r="E4610" s="14" t="s">
        <v>43</v>
      </c>
    </row>
    <row r="4611" spans="1:5" x14ac:dyDescent="0.25">
      <c r="A4611" s="36">
        <v>4609</v>
      </c>
      <c r="B4611" s="37">
        <v>232500097</v>
      </c>
      <c r="C4611" s="38">
        <v>0.10826629451860967</v>
      </c>
      <c r="D4611" s="14" t="s">
        <v>4652</v>
      </c>
      <c r="E4611" s="14" t="s">
        <v>46</v>
      </c>
    </row>
    <row r="4612" spans="1:5" x14ac:dyDescent="0.25">
      <c r="A4612" s="36">
        <v>4610</v>
      </c>
      <c r="B4612" s="37">
        <v>914869984</v>
      </c>
      <c r="C4612" s="38">
        <v>0.42601953466703163</v>
      </c>
      <c r="D4612" s="14" t="s">
        <v>4653</v>
      </c>
      <c r="E4612" s="14" t="s">
        <v>48</v>
      </c>
    </row>
    <row r="4613" spans="1:5" x14ac:dyDescent="0.25">
      <c r="A4613" s="36">
        <v>4611</v>
      </c>
      <c r="B4613" s="37">
        <v>1370261183</v>
      </c>
      <c r="C4613" s="38">
        <v>0.63807758672073367</v>
      </c>
      <c r="D4613" s="14" t="s">
        <v>4654</v>
      </c>
      <c r="E4613" s="14" t="s">
        <v>37</v>
      </c>
    </row>
    <row r="4614" spans="1:5" x14ac:dyDescent="0.25">
      <c r="A4614" s="36">
        <v>4612</v>
      </c>
      <c r="B4614" s="37">
        <v>1217993186</v>
      </c>
      <c r="C4614" s="38">
        <v>0.56717227518892488</v>
      </c>
      <c r="D4614" s="14" t="s">
        <v>4655</v>
      </c>
      <c r="E4614" s="14" t="s">
        <v>40</v>
      </c>
    </row>
    <row r="4615" spans="1:5" x14ac:dyDescent="0.25">
      <c r="A4615" s="36">
        <v>4613</v>
      </c>
      <c r="B4615" s="37">
        <v>1940240289</v>
      </c>
      <c r="C4615" s="38">
        <v>0.90349479108280262</v>
      </c>
      <c r="D4615" s="14" t="s">
        <v>4656</v>
      </c>
      <c r="E4615" s="14" t="s">
        <v>43</v>
      </c>
    </row>
    <row r="4616" spans="1:5" x14ac:dyDescent="0.25">
      <c r="A4616" s="36">
        <v>4614</v>
      </c>
      <c r="B4616" s="37">
        <v>299065118</v>
      </c>
      <c r="C4616" s="38">
        <v>0.13926304790157035</v>
      </c>
      <c r="D4616" s="14" t="s">
        <v>4657</v>
      </c>
      <c r="E4616" s="14" t="s">
        <v>46</v>
      </c>
    </row>
    <row r="4617" spans="1:5" x14ac:dyDescent="0.25">
      <c r="A4617" s="36">
        <v>4615</v>
      </c>
      <c r="B4617" s="37">
        <v>637683044</v>
      </c>
      <c r="C4617" s="38">
        <v>0.29694430730163318</v>
      </c>
      <c r="D4617" s="14" t="s">
        <v>4658</v>
      </c>
      <c r="E4617" s="14" t="s">
        <v>48</v>
      </c>
    </row>
    <row r="4618" spans="1:5" x14ac:dyDescent="0.25">
      <c r="A4618" s="36">
        <v>4616</v>
      </c>
      <c r="B4618" s="37">
        <v>1493031986</v>
      </c>
      <c r="C4618" s="38">
        <v>0.69524719691614023</v>
      </c>
      <c r="D4618" s="14" t="s">
        <v>4659</v>
      </c>
      <c r="E4618" s="14" t="s">
        <v>37</v>
      </c>
    </row>
    <row r="4619" spans="1:5" x14ac:dyDescent="0.25">
      <c r="A4619" s="36">
        <v>4617</v>
      </c>
      <c r="B4619" s="37">
        <v>1745008241</v>
      </c>
      <c r="C4619" s="38">
        <v>0.81258278424506203</v>
      </c>
      <c r="D4619" s="14" t="s">
        <v>4660</v>
      </c>
      <c r="E4619" s="14" t="s">
        <v>40</v>
      </c>
    </row>
    <row r="4620" spans="1:5" x14ac:dyDescent="0.25">
      <c r="A4620" s="36">
        <v>4618</v>
      </c>
      <c r="B4620" s="37">
        <v>1784733840</v>
      </c>
      <c r="C4620" s="38">
        <v>0.83108145782308718</v>
      </c>
      <c r="D4620" s="14" t="s">
        <v>4661</v>
      </c>
      <c r="E4620" s="14" t="s">
        <v>43</v>
      </c>
    </row>
    <row r="4621" spans="1:5" x14ac:dyDescent="0.25">
      <c r="A4621" s="36">
        <v>4619</v>
      </c>
      <c r="B4621" s="37">
        <v>720950891</v>
      </c>
      <c r="C4621" s="38">
        <v>0.33571892014505289</v>
      </c>
      <c r="D4621" s="14" t="s">
        <v>4662</v>
      </c>
      <c r="E4621" s="14" t="s">
        <v>46</v>
      </c>
    </row>
    <row r="4622" spans="1:5" x14ac:dyDescent="0.25">
      <c r="A4622" s="36">
        <v>4620</v>
      </c>
      <c r="B4622" s="37">
        <v>16514987</v>
      </c>
      <c r="C4622" s="38">
        <v>7.690390109871696E-3</v>
      </c>
      <c r="D4622" s="14" t="s">
        <v>4663</v>
      </c>
      <c r="E4622" s="14" t="s">
        <v>48</v>
      </c>
    </row>
    <row r="4623" spans="1:5" x14ac:dyDescent="0.25">
      <c r="A4623" s="36">
        <v>4621</v>
      </c>
      <c r="B4623" s="37">
        <v>684475151</v>
      </c>
      <c r="C4623" s="38">
        <v>0.3187335800932411</v>
      </c>
      <c r="D4623" s="14" t="s">
        <v>4664</v>
      </c>
      <c r="E4623" s="14" t="s">
        <v>37</v>
      </c>
    </row>
    <row r="4624" spans="1:5" x14ac:dyDescent="0.25">
      <c r="A4624" s="36">
        <v>4622</v>
      </c>
      <c r="B4624" s="37">
        <v>1040543118</v>
      </c>
      <c r="C4624" s="38">
        <v>0.48454064805272068</v>
      </c>
      <c r="D4624" s="14" t="s">
        <v>4665</v>
      </c>
      <c r="E4624" s="14" t="s">
        <v>40</v>
      </c>
    </row>
    <row r="4625" spans="1:5" x14ac:dyDescent="0.25">
      <c r="A4625" s="36">
        <v>4623</v>
      </c>
      <c r="B4625" s="37">
        <v>1061578263</v>
      </c>
      <c r="C4625" s="38">
        <v>0.49433590075668687</v>
      </c>
      <c r="D4625" s="14" t="s">
        <v>4666</v>
      </c>
      <c r="E4625" s="14" t="s">
        <v>43</v>
      </c>
    </row>
    <row r="4626" spans="1:5" x14ac:dyDescent="0.25">
      <c r="A4626" s="36">
        <v>4624</v>
      </c>
      <c r="B4626" s="37">
        <v>2012928700</v>
      </c>
      <c r="C4626" s="38">
        <v>0.93734297013717838</v>
      </c>
      <c r="D4626" s="14" t="s">
        <v>4667</v>
      </c>
      <c r="E4626" s="14" t="s">
        <v>46</v>
      </c>
    </row>
    <row r="4627" spans="1:5" x14ac:dyDescent="0.25">
      <c r="A4627" s="36">
        <v>4625</v>
      </c>
      <c r="B4627" s="37">
        <v>600229266</v>
      </c>
      <c r="C4627" s="38">
        <v>0.27950353281549345</v>
      </c>
      <c r="D4627" s="14" t="s">
        <v>4668</v>
      </c>
      <c r="E4627" s="14" t="s">
        <v>48</v>
      </c>
    </row>
    <row r="4628" spans="1:5" x14ac:dyDescent="0.25">
      <c r="A4628" s="36">
        <v>4626</v>
      </c>
      <c r="B4628" s="37">
        <v>193478946</v>
      </c>
      <c r="C4628" s="38">
        <v>9.0095655103258634E-2</v>
      </c>
      <c r="D4628" s="14" t="s">
        <v>4669</v>
      </c>
      <c r="E4628" s="14" t="s">
        <v>37</v>
      </c>
    </row>
    <row r="4629" spans="1:5" x14ac:dyDescent="0.25">
      <c r="A4629" s="36">
        <v>4627</v>
      </c>
      <c r="B4629" s="37">
        <v>2023888871</v>
      </c>
      <c r="C4629" s="38">
        <v>0.94244669747652798</v>
      </c>
      <c r="D4629" s="14" t="s">
        <v>4670</v>
      </c>
      <c r="E4629" s="14" t="s">
        <v>40</v>
      </c>
    </row>
    <row r="4630" spans="1:5" x14ac:dyDescent="0.25">
      <c r="A4630" s="36">
        <v>4628</v>
      </c>
      <c r="B4630" s="37">
        <v>1205281776</v>
      </c>
      <c r="C4630" s="38">
        <v>0.56125306364207206</v>
      </c>
      <c r="D4630" s="14" t="s">
        <v>4671</v>
      </c>
      <c r="E4630" s="14" t="s">
        <v>43</v>
      </c>
    </row>
    <row r="4631" spans="1:5" x14ac:dyDescent="0.25">
      <c r="A4631" s="36">
        <v>4629</v>
      </c>
      <c r="B4631" s="37">
        <v>489400283</v>
      </c>
      <c r="C4631" s="38">
        <v>0.22789476589667368</v>
      </c>
      <c r="D4631" s="14" t="s">
        <v>4672</v>
      </c>
      <c r="E4631" s="14" t="s">
        <v>46</v>
      </c>
    </row>
    <row r="4632" spans="1:5" x14ac:dyDescent="0.25">
      <c r="A4632" s="36">
        <v>4630</v>
      </c>
      <c r="B4632" s="37">
        <v>15762759</v>
      </c>
      <c r="C4632" s="38">
        <v>7.3401066508796565E-3</v>
      </c>
      <c r="D4632" s="14" t="s">
        <v>4673</v>
      </c>
      <c r="E4632" s="14" t="s">
        <v>48</v>
      </c>
    </row>
    <row r="4633" spans="1:5" x14ac:dyDescent="0.25">
      <c r="A4633" s="36">
        <v>4631</v>
      </c>
      <c r="B4633" s="37">
        <v>565129652</v>
      </c>
      <c r="C4633" s="38">
        <v>0.26315900136863768</v>
      </c>
      <c r="D4633" s="14" t="s">
        <v>4674</v>
      </c>
      <c r="E4633" s="14" t="s">
        <v>37</v>
      </c>
    </row>
    <row r="4634" spans="1:5" x14ac:dyDescent="0.25">
      <c r="A4634" s="36">
        <v>4632</v>
      </c>
      <c r="B4634" s="37">
        <v>448585878</v>
      </c>
      <c r="C4634" s="38">
        <v>0.20888907751482402</v>
      </c>
      <c r="D4634" s="14" t="s">
        <v>4675</v>
      </c>
      <c r="E4634" s="14" t="s">
        <v>40</v>
      </c>
    </row>
    <row r="4635" spans="1:5" x14ac:dyDescent="0.25">
      <c r="A4635" s="36">
        <v>4633</v>
      </c>
      <c r="B4635" s="37">
        <v>1210936626</v>
      </c>
      <c r="C4635" s="38">
        <v>0.56388630837383047</v>
      </c>
      <c r="D4635" s="14" t="s">
        <v>4676</v>
      </c>
      <c r="E4635" s="14" t="s">
        <v>43</v>
      </c>
    </row>
    <row r="4636" spans="1:5" x14ac:dyDescent="0.25">
      <c r="A4636" s="36">
        <v>4634</v>
      </c>
      <c r="B4636" s="37">
        <v>707771732</v>
      </c>
      <c r="C4636" s="38">
        <v>0.32958189599662174</v>
      </c>
      <c r="D4636" s="14" t="s">
        <v>4677</v>
      </c>
      <c r="E4636" s="14" t="s">
        <v>46</v>
      </c>
    </row>
    <row r="4637" spans="1:5" x14ac:dyDescent="0.25">
      <c r="A4637" s="36">
        <v>4635</v>
      </c>
      <c r="B4637" s="37">
        <v>1669818264</v>
      </c>
      <c r="C4637" s="38">
        <v>0.77756972274629854</v>
      </c>
      <c r="D4637" s="14" t="s">
        <v>4678</v>
      </c>
      <c r="E4637" s="14" t="s">
        <v>48</v>
      </c>
    </row>
    <row r="4638" spans="1:5" x14ac:dyDescent="0.25">
      <c r="A4638" s="36">
        <v>4636</v>
      </c>
      <c r="B4638" s="37">
        <v>1535215075</v>
      </c>
      <c r="C4638" s="38">
        <v>0.71489022845164418</v>
      </c>
      <c r="D4638" s="14" t="s">
        <v>4679</v>
      </c>
      <c r="E4638" s="14" t="s">
        <v>37</v>
      </c>
    </row>
    <row r="4639" spans="1:5" x14ac:dyDescent="0.25">
      <c r="A4639" s="36">
        <v>4637</v>
      </c>
      <c r="B4639" s="37">
        <v>278420007</v>
      </c>
      <c r="C4639" s="38">
        <v>0.12964941893222248</v>
      </c>
      <c r="D4639" s="14" t="s">
        <v>4680</v>
      </c>
      <c r="E4639" s="14" t="s">
        <v>40</v>
      </c>
    </row>
    <row r="4640" spans="1:5" x14ac:dyDescent="0.25">
      <c r="A4640" s="36">
        <v>4638</v>
      </c>
      <c r="B4640" s="37">
        <v>367615063</v>
      </c>
      <c r="C4640" s="38">
        <v>0.17118410355000949</v>
      </c>
      <c r="D4640" s="14" t="s">
        <v>4681</v>
      </c>
      <c r="E4640" s="14" t="s">
        <v>43</v>
      </c>
    </row>
    <row r="4641" spans="1:5" x14ac:dyDescent="0.25">
      <c r="A4641" s="36">
        <v>4639</v>
      </c>
      <c r="B4641" s="37">
        <v>1486268118</v>
      </c>
      <c r="C4641" s="38">
        <v>0.69209752543461389</v>
      </c>
      <c r="D4641" s="14" t="s">
        <v>4682</v>
      </c>
      <c r="E4641" s="14" t="s">
        <v>46</v>
      </c>
    </row>
    <row r="4642" spans="1:5" x14ac:dyDescent="0.25">
      <c r="A4642" s="36">
        <v>4640</v>
      </c>
      <c r="B4642" s="37">
        <v>226903115</v>
      </c>
      <c r="C4642" s="38">
        <v>0.10565999667423777</v>
      </c>
      <c r="D4642" s="14" t="s">
        <v>4683</v>
      </c>
      <c r="E4642" s="14" t="s">
        <v>48</v>
      </c>
    </row>
    <row r="4643" spans="1:5" x14ac:dyDescent="0.25">
      <c r="A4643" s="36">
        <v>4641</v>
      </c>
      <c r="B4643" s="37">
        <v>382467120</v>
      </c>
      <c r="C4643" s="38">
        <v>0.17810013153501791</v>
      </c>
      <c r="D4643" s="14" t="s">
        <v>4684</v>
      </c>
      <c r="E4643" s="14" t="s">
        <v>37</v>
      </c>
    </row>
    <row r="4644" spans="1:5" x14ac:dyDescent="0.25">
      <c r="A4644" s="36">
        <v>4642</v>
      </c>
      <c r="B4644" s="37">
        <v>1274701779</v>
      </c>
      <c r="C4644" s="38">
        <v>0.59357927161901225</v>
      </c>
      <c r="D4644" s="14" t="s">
        <v>4685</v>
      </c>
      <c r="E4644" s="14" t="s">
        <v>40</v>
      </c>
    </row>
    <row r="4645" spans="1:5" x14ac:dyDescent="0.25">
      <c r="A4645" s="36">
        <v>4643</v>
      </c>
      <c r="B4645" s="37">
        <v>19816082</v>
      </c>
      <c r="C4645" s="38">
        <v>9.2275822578126478E-3</v>
      </c>
      <c r="D4645" s="14" t="s">
        <v>4686</v>
      </c>
      <c r="E4645" s="14" t="s">
        <v>43</v>
      </c>
    </row>
    <row r="4646" spans="1:5" x14ac:dyDescent="0.25">
      <c r="A4646" s="36">
        <v>4644</v>
      </c>
      <c r="B4646" s="37">
        <v>28977353</v>
      </c>
      <c r="C4646" s="38">
        <v>1.3493631507034242E-2</v>
      </c>
      <c r="D4646" s="14" t="s">
        <v>4687</v>
      </c>
      <c r="E4646" s="14" t="s">
        <v>46</v>
      </c>
    </row>
    <row r="4647" spans="1:5" x14ac:dyDescent="0.25">
      <c r="A4647" s="36">
        <v>4645</v>
      </c>
      <c r="B4647" s="37">
        <v>2059694928</v>
      </c>
      <c r="C4647" s="38">
        <v>0.95912019208032651</v>
      </c>
      <c r="D4647" s="14" t="s">
        <v>4688</v>
      </c>
      <c r="E4647" s="14" t="s">
        <v>48</v>
      </c>
    </row>
    <row r="4648" spans="1:5" x14ac:dyDescent="0.25">
      <c r="A4648" s="36">
        <v>4646</v>
      </c>
      <c r="B4648" s="37">
        <v>21170863</v>
      </c>
      <c r="C4648" s="38">
        <v>9.858451322586486E-3</v>
      </c>
      <c r="D4648" s="14" t="s">
        <v>4689</v>
      </c>
      <c r="E4648" s="14" t="s">
        <v>37</v>
      </c>
    </row>
    <row r="4649" spans="1:5" x14ac:dyDescent="0.25">
      <c r="A4649" s="36">
        <v>4647</v>
      </c>
      <c r="B4649" s="37">
        <v>237992028</v>
      </c>
      <c r="C4649" s="38">
        <v>0.11082367417906581</v>
      </c>
      <c r="D4649" s="14" t="s">
        <v>4690</v>
      </c>
      <c r="E4649" s="14" t="s">
        <v>40</v>
      </c>
    </row>
    <row r="4650" spans="1:5" x14ac:dyDescent="0.25">
      <c r="A4650" s="36">
        <v>4648</v>
      </c>
      <c r="B4650" s="37">
        <v>533432480</v>
      </c>
      <c r="C4650" s="38">
        <v>0.2483988554442296</v>
      </c>
      <c r="D4650" s="14" t="s">
        <v>4691</v>
      </c>
      <c r="E4650" s="14" t="s">
        <v>43</v>
      </c>
    </row>
    <row r="4651" spans="1:5" x14ac:dyDescent="0.25">
      <c r="A4651" s="36">
        <v>4649</v>
      </c>
      <c r="B4651" s="37">
        <v>1239085721</v>
      </c>
      <c r="C4651" s="38">
        <v>0.5769942521941821</v>
      </c>
      <c r="D4651" s="14" t="s">
        <v>4692</v>
      </c>
      <c r="E4651" s="14" t="s">
        <v>46</v>
      </c>
    </row>
    <row r="4652" spans="1:5" x14ac:dyDescent="0.25">
      <c r="A4652" s="36">
        <v>4650</v>
      </c>
      <c r="B4652" s="37">
        <v>1781916361</v>
      </c>
      <c r="C4652" s="38">
        <v>0.8297694669243737</v>
      </c>
      <c r="D4652" s="14" t="s">
        <v>4693</v>
      </c>
      <c r="E4652" s="14" t="s">
        <v>48</v>
      </c>
    </row>
    <row r="4653" spans="1:5" x14ac:dyDescent="0.25">
      <c r="A4653" s="36">
        <v>4651</v>
      </c>
      <c r="B4653" s="37">
        <v>1061003464</v>
      </c>
      <c r="C4653" s="38">
        <v>0.49406823911427905</v>
      </c>
      <c r="D4653" s="14" t="s">
        <v>4694</v>
      </c>
      <c r="E4653" s="14" t="s">
        <v>37</v>
      </c>
    </row>
    <row r="4654" spans="1:5" x14ac:dyDescent="0.25">
      <c r="A4654" s="36">
        <v>4652</v>
      </c>
      <c r="B4654" s="37">
        <v>875846140</v>
      </c>
      <c r="C4654" s="38">
        <v>0.40784764122583328</v>
      </c>
      <c r="D4654" s="14" t="s">
        <v>4695</v>
      </c>
      <c r="E4654" s="14" t="s">
        <v>40</v>
      </c>
    </row>
    <row r="4655" spans="1:5" x14ac:dyDescent="0.25">
      <c r="A4655" s="36">
        <v>4653</v>
      </c>
      <c r="B4655" s="37">
        <v>144197892</v>
      </c>
      <c r="C4655" s="38">
        <v>6.7147376047050289E-2</v>
      </c>
      <c r="D4655" s="14" t="s">
        <v>4696</v>
      </c>
      <c r="E4655" s="14" t="s">
        <v>43</v>
      </c>
    </row>
    <row r="4656" spans="1:5" x14ac:dyDescent="0.25">
      <c r="A4656" s="36">
        <v>4654</v>
      </c>
      <c r="B4656" s="37">
        <v>2057827627</v>
      </c>
      <c r="C4656" s="38">
        <v>0.95825066229247058</v>
      </c>
      <c r="D4656" s="14" t="s">
        <v>4697</v>
      </c>
      <c r="E4656" s="14" t="s">
        <v>46</v>
      </c>
    </row>
    <row r="4657" spans="1:5" x14ac:dyDescent="0.25">
      <c r="A4657" s="36">
        <v>4655</v>
      </c>
      <c r="B4657" s="37">
        <v>1408294694</v>
      </c>
      <c r="C4657" s="38">
        <v>0.65578832042207402</v>
      </c>
      <c r="D4657" s="14" t="s">
        <v>4698</v>
      </c>
      <c r="E4657" s="14" t="s">
        <v>48</v>
      </c>
    </row>
    <row r="4658" spans="1:5" x14ac:dyDescent="0.25">
      <c r="A4658" s="36">
        <v>4656</v>
      </c>
      <c r="B4658" s="37">
        <v>1129976901</v>
      </c>
      <c r="C4658" s="38">
        <v>0.52618649859269451</v>
      </c>
      <c r="D4658" s="14" t="s">
        <v>4699</v>
      </c>
      <c r="E4658" s="14" t="s">
        <v>37</v>
      </c>
    </row>
    <row r="4659" spans="1:5" x14ac:dyDescent="0.25">
      <c r="A4659" s="36">
        <v>4657</v>
      </c>
      <c r="B4659" s="37">
        <v>115332651</v>
      </c>
      <c r="C4659" s="38">
        <v>5.3705950758283001E-2</v>
      </c>
      <c r="D4659" s="14" t="s">
        <v>4700</v>
      </c>
      <c r="E4659" s="14" t="s">
        <v>40</v>
      </c>
    </row>
    <row r="4660" spans="1:5" x14ac:dyDescent="0.25">
      <c r="A4660" s="36">
        <v>4658</v>
      </c>
      <c r="B4660" s="37">
        <v>794186433</v>
      </c>
      <c r="C4660" s="38">
        <v>0.36982187692533336</v>
      </c>
      <c r="D4660" s="14" t="s">
        <v>4701</v>
      </c>
      <c r="E4660" s="14" t="s">
        <v>43</v>
      </c>
    </row>
    <row r="4661" spans="1:5" x14ac:dyDescent="0.25">
      <c r="A4661" s="36">
        <v>4659</v>
      </c>
      <c r="B4661" s="37">
        <v>497840582</v>
      </c>
      <c r="C4661" s="38">
        <v>0.23182508639610611</v>
      </c>
      <c r="D4661" s="14" t="s">
        <v>4702</v>
      </c>
      <c r="E4661" s="14" t="s">
        <v>46</v>
      </c>
    </row>
    <row r="4662" spans="1:5" x14ac:dyDescent="0.25">
      <c r="A4662" s="36">
        <v>4660</v>
      </c>
      <c r="B4662" s="37">
        <v>266437060</v>
      </c>
      <c r="C4662" s="38">
        <v>0.12406942440386369</v>
      </c>
      <c r="D4662" s="14" t="s">
        <v>4703</v>
      </c>
      <c r="E4662" s="14" t="s">
        <v>48</v>
      </c>
    </row>
    <row r="4663" spans="1:5" x14ac:dyDescent="0.25">
      <c r="A4663" s="36">
        <v>4661</v>
      </c>
      <c r="B4663" s="37">
        <v>280873224</v>
      </c>
      <c r="C4663" s="38">
        <v>0.13079178711901968</v>
      </c>
      <c r="D4663" s="14" t="s">
        <v>4704</v>
      </c>
      <c r="E4663" s="14" t="s">
        <v>37</v>
      </c>
    </row>
    <row r="4664" spans="1:5" x14ac:dyDescent="0.25">
      <c r="A4664" s="36">
        <v>4662</v>
      </c>
      <c r="B4664" s="37">
        <v>1442229041</v>
      </c>
      <c r="C4664" s="38">
        <v>0.67159023213739988</v>
      </c>
      <c r="D4664" s="14" t="s">
        <v>4705</v>
      </c>
      <c r="E4664" s="14" t="s">
        <v>40</v>
      </c>
    </row>
    <row r="4665" spans="1:5" x14ac:dyDescent="0.25">
      <c r="A4665" s="36">
        <v>4663</v>
      </c>
      <c r="B4665" s="37">
        <v>436550035</v>
      </c>
      <c r="C4665" s="38">
        <v>0.20328445136700032</v>
      </c>
      <c r="D4665" s="14" t="s">
        <v>4706</v>
      </c>
      <c r="E4665" s="14" t="s">
        <v>43</v>
      </c>
    </row>
    <row r="4666" spans="1:5" x14ac:dyDescent="0.25">
      <c r="A4666" s="36">
        <v>4664</v>
      </c>
      <c r="B4666" s="37">
        <v>1124309914</v>
      </c>
      <c r="C4666" s="38">
        <v>0.52354760212988949</v>
      </c>
      <c r="D4666" s="14" t="s">
        <v>4707</v>
      </c>
      <c r="E4666" s="14" t="s">
        <v>46</v>
      </c>
    </row>
    <row r="4667" spans="1:5" x14ac:dyDescent="0.25">
      <c r="A4667" s="36">
        <v>4665</v>
      </c>
      <c r="B4667" s="37">
        <v>1169457747</v>
      </c>
      <c r="C4667" s="38">
        <v>0.54457120017361416</v>
      </c>
      <c r="D4667" s="14" t="s">
        <v>4708</v>
      </c>
      <c r="E4667" s="14" t="s">
        <v>48</v>
      </c>
    </row>
    <row r="4668" spans="1:5" x14ac:dyDescent="0.25">
      <c r="A4668" s="36">
        <v>4666</v>
      </c>
      <c r="B4668" s="37">
        <v>1823438954</v>
      </c>
      <c r="C4668" s="38">
        <v>0.84910493104211282</v>
      </c>
      <c r="D4668" s="14" t="s">
        <v>4709</v>
      </c>
      <c r="E4668" s="14" t="s">
        <v>37</v>
      </c>
    </row>
    <row r="4669" spans="1:5" x14ac:dyDescent="0.25">
      <c r="A4669" s="36">
        <v>4667</v>
      </c>
      <c r="B4669" s="37">
        <v>1841421741</v>
      </c>
      <c r="C4669" s="38">
        <v>0.85747881878981314</v>
      </c>
      <c r="D4669" s="14" t="s">
        <v>4710</v>
      </c>
      <c r="E4669" s="14" t="s">
        <v>40</v>
      </c>
    </row>
    <row r="4670" spans="1:5" x14ac:dyDescent="0.25">
      <c r="A4670" s="36">
        <v>4668</v>
      </c>
      <c r="B4670" s="37">
        <v>865397383</v>
      </c>
      <c r="C4670" s="38">
        <v>0.40298205958818184</v>
      </c>
      <c r="D4670" s="14" t="s">
        <v>4711</v>
      </c>
      <c r="E4670" s="14" t="s">
        <v>43</v>
      </c>
    </row>
    <row r="4671" spans="1:5" x14ac:dyDescent="0.25">
      <c r="A4671" s="36">
        <v>4669</v>
      </c>
      <c r="B4671" s="37">
        <v>397009520</v>
      </c>
      <c r="C4671" s="38">
        <v>0.18487196424271538</v>
      </c>
      <c r="D4671" s="14" t="s">
        <v>4712</v>
      </c>
      <c r="E4671" s="14" t="s">
        <v>46</v>
      </c>
    </row>
    <row r="4672" spans="1:5" x14ac:dyDescent="0.25">
      <c r="A4672" s="36">
        <v>4670</v>
      </c>
      <c r="B4672" s="37">
        <v>1027392795</v>
      </c>
      <c r="C4672" s="38">
        <v>0.47841705171317656</v>
      </c>
      <c r="D4672" s="14" t="s">
        <v>4713</v>
      </c>
      <c r="E4672" s="14" t="s">
        <v>48</v>
      </c>
    </row>
    <row r="4673" spans="1:5" x14ac:dyDescent="0.25">
      <c r="A4673" s="36">
        <v>4671</v>
      </c>
      <c r="B4673" s="37">
        <v>1321000559</v>
      </c>
      <c r="C4673" s="38">
        <v>0.61513882112462948</v>
      </c>
      <c r="D4673" s="14" t="s">
        <v>4714</v>
      </c>
      <c r="E4673" s="14" t="s">
        <v>37</v>
      </c>
    </row>
    <row r="4674" spans="1:5" x14ac:dyDescent="0.25">
      <c r="A4674" s="36">
        <v>4672</v>
      </c>
      <c r="B4674" s="37">
        <v>898439340</v>
      </c>
      <c r="C4674" s="38">
        <v>0.41836841982713363</v>
      </c>
      <c r="D4674" s="14" t="s">
        <v>4715</v>
      </c>
      <c r="E4674" s="14" t="s">
        <v>40</v>
      </c>
    </row>
    <row r="4675" spans="1:5" x14ac:dyDescent="0.25">
      <c r="A4675" s="36">
        <v>4673</v>
      </c>
      <c r="B4675" s="37">
        <v>356801628</v>
      </c>
      <c r="C4675" s="38">
        <v>0.16614870548534613</v>
      </c>
      <c r="D4675" s="14" t="s">
        <v>4716</v>
      </c>
      <c r="E4675" s="14" t="s">
        <v>43</v>
      </c>
    </row>
    <row r="4676" spans="1:5" x14ac:dyDescent="0.25">
      <c r="A4676" s="36">
        <v>4674</v>
      </c>
      <c r="B4676" s="37">
        <v>313820250</v>
      </c>
      <c r="C4676" s="38">
        <v>0.14613394166628549</v>
      </c>
      <c r="D4676" s="14" t="s">
        <v>4717</v>
      </c>
      <c r="E4676" s="14" t="s">
        <v>46</v>
      </c>
    </row>
    <row r="4677" spans="1:5" x14ac:dyDescent="0.25">
      <c r="A4677" s="36">
        <v>4675</v>
      </c>
      <c r="B4677" s="37">
        <v>153304605</v>
      </c>
      <c r="C4677" s="38">
        <v>7.1388019747747111E-2</v>
      </c>
      <c r="D4677" s="14" t="s">
        <v>4718</v>
      </c>
      <c r="E4677" s="14" t="s">
        <v>48</v>
      </c>
    </row>
    <row r="4678" spans="1:5" x14ac:dyDescent="0.25">
      <c r="A4678" s="36">
        <v>4676</v>
      </c>
      <c r="B4678" s="37">
        <v>1322219779</v>
      </c>
      <c r="C4678" s="38">
        <v>0.61570656467960527</v>
      </c>
      <c r="D4678" s="14" t="s">
        <v>4719</v>
      </c>
      <c r="E4678" s="14" t="s">
        <v>37</v>
      </c>
    </row>
    <row r="4679" spans="1:5" x14ac:dyDescent="0.25">
      <c r="A4679" s="36">
        <v>4677</v>
      </c>
      <c r="B4679" s="37">
        <v>948563425</v>
      </c>
      <c r="C4679" s="38">
        <v>0.44170926578422509</v>
      </c>
      <c r="D4679" s="14" t="s">
        <v>4720</v>
      </c>
      <c r="E4679" s="14" t="s">
        <v>40</v>
      </c>
    </row>
    <row r="4680" spans="1:5" x14ac:dyDescent="0.25">
      <c r="A4680" s="36">
        <v>4678</v>
      </c>
      <c r="B4680" s="37">
        <v>1262216656</v>
      </c>
      <c r="C4680" s="38">
        <v>0.58776543316792951</v>
      </c>
      <c r="D4680" s="14" t="s">
        <v>4721</v>
      </c>
      <c r="E4680" s="14" t="s">
        <v>43</v>
      </c>
    </row>
    <row r="4681" spans="1:5" x14ac:dyDescent="0.25">
      <c r="A4681" s="36">
        <v>4679</v>
      </c>
      <c r="B4681" s="37">
        <v>1567190173</v>
      </c>
      <c r="C4681" s="38">
        <v>0.72977979375504876</v>
      </c>
      <c r="D4681" s="14" t="s">
        <v>4722</v>
      </c>
      <c r="E4681" s="14" t="s">
        <v>46</v>
      </c>
    </row>
    <row r="4682" spans="1:5" x14ac:dyDescent="0.25">
      <c r="A4682" s="36">
        <v>4680</v>
      </c>
      <c r="B4682" s="37">
        <v>393711209</v>
      </c>
      <c r="C4682" s="38">
        <v>0.18333606849579889</v>
      </c>
      <c r="D4682" s="14" t="s">
        <v>4723</v>
      </c>
      <c r="E4682" s="14" t="s">
        <v>48</v>
      </c>
    </row>
    <row r="4683" spans="1:5" x14ac:dyDescent="0.25">
      <c r="A4683" s="36">
        <v>4681</v>
      </c>
      <c r="B4683" s="37">
        <v>2021960899</v>
      </c>
      <c r="C4683" s="38">
        <v>0.9415489155526966</v>
      </c>
      <c r="D4683" s="14" t="s">
        <v>4724</v>
      </c>
      <c r="E4683" s="14" t="s">
        <v>37</v>
      </c>
    </row>
    <row r="4684" spans="1:5" x14ac:dyDescent="0.25">
      <c r="A4684" s="36">
        <v>4682</v>
      </c>
      <c r="B4684" s="37">
        <v>388257094</v>
      </c>
      <c r="C4684" s="38">
        <v>0.18079629828259178</v>
      </c>
      <c r="D4684" s="14" t="s">
        <v>4725</v>
      </c>
      <c r="E4684" s="14" t="s">
        <v>40</v>
      </c>
    </row>
    <row r="4685" spans="1:5" x14ac:dyDescent="0.25">
      <c r="A4685" s="36">
        <v>4683</v>
      </c>
      <c r="B4685" s="37">
        <v>924566393</v>
      </c>
      <c r="C4685" s="38">
        <v>0.43053477696633652</v>
      </c>
      <c r="D4685" s="14" t="s">
        <v>4726</v>
      </c>
      <c r="E4685" s="14" t="s">
        <v>43</v>
      </c>
    </row>
    <row r="4686" spans="1:5" x14ac:dyDescent="0.25">
      <c r="A4686" s="36">
        <v>4684</v>
      </c>
      <c r="B4686" s="37">
        <v>798361056</v>
      </c>
      <c r="C4686" s="38">
        <v>0.37176583724644308</v>
      </c>
      <c r="D4686" s="14" t="s">
        <v>4727</v>
      </c>
      <c r="E4686" s="14" t="s">
        <v>46</v>
      </c>
    </row>
    <row r="4687" spans="1:5" x14ac:dyDescent="0.25">
      <c r="A4687" s="36">
        <v>4685</v>
      </c>
      <c r="B4687" s="37">
        <v>5107965</v>
      </c>
      <c r="C4687" s="38">
        <v>2.3785815585304899E-3</v>
      </c>
      <c r="D4687" s="14" t="s">
        <v>4728</v>
      </c>
      <c r="E4687" s="14" t="s">
        <v>48</v>
      </c>
    </row>
    <row r="4688" spans="1:5" x14ac:dyDescent="0.25">
      <c r="A4688" s="36">
        <v>4686</v>
      </c>
      <c r="B4688" s="37">
        <v>1461587375</v>
      </c>
      <c r="C4688" s="38">
        <v>0.6806046588721707</v>
      </c>
      <c r="D4688" s="14" t="s">
        <v>4729</v>
      </c>
      <c r="E4688" s="14" t="s">
        <v>37</v>
      </c>
    </row>
    <row r="4689" spans="1:5" x14ac:dyDescent="0.25">
      <c r="A4689" s="36">
        <v>4687</v>
      </c>
      <c r="B4689" s="37">
        <v>2022811797</v>
      </c>
      <c r="C4689" s="38">
        <v>0.9419451458109287</v>
      </c>
      <c r="D4689" s="14" t="s">
        <v>4730</v>
      </c>
      <c r="E4689" s="14" t="s">
        <v>40</v>
      </c>
    </row>
    <row r="4690" spans="1:5" x14ac:dyDescent="0.25">
      <c r="A4690" s="36">
        <v>4688</v>
      </c>
      <c r="B4690" s="37">
        <v>1537527171</v>
      </c>
      <c r="C4690" s="38">
        <v>0.71596688205188463</v>
      </c>
      <c r="D4690" s="14" t="s">
        <v>4731</v>
      </c>
      <c r="E4690" s="14" t="s">
        <v>43</v>
      </c>
    </row>
    <row r="4691" spans="1:5" x14ac:dyDescent="0.25">
      <c r="A4691" s="36">
        <v>4689</v>
      </c>
      <c r="B4691" s="37">
        <v>529318983</v>
      </c>
      <c r="C4691" s="38">
        <v>0.24648335913498112</v>
      </c>
      <c r="D4691" s="14" t="s">
        <v>4732</v>
      </c>
      <c r="E4691" s="14" t="s">
        <v>46</v>
      </c>
    </row>
    <row r="4692" spans="1:5" x14ac:dyDescent="0.25">
      <c r="A4692" s="36">
        <v>4690</v>
      </c>
      <c r="B4692" s="37">
        <v>398358432</v>
      </c>
      <c r="C4692" s="38">
        <v>0.18550010034139272</v>
      </c>
      <c r="D4692" s="14" t="s">
        <v>4733</v>
      </c>
      <c r="E4692" s="14" t="s">
        <v>48</v>
      </c>
    </row>
    <row r="4693" spans="1:5" x14ac:dyDescent="0.25">
      <c r="A4693" s="36">
        <v>4691</v>
      </c>
      <c r="B4693" s="37">
        <v>57244833</v>
      </c>
      <c r="C4693" s="38">
        <v>2.6656702638909548E-2</v>
      </c>
      <c r="D4693" s="14" t="s">
        <v>4734</v>
      </c>
      <c r="E4693" s="14" t="s">
        <v>37</v>
      </c>
    </row>
    <row r="4694" spans="1:5" x14ac:dyDescent="0.25">
      <c r="A4694" s="36">
        <v>4692</v>
      </c>
      <c r="B4694" s="37">
        <v>472652511</v>
      </c>
      <c r="C4694" s="38">
        <v>0.22009597682398557</v>
      </c>
      <c r="D4694" s="14" t="s">
        <v>4735</v>
      </c>
      <c r="E4694" s="14" t="s">
        <v>40</v>
      </c>
    </row>
    <row r="4695" spans="1:5" x14ac:dyDescent="0.25">
      <c r="A4695" s="36">
        <v>4693</v>
      </c>
      <c r="B4695" s="37">
        <v>1563279813</v>
      </c>
      <c r="C4695" s="38">
        <v>0.72795889048276419</v>
      </c>
      <c r="D4695" s="14" t="s">
        <v>4736</v>
      </c>
      <c r="E4695" s="14" t="s">
        <v>43</v>
      </c>
    </row>
    <row r="4696" spans="1:5" x14ac:dyDescent="0.25">
      <c r="A4696" s="36">
        <v>4694</v>
      </c>
      <c r="B4696" s="37">
        <v>524666266</v>
      </c>
      <c r="C4696" s="38">
        <v>0.2443167689462736</v>
      </c>
      <c r="D4696" s="14" t="s">
        <v>4737</v>
      </c>
      <c r="E4696" s="14" t="s">
        <v>46</v>
      </c>
    </row>
    <row r="4697" spans="1:5" x14ac:dyDescent="0.25">
      <c r="A4697" s="36">
        <v>4695</v>
      </c>
      <c r="B4697" s="37">
        <v>1808108736</v>
      </c>
      <c r="C4697" s="38">
        <v>0.84196624199020031</v>
      </c>
      <c r="D4697" s="14" t="s">
        <v>4738</v>
      </c>
      <c r="E4697" s="14" t="s">
        <v>48</v>
      </c>
    </row>
    <row r="4698" spans="1:5" x14ac:dyDescent="0.25">
      <c r="A4698" s="36">
        <v>4696</v>
      </c>
      <c r="B4698" s="37">
        <v>710998945</v>
      </c>
      <c r="C4698" s="38">
        <v>0.33108468415731784</v>
      </c>
      <c r="D4698" s="14" t="s">
        <v>4739</v>
      </c>
      <c r="E4698" s="14" t="s">
        <v>37</v>
      </c>
    </row>
    <row r="4699" spans="1:5" x14ac:dyDescent="0.25">
      <c r="A4699" s="36">
        <v>4697</v>
      </c>
      <c r="B4699" s="37">
        <v>442452295</v>
      </c>
      <c r="C4699" s="38">
        <v>0.20603290535790517</v>
      </c>
      <c r="D4699" s="14" t="s">
        <v>4740</v>
      </c>
      <c r="E4699" s="14" t="s">
        <v>40</v>
      </c>
    </row>
    <row r="4700" spans="1:5" x14ac:dyDescent="0.25">
      <c r="A4700" s="36">
        <v>4698</v>
      </c>
      <c r="B4700" s="37">
        <v>845951389</v>
      </c>
      <c r="C4700" s="38">
        <v>0.39392681298494658</v>
      </c>
      <c r="D4700" s="14" t="s">
        <v>4741</v>
      </c>
      <c r="E4700" s="14" t="s">
        <v>43</v>
      </c>
    </row>
    <row r="4701" spans="1:5" x14ac:dyDescent="0.25">
      <c r="A4701" s="36">
        <v>4699</v>
      </c>
      <c r="B4701" s="37">
        <v>1074857901</v>
      </c>
      <c r="C4701" s="38">
        <v>0.50051971408562723</v>
      </c>
      <c r="D4701" s="14" t="s">
        <v>4742</v>
      </c>
      <c r="E4701" s="14" t="s">
        <v>46</v>
      </c>
    </row>
    <row r="4702" spans="1:5" x14ac:dyDescent="0.25">
      <c r="A4702" s="36">
        <v>4700</v>
      </c>
      <c r="B4702" s="37">
        <v>105708432</v>
      </c>
      <c r="C4702" s="38">
        <v>4.9224324547324484E-2</v>
      </c>
      <c r="D4702" s="14" t="s">
        <v>4743</v>
      </c>
      <c r="E4702" s="14" t="s">
        <v>48</v>
      </c>
    </row>
    <row r="4703" spans="1:5" x14ac:dyDescent="0.25">
      <c r="A4703" s="36">
        <v>4701</v>
      </c>
      <c r="B4703" s="37">
        <v>1269062078</v>
      </c>
      <c r="C4703" s="38">
        <v>0.59095308119009859</v>
      </c>
      <c r="D4703" s="14" t="s">
        <v>4744</v>
      </c>
      <c r="E4703" s="14" t="s">
        <v>37</v>
      </c>
    </row>
    <row r="4704" spans="1:5" x14ac:dyDescent="0.25">
      <c r="A4704" s="36">
        <v>4702</v>
      </c>
      <c r="B4704" s="37">
        <v>1395013741</v>
      </c>
      <c r="C4704" s="38">
        <v>0.64960389474854052</v>
      </c>
      <c r="D4704" s="14" t="s">
        <v>4745</v>
      </c>
      <c r="E4704" s="14" t="s">
        <v>40</v>
      </c>
    </row>
    <row r="4705" spans="1:5" x14ac:dyDescent="0.25">
      <c r="A4705" s="36">
        <v>4703</v>
      </c>
      <c r="B4705" s="37">
        <v>848346794</v>
      </c>
      <c r="C4705" s="38">
        <v>0.3950422603613894</v>
      </c>
      <c r="D4705" s="14" t="s">
        <v>4746</v>
      </c>
      <c r="E4705" s="14" t="s">
        <v>43</v>
      </c>
    </row>
    <row r="4706" spans="1:5" x14ac:dyDescent="0.25">
      <c r="A4706" s="36">
        <v>4704</v>
      </c>
      <c r="B4706" s="37">
        <v>409233047</v>
      </c>
      <c r="C4706" s="38">
        <v>0.19056398756362683</v>
      </c>
      <c r="D4706" s="14" t="s">
        <v>4747</v>
      </c>
      <c r="E4706" s="14" t="s">
        <v>46</v>
      </c>
    </row>
    <row r="4707" spans="1:5" x14ac:dyDescent="0.25">
      <c r="A4707" s="36">
        <v>4705</v>
      </c>
      <c r="B4707" s="37">
        <v>2133600792</v>
      </c>
      <c r="C4707" s="38">
        <v>0.99353529186618295</v>
      </c>
      <c r="D4707" s="14" t="s">
        <v>4748</v>
      </c>
      <c r="E4707" s="14" t="s">
        <v>48</v>
      </c>
    </row>
    <row r="4708" spans="1:5" x14ac:dyDescent="0.25">
      <c r="A4708" s="36">
        <v>4706</v>
      </c>
      <c r="B4708" s="37">
        <v>1726210715</v>
      </c>
      <c r="C4708" s="38">
        <v>0.80382950408562526</v>
      </c>
      <c r="D4708" s="14" t="s">
        <v>4749</v>
      </c>
      <c r="E4708" s="14" t="s">
        <v>37</v>
      </c>
    </row>
    <row r="4709" spans="1:5" x14ac:dyDescent="0.25">
      <c r="A4709" s="36">
        <v>4707</v>
      </c>
      <c r="B4709" s="37">
        <v>1669505480</v>
      </c>
      <c r="C4709" s="38">
        <v>0.77742407134614144</v>
      </c>
      <c r="D4709" s="14" t="s">
        <v>4750</v>
      </c>
      <c r="E4709" s="14" t="s">
        <v>40</v>
      </c>
    </row>
    <row r="4710" spans="1:5" x14ac:dyDescent="0.25">
      <c r="A4710" s="36">
        <v>4708</v>
      </c>
      <c r="B4710" s="37">
        <v>589470049</v>
      </c>
      <c r="C4710" s="38">
        <v>0.27449338197451706</v>
      </c>
      <c r="D4710" s="14" t="s">
        <v>4751</v>
      </c>
      <c r="E4710" s="14" t="s">
        <v>43</v>
      </c>
    </row>
    <row r="4711" spans="1:5" x14ac:dyDescent="0.25">
      <c r="A4711" s="36">
        <v>4709</v>
      </c>
      <c r="B4711" s="37">
        <v>1221418001</v>
      </c>
      <c r="C4711" s="38">
        <v>0.56876707895135836</v>
      </c>
      <c r="D4711" s="14" t="s">
        <v>4752</v>
      </c>
      <c r="E4711" s="14" t="s">
        <v>46</v>
      </c>
    </row>
    <row r="4712" spans="1:5" x14ac:dyDescent="0.25">
      <c r="A4712" s="36">
        <v>4710</v>
      </c>
      <c r="B4712" s="37">
        <v>1061345379</v>
      </c>
      <c r="C4712" s="38">
        <v>0.49422745569340298</v>
      </c>
      <c r="D4712" s="14" t="s">
        <v>4753</v>
      </c>
      <c r="E4712" s="14" t="s">
        <v>48</v>
      </c>
    </row>
    <row r="4713" spans="1:5" x14ac:dyDescent="0.25">
      <c r="A4713" s="36">
        <v>4711</v>
      </c>
      <c r="B4713" s="37">
        <v>918745060</v>
      </c>
      <c r="C4713" s="38">
        <v>0.42782400754644723</v>
      </c>
      <c r="D4713" s="14" t="s">
        <v>4754</v>
      </c>
      <c r="E4713" s="14" t="s">
        <v>37</v>
      </c>
    </row>
    <row r="4714" spans="1:5" x14ac:dyDescent="0.25">
      <c r="A4714" s="36">
        <v>4712</v>
      </c>
      <c r="B4714" s="37">
        <v>490264495</v>
      </c>
      <c r="C4714" s="38">
        <v>0.22829719596928785</v>
      </c>
      <c r="D4714" s="14" t="s">
        <v>4755</v>
      </c>
      <c r="E4714" s="14" t="s">
        <v>40</v>
      </c>
    </row>
    <row r="4715" spans="1:5" x14ac:dyDescent="0.25">
      <c r="A4715" s="36">
        <v>4713</v>
      </c>
      <c r="B4715" s="37">
        <v>1851682216</v>
      </c>
      <c r="C4715" s="38">
        <v>0.8622567247889269</v>
      </c>
      <c r="D4715" s="14" t="s">
        <v>4756</v>
      </c>
      <c r="E4715" s="14" t="s">
        <v>43</v>
      </c>
    </row>
    <row r="4716" spans="1:5" x14ac:dyDescent="0.25">
      <c r="A4716" s="36">
        <v>4714</v>
      </c>
      <c r="B4716" s="37">
        <v>745102167</v>
      </c>
      <c r="C4716" s="38">
        <v>0.34696523442257438</v>
      </c>
      <c r="D4716" s="14" t="s">
        <v>4757</v>
      </c>
      <c r="E4716" s="14" t="s">
        <v>46</v>
      </c>
    </row>
    <row r="4717" spans="1:5" x14ac:dyDescent="0.25">
      <c r="A4717" s="36">
        <v>4715</v>
      </c>
      <c r="B4717" s="37">
        <v>1672810694</v>
      </c>
      <c r="C4717" s="38">
        <v>0.77896318155292565</v>
      </c>
      <c r="D4717" s="14" t="s">
        <v>4758</v>
      </c>
      <c r="E4717" s="14" t="s">
        <v>48</v>
      </c>
    </row>
    <row r="4718" spans="1:5" x14ac:dyDescent="0.25">
      <c r="A4718" s="36">
        <v>4716</v>
      </c>
      <c r="B4718" s="37">
        <v>347699785</v>
      </c>
      <c r="C4718" s="38">
        <v>0.16191032955511955</v>
      </c>
      <c r="D4718" s="14" t="s">
        <v>4759</v>
      </c>
      <c r="E4718" s="14" t="s">
        <v>37</v>
      </c>
    </row>
    <row r="4719" spans="1:5" x14ac:dyDescent="0.25">
      <c r="A4719" s="36">
        <v>4717</v>
      </c>
      <c r="B4719" s="37">
        <v>565730260</v>
      </c>
      <c r="C4719" s="38">
        <v>0.26343868126321524</v>
      </c>
      <c r="D4719" s="14" t="s">
        <v>4760</v>
      </c>
      <c r="E4719" s="14" t="s">
        <v>40</v>
      </c>
    </row>
    <row r="4720" spans="1:5" x14ac:dyDescent="0.25">
      <c r="A4720" s="36">
        <v>4718</v>
      </c>
      <c r="B4720" s="37">
        <v>1595721223</v>
      </c>
      <c r="C4720" s="38">
        <v>0.74306559923247695</v>
      </c>
      <c r="D4720" s="14" t="s">
        <v>4761</v>
      </c>
      <c r="E4720" s="14" t="s">
        <v>43</v>
      </c>
    </row>
    <row r="4721" spans="1:5" x14ac:dyDescent="0.25">
      <c r="A4721" s="36">
        <v>4719</v>
      </c>
      <c r="B4721" s="37">
        <v>1586342701</v>
      </c>
      <c r="C4721" s="38">
        <v>0.7386983846028794</v>
      </c>
      <c r="D4721" s="14" t="s">
        <v>4762</v>
      </c>
      <c r="E4721" s="14" t="s">
        <v>46</v>
      </c>
    </row>
    <row r="4722" spans="1:5" x14ac:dyDescent="0.25">
      <c r="A4722" s="36">
        <v>4720</v>
      </c>
      <c r="B4722" s="37">
        <v>860640694</v>
      </c>
      <c r="C4722" s="38">
        <v>0.40076705366408782</v>
      </c>
      <c r="D4722" s="14" t="s">
        <v>4763</v>
      </c>
      <c r="E4722" s="14" t="s">
        <v>48</v>
      </c>
    </row>
    <row r="4723" spans="1:5" x14ac:dyDescent="0.25">
      <c r="A4723" s="36">
        <v>4721</v>
      </c>
      <c r="B4723" s="37">
        <v>541458284</v>
      </c>
      <c r="C4723" s="38">
        <v>0.2521361616682895</v>
      </c>
      <c r="D4723" s="14" t="s">
        <v>4764</v>
      </c>
      <c r="E4723" s="14" t="s">
        <v>37</v>
      </c>
    </row>
    <row r="4724" spans="1:5" x14ac:dyDescent="0.25">
      <c r="A4724" s="36">
        <v>4722</v>
      </c>
      <c r="B4724" s="37">
        <v>894720834</v>
      </c>
      <c r="C4724" s="38">
        <v>0.41663685553550572</v>
      </c>
      <c r="D4724" s="14" t="s">
        <v>4765</v>
      </c>
      <c r="E4724" s="14" t="s">
        <v>40</v>
      </c>
    </row>
    <row r="4725" spans="1:5" x14ac:dyDescent="0.25">
      <c r="A4725" s="36">
        <v>4723</v>
      </c>
      <c r="B4725" s="37">
        <v>2005956279</v>
      </c>
      <c r="C4725" s="38">
        <v>0.93409618359715496</v>
      </c>
      <c r="D4725" s="14" t="s">
        <v>4766</v>
      </c>
      <c r="E4725" s="14" t="s">
        <v>43</v>
      </c>
    </row>
    <row r="4726" spans="1:5" x14ac:dyDescent="0.25">
      <c r="A4726" s="36">
        <v>4724</v>
      </c>
      <c r="B4726" s="37">
        <v>1980276276</v>
      </c>
      <c r="C4726" s="38">
        <v>0.92213800033653992</v>
      </c>
      <c r="D4726" s="14" t="s">
        <v>4767</v>
      </c>
      <c r="E4726" s="14" t="s">
        <v>46</v>
      </c>
    </row>
    <row r="4727" spans="1:5" x14ac:dyDescent="0.25">
      <c r="A4727" s="36">
        <v>4725</v>
      </c>
      <c r="B4727" s="37">
        <v>487792589</v>
      </c>
      <c r="C4727" s="38">
        <v>0.22714612503868814</v>
      </c>
      <c r="D4727" s="14" t="s">
        <v>4768</v>
      </c>
      <c r="E4727" s="14" t="s">
        <v>48</v>
      </c>
    </row>
    <row r="4728" spans="1:5" x14ac:dyDescent="0.25">
      <c r="A4728" s="36">
        <v>4726</v>
      </c>
      <c r="B4728" s="37">
        <v>1881015218</v>
      </c>
      <c r="C4728" s="38">
        <v>0.87591596826720797</v>
      </c>
      <c r="D4728" s="14" t="s">
        <v>4769</v>
      </c>
      <c r="E4728" s="14" t="s">
        <v>37</v>
      </c>
    </row>
    <row r="4729" spans="1:5" x14ac:dyDescent="0.25">
      <c r="A4729" s="36">
        <v>4727</v>
      </c>
      <c r="B4729" s="37">
        <v>1072058025</v>
      </c>
      <c r="C4729" s="38">
        <v>0.49921592022255806</v>
      </c>
      <c r="D4729" s="14" t="s">
        <v>4770</v>
      </c>
      <c r="E4729" s="14" t="s">
        <v>40</v>
      </c>
    </row>
    <row r="4730" spans="1:5" x14ac:dyDescent="0.25">
      <c r="A4730" s="36">
        <v>4728</v>
      </c>
      <c r="B4730" s="37">
        <v>1829107169</v>
      </c>
      <c r="C4730" s="38">
        <v>0.85174439933697899</v>
      </c>
      <c r="D4730" s="14" t="s">
        <v>4771</v>
      </c>
      <c r="E4730" s="14" t="s">
        <v>43</v>
      </c>
    </row>
    <row r="4731" spans="1:5" x14ac:dyDescent="0.25">
      <c r="A4731" s="36">
        <v>4729</v>
      </c>
      <c r="B4731" s="37">
        <v>683849698</v>
      </c>
      <c r="C4731" s="38">
        <v>0.318442330843975</v>
      </c>
      <c r="D4731" s="14" t="s">
        <v>4772</v>
      </c>
      <c r="E4731" s="14" t="s">
        <v>46</v>
      </c>
    </row>
    <row r="4732" spans="1:5" x14ac:dyDescent="0.25">
      <c r="A4732" s="36">
        <v>4730</v>
      </c>
      <c r="B4732" s="37">
        <v>1487957088</v>
      </c>
      <c r="C4732" s="38">
        <v>0.69288401337940431</v>
      </c>
      <c r="D4732" s="14" t="s">
        <v>4773</v>
      </c>
      <c r="E4732" s="14" t="s">
        <v>48</v>
      </c>
    </row>
    <row r="4733" spans="1:5" x14ac:dyDescent="0.25">
      <c r="A4733" s="36">
        <v>4731</v>
      </c>
      <c r="B4733" s="37">
        <v>503598442</v>
      </c>
      <c r="C4733" s="38">
        <v>0.23450629889709237</v>
      </c>
      <c r="D4733" s="14" t="s">
        <v>4774</v>
      </c>
      <c r="E4733" s="14" t="s">
        <v>37</v>
      </c>
    </row>
    <row r="4734" spans="1:5" x14ac:dyDescent="0.25">
      <c r="A4734" s="36">
        <v>4732</v>
      </c>
      <c r="B4734" s="37">
        <v>148836999</v>
      </c>
      <c r="C4734" s="38">
        <v>6.9307628585634579E-2</v>
      </c>
      <c r="D4734" s="14" t="s">
        <v>4775</v>
      </c>
      <c r="E4734" s="14" t="s">
        <v>40</v>
      </c>
    </row>
    <row r="4735" spans="1:5" x14ac:dyDescent="0.25">
      <c r="A4735" s="36">
        <v>4733</v>
      </c>
      <c r="B4735" s="37">
        <v>1616212190</v>
      </c>
      <c r="C4735" s="38">
        <v>0.75260744930832058</v>
      </c>
      <c r="D4735" s="14" t="s">
        <v>4776</v>
      </c>
      <c r="E4735" s="14" t="s">
        <v>43</v>
      </c>
    </row>
    <row r="4736" spans="1:5" x14ac:dyDescent="0.25">
      <c r="A4736" s="36">
        <v>4734</v>
      </c>
      <c r="B4736" s="37">
        <v>830423075</v>
      </c>
      <c r="C4736" s="38">
        <v>0.3866958782946206</v>
      </c>
      <c r="D4736" s="14" t="s">
        <v>4777</v>
      </c>
      <c r="E4736" s="14" t="s">
        <v>46</v>
      </c>
    </row>
    <row r="4737" spans="1:5" x14ac:dyDescent="0.25">
      <c r="A4737" s="36">
        <v>4735</v>
      </c>
      <c r="B4737" s="37">
        <v>921172343</v>
      </c>
      <c r="C4737" s="38">
        <v>0.42895429927341372</v>
      </c>
      <c r="D4737" s="14" t="s">
        <v>4778</v>
      </c>
      <c r="E4737" s="14" t="s">
        <v>48</v>
      </c>
    </row>
    <row r="4738" spans="1:5" x14ac:dyDescent="0.25">
      <c r="A4738" s="36">
        <v>4736</v>
      </c>
      <c r="B4738" s="37">
        <v>1346760063</v>
      </c>
      <c r="C4738" s="38">
        <v>0.62713402492326409</v>
      </c>
      <c r="D4738" s="14" t="s">
        <v>4779</v>
      </c>
      <c r="E4738" s="14" t="s">
        <v>37</v>
      </c>
    </row>
    <row r="4739" spans="1:5" x14ac:dyDescent="0.25">
      <c r="A4739" s="36">
        <v>4737</v>
      </c>
      <c r="B4739" s="37">
        <v>1578338938</v>
      </c>
      <c r="C4739" s="38">
        <v>0.73497134201925773</v>
      </c>
      <c r="D4739" s="14" t="s">
        <v>4780</v>
      </c>
      <c r="E4739" s="14" t="s">
        <v>40</v>
      </c>
    </row>
    <row r="4740" spans="1:5" x14ac:dyDescent="0.25">
      <c r="A4740" s="36">
        <v>4738</v>
      </c>
      <c r="B4740" s="37">
        <v>1385579107</v>
      </c>
      <c r="C4740" s="38">
        <v>0.64521055093277735</v>
      </c>
      <c r="D4740" s="14" t="s">
        <v>4781</v>
      </c>
      <c r="E4740" s="14" t="s">
        <v>43</v>
      </c>
    </row>
    <row r="4741" spans="1:5" x14ac:dyDescent="0.25">
      <c r="A4741" s="36">
        <v>4739</v>
      </c>
      <c r="B4741" s="37">
        <v>1212098455</v>
      </c>
      <c r="C4741" s="38">
        <v>0.56442732716185384</v>
      </c>
      <c r="D4741" s="14" t="s">
        <v>4782</v>
      </c>
      <c r="E4741" s="14" t="s">
        <v>46</v>
      </c>
    </row>
    <row r="4742" spans="1:5" x14ac:dyDescent="0.25">
      <c r="A4742" s="36">
        <v>4740</v>
      </c>
      <c r="B4742" s="37">
        <v>1865905657</v>
      </c>
      <c r="C4742" s="38">
        <v>0.86888003063801678</v>
      </c>
      <c r="D4742" s="14" t="s">
        <v>4783</v>
      </c>
      <c r="E4742" s="14" t="s">
        <v>48</v>
      </c>
    </row>
    <row r="4743" spans="1:5" x14ac:dyDescent="0.25">
      <c r="A4743" s="36">
        <v>4741</v>
      </c>
      <c r="B4743" s="37">
        <v>11024517</v>
      </c>
      <c r="C4743" s="38">
        <v>5.1336907805566165E-3</v>
      </c>
      <c r="D4743" s="14" t="s">
        <v>4784</v>
      </c>
      <c r="E4743" s="14" t="s">
        <v>37</v>
      </c>
    </row>
    <row r="4744" spans="1:5" x14ac:dyDescent="0.25">
      <c r="A4744" s="36">
        <v>4742</v>
      </c>
      <c r="B4744" s="37">
        <v>1350300033</v>
      </c>
      <c r="C4744" s="38">
        <v>0.62878245191126247</v>
      </c>
      <c r="D4744" s="14" t="s">
        <v>4785</v>
      </c>
      <c r="E4744" s="14" t="s">
        <v>40</v>
      </c>
    </row>
    <row r="4745" spans="1:5" x14ac:dyDescent="0.25">
      <c r="A4745" s="36">
        <v>4743</v>
      </c>
      <c r="B4745" s="37">
        <v>1251775820</v>
      </c>
      <c r="C4745" s="38">
        <v>0.58290354003333655</v>
      </c>
      <c r="D4745" s="14" t="s">
        <v>4786</v>
      </c>
      <c r="E4745" s="14" t="s">
        <v>43</v>
      </c>
    </row>
    <row r="4746" spans="1:5" x14ac:dyDescent="0.25">
      <c r="A4746" s="36">
        <v>4744</v>
      </c>
      <c r="B4746" s="37">
        <v>2119802444</v>
      </c>
      <c r="C4746" s="38">
        <v>0.98710993537079073</v>
      </c>
      <c r="D4746" s="14" t="s">
        <v>4787</v>
      </c>
      <c r="E4746" s="14" t="s">
        <v>46</v>
      </c>
    </row>
    <row r="4747" spans="1:5" x14ac:dyDescent="0.25">
      <c r="A4747" s="36">
        <v>4745</v>
      </c>
      <c r="B4747" s="37">
        <v>1368610680</v>
      </c>
      <c r="C4747" s="38">
        <v>0.63730901136869056</v>
      </c>
      <c r="D4747" s="14" t="s">
        <v>4788</v>
      </c>
      <c r="E4747" s="14" t="s">
        <v>48</v>
      </c>
    </row>
    <row r="4748" spans="1:5" x14ac:dyDescent="0.25">
      <c r="A4748" s="36">
        <v>4746</v>
      </c>
      <c r="B4748" s="37">
        <v>546071624</v>
      </c>
      <c r="C4748" s="38">
        <v>0.25428441551247816</v>
      </c>
      <c r="D4748" s="14" t="s">
        <v>4789</v>
      </c>
      <c r="E4748" s="14" t="s">
        <v>37</v>
      </c>
    </row>
    <row r="4749" spans="1:5" x14ac:dyDescent="0.25">
      <c r="A4749" s="36">
        <v>4747</v>
      </c>
      <c r="B4749" s="37">
        <v>512962662</v>
      </c>
      <c r="C4749" s="38">
        <v>0.2388668536389558</v>
      </c>
      <c r="D4749" s="14" t="s">
        <v>4790</v>
      </c>
      <c r="E4749" s="14" t="s">
        <v>40</v>
      </c>
    </row>
    <row r="4750" spans="1:5" x14ac:dyDescent="0.25">
      <c r="A4750" s="36">
        <v>4748</v>
      </c>
      <c r="B4750" s="37">
        <v>690822573</v>
      </c>
      <c r="C4750" s="38">
        <v>0.32168932879422296</v>
      </c>
      <c r="D4750" s="14" t="s">
        <v>4791</v>
      </c>
      <c r="E4750" s="14" t="s">
        <v>43</v>
      </c>
    </row>
    <row r="4751" spans="1:5" x14ac:dyDescent="0.25">
      <c r="A4751" s="36">
        <v>4749</v>
      </c>
      <c r="B4751" s="37">
        <v>863604428</v>
      </c>
      <c r="C4751" s="38">
        <v>0.40214714985440819</v>
      </c>
      <c r="D4751" s="14" t="s">
        <v>4792</v>
      </c>
      <c r="E4751" s="14" t="s">
        <v>46</v>
      </c>
    </row>
    <row r="4752" spans="1:5" x14ac:dyDescent="0.25">
      <c r="A4752" s="36">
        <v>4750</v>
      </c>
      <c r="B4752" s="37">
        <v>980857475</v>
      </c>
      <c r="C4752" s="38">
        <v>0.45674735468660826</v>
      </c>
      <c r="D4752" s="14" t="s">
        <v>4793</v>
      </c>
      <c r="E4752" s="14" t="s">
        <v>48</v>
      </c>
    </row>
    <row r="4753" spans="1:5" x14ac:dyDescent="0.25">
      <c r="A4753" s="36">
        <v>4751</v>
      </c>
      <c r="B4753" s="37">
        <v>1852624849</v>
      </c>
      <c r="C4753" s="38">
        <v>0.86269567248537005</v>
      </c>
      <c r="D4753" s="14" t="s">
        <v>4794</v>
      </c>
      <c r="E4753" s="14" t="s">
        <v>37</v>
      </c>
    </row>
    <row r="4754" spans="1:5" x14ac:dyDescent="0.25">
      <c r="A4754" s="36">
        <v>4752</v>
      </c>
      <c r="B4754" s="37">
        <v>2118234182</v>
      </c>
      <c r="C4754" s="38">
        <v>0.98637965646869485</v>
      </c>
      <c r="D4754" s="14" t="s">
        <v>4795</v>
      </c>
      <c r="E4754" s="14" t="s">
        <v>40</v>
      </c>
    </row>
    <row r="4755" spans="1:5" x14ac:dyDescent="0.25">
      <c r="A4755" s="36">
        <v>4753</v>
      </c>
      <c r="B4755" s="37">
        <v>149936235</v>
      </c>
      <c r="C4755" s="38">
        <v>6.9819500236687954E-2</v>
      </c>
      <c r="D4755" s="14" t="s">
        <v>4796</v>
      </c>
      <c r="E4755" s="14" t="s">
        <v>43</v>
      </c>
    </row>
    <row r="4756" spans="1:5" x14ac:dyDescent="0.25">
      <c r="A4756" s="36">
        <v>4754</v>
      </c>
      <c r="B4756" s="37">
        <v>1665947846</v>
      </c>
      <c r="C4756" s="38">
        <v>0.77576741891716017</v>
      </c>
      <c r="D4756" s="14" t="s">
        <v>4797</v>
      </c>
      <c r="E4756" s="14" t="s">
        <v>46</v>
      </c>
    </row>
    <row r="4757" spans="1:5" x14ac:dyDescent="0.25">
      <c r="A4757" s="36">
        <v>4755</v>
      </c>
      <c r="B4757" s="37">
        <v>1578634625</v>
      </c>
      <c r="C4757" s="38">
        <v>0.73510903200838207</v>
      </c>
      <c r="D4757" s="14" t="s">
        <v>4798</v>
      </c>
      <c r="E4757" s="14" t="s">
        <v>48</v>
      </c>
    </row>
    <row r="4758" spans="1:5" x14ac:dyDescent="0.25">
      <c r="A4758" s="36">
        <v>4756</v>
      </c>
      <c r="B4758" s="37">
        <v>1790227619</v>
      </c>
      <c r="C4758" s="38">
        <v>0.83363969802560267</v>
      </c>
      <c r="D4758" s="14" t="s">
        <v>4799</v>
      </c>
      <c r="E4758" s="14" t="s">
        <v>37</v>
      </c>
    </row>
    <row r="4759" spans="1:5" x14ac:dyDescent="0.25">
      <c r="A4759" s="36">
        <v>4757</v>
      </c>
      <c r="B4759" s="37">
        <v>1268071940</v>
      </c>
      <c r="C4759" s="38">
        <v>0.59049201225419157</v>
      </c>
      <c r="D4759" s="14" t="s">
        <v>4800</v>
      </c>
      <c r="E4759" s="14" t="s">
        <v>40</v>
      </c>
    </row>
    <row r="4760" spans="1:5" x14ac:dyDescent="0.25">
      <c r="A4760" s="36">
        <v>4758</v>
      </c>
      <c r="B4760" s="37">
        <v>405516540</v>
      </c>
      <c r="C4760" s="38">
        <v>0.18883335412891272</v>
      </c>
      <c r="D4760" s="14" t="s">
        <v>4801</v>
      </c>
      <c r="E4760" s="14" t="s">
        <v>43</v>
      </c>
    </row>
    <row r="4761" spans="1:5" x14ac:dyDescent="0.25">
      <c r="A4761" s="36">
        <v>4759</v>
      </c>
      <c r="B4761" s="37">
        <v>667689977</v>
      </c>
      <c r="C4761" s="38">
        <v>0.310917374357077</v>
      </c>
      <c r="D4761" s="14" t="s">
        <v>4802</v>
      </c>
      <c r="E4761" s="14" t="s">
        <v>46</v>
      </c>
    </row>
    <row r="4762" spans="1:5" x14ac:dyDescent="0.25">
      <c r="A4762" s="36">
        <v>4760</v>
      </c>
      <c r="B4762" s="37">
        <v>461038238</v>
      </c>
      <c r="C4762" s="38">
        <v>0.2146876595051436</v>
      </c>
      <c r="D4762" s="14" t="s">
        <v>4803</v>
      </c>
      <c r="E4762" s="14" t="s">
        <v>48</v>
      </c>
    </row>
    <row r="4763" spans="1:5" x14ac:dyDescent="0.25">
      <c r="A4763" s="36">
        <v>4761</v>
      </c>
      <c r="B4763" s="37">
        <v>963304782</v>
      </c>
      <c r="C4763" s="38">
        <v>0.44857374506470454</v>
      </c>
      <c r="D4763" s="14" t="s">
        <v>4804</v>
      </c>
      <c r="E4763" s="14" t="s">
        <v>37</v>
      </c>
    </row>
    <row r="4764" spans="1:5" x14ac:dyDescent="0.25">
      <c r="A4764" s="36">
        <v>4762</v>
      </c>
      <c r="B4764" s="37">
        <v>1471326459</v>
      </c>
      <c r="C4764" s="38">
        <v>0.68513977326692066</v>
      </c>
      <c r="D4764" s="14" t="s">
        <v>4805</v>
      </c>
      <c r="E4764" s="14" t="s">
        <v>40</v>
      </c>
    </row>
    <row r="4765" spans="1:5" x14ac:dyDescent="0.25">
      <c r="A4765" s="36">
        <v>4763</v>
      </c>
      <c r="B4765" s="37">
        <v>1617555694</v>
      </c>
      <c r="C4765" s="38">
        <v>0.75323306711075499</v>
      </c>
      <c r="D4765" s="14" t="s">
        <v>4806</v>
      </c>
      <c r="E4765" s="14" t="s">
        <v>43</v>
      </c>
    </row>
    <row r="4766" spans="1:5" x14ac:dyDescent="0.25">
      <c r="A4766" s="36">
        <v>4764</v>
      </c>
      <c r="B4766" s="37">
        <v>1595942148</v>
      </c>
      <c r="C4766" s="38">
        <v>0.74316847545242337</v>
      </c>
      <c r="D4766" s="14" t="s">
        <v>4807</v>
      </c>
      <c r="E4766" s="14" t="s">
        <v>46</v>
      </c>
    </row>
    <row r="4767" spans="1:5" x14ac:dyDescent="0.25">
      <c r="A4767" s="36">
        <v>4765</v>
      </c>
      <c r="B4767" s="37">
        <v>2101824689</v>
      </c>
      <c r="C4767" s="38">
        <v>0.97873839083068925</v>
      </c>
      <c r="D4767" s="14" t="s">
        <v>4808</v>
      </c>
      <c r="E4767" s="14" t="s">
        <v>48</v>
      </c>
    </row>
    <row r="4768" spans="1:5" x14ac:dyDescent="0.25">
      <c r="A4768" s="36">
        <v>4766</v>
      </c>
      <c r="B4768" s="37">
        <v>2130590250</v>
      </c>
      <c r="C4768" s="38">
        <v>0.99213339900231612</v>
      </c>
      <c r="D4768" s="14" t="s">
        <v>4809</v>
      </c>
      <c r="E4768" s="14" t="s">
        <v>37</v>
      </c>
    </row>
    <row r="4769" spans="1:5" x14ac:dyDescent="0.25">
      <c r="A4769" s="36">
        <v>4767</v>
      </c>
      <c r="B4769" s="37">
        <v>683136616</v>
      </c>
      <c r="C4769" s="38">
        <v>0.31811027616174437</v>
      </c>
      <c r="D4769" s="14" t="s">
        <v>4810</v>
      </c>
      <c r="E4769" s="14" t="s">
        <v>40</v>
      </c>
    </row>
    <row r="4770" spans="1:5" x14ac:dyDescent="0.25">
      <c r="A4770" s="36">
        <v>4768</v>
      </c>
      <c r="B4770" s="37">
        <v>2103597829</v>
      </c>
      <c r="C4770" s="38">
        <v>0.97956407348605068</v>
      </c>
      <c r="D4770" s="14" t="s">
        <v>4811</v>
      </c>
      <c r="E4770" s="14" t="s">
        <v>43</v>
      </c>
    </row>
    <row r="4771" spans="1:5" x14ac:dyDescent="0.25">
      <c r="A4771" s="36">
        <v>4769</v>
      </c>
      <c r="B4771" s="37">
        <v>776434125</v>
      </c>
      <c r="C4771" s="38">
        <v>0.36155531432552046</v>
      </c>
      <c r="D4771" s="14" t="s">
        <v>4812</v>
      </c>
      <c r="E4771" s="14" t="s">
        <v>46</v>
      </c>
    </row>
    <row r="4772" spans="1:5" x14ac:dyDescent="0.25">
      <c r="A4772" s="36">
        <v>4770</v>
      </c>
      <c r="B4772" s="37">
        <v>712349602</v>
      </c>
      <c r="C4772" s="38">
        <v>0.33171363283494193</v>
      </c>
      <c r="D4772" s="14" t="s">
        <v>4813</v>
      </c>
      <c r="E4772" s="14" t="s">
        <v>48</v>
      </c>
    </row>
    <row r="4773" spans="1:5" x14ac:dyDescent="0.25">
      <c r="A4773" s="36">
        <v>4771</v>
      </c>
      <c r="B4773" s="37">
        <v>229416811</v>
      </c>
      <c r="C4773" s="38">
        <v>0.10683052759004316</v>
      </c>
      <c r="D4773" s="14" t="s">
        <v>4814</v>
      </c>
      <c r="E4773" s="14" t="s">
        <v>37</v>
      </c>
    </row>
    <row r="4774" spans="1:5" x14ac:dyDescent="0.25">
      <c r="A4774" s="36">
        <v>4772</v>
      </c>
      <c r="B4774" s="37">
        <v>1194157164</v>
      </c>
      <c r="C4774" s="38">
        <v>0.55607276249494064</v>
      </c>
      <c r="D4774" s="14" t="s">
        <v>4815</v>
      </c>
      <c r="E4774" s="14" t="s">
        <v>40</v>
      </c>
    </row>
    <row r="4775" spans="1:5" x14ac:dyDescent="0.25">
      <c r="A4775" s="36">
        <v>4773</v>
      </c>
      <c r="B4775" s="37">
        <v>1046099064</v>
      </c>
      <c r="C4775" s="38">
        <v>0.48712783702049767</v>
      </c>
      <c r="D4775" s="14" t="s">
        <v>4816</v>
      </c>
      <c r="E4775" s="14" t="s">
        <v>43</v>
      </c>
    </row>
    <row r="4776" spans="1:5" x14ac:dyDescent="0.25">
      <c r="A4776" s="36">
        <v>4774</v>
      </c>
      <c r="B4776" s="37">
        <v>2008009931</v>
      </c>
      <c r="C4776" s="38">
        <v>0.93505248983160238</v>
      </c>
      <c r="D4776" s="14" t="s">
        <v>4817</v>
      </c>
      <c r="E4776" s="14" t="s">
        <v>46</v>
      </c>
    </row>
    <row r="4777" spans="1:5" x14ac:dyDescent="0.25">
      <c r="A4777" s="36">
        <v>4775</v>
      </c>
      <c r="B4777" s="37">
        <v>1541405552</v>
      </c>
      <c r="C4777" s="38">
        <v>0.71777289394185551</v>
      </c>
      <c r="D4777" s="14" t="s">
        <v>4818</v>
      </c>
      <c r="E4777" s="14" t="s">
        <v>48</v>
      </c>
    </row>
    <row r="4778" spans="1:5" x14ac:dyDescent="0.25">
      <c r="A4778" s="36">
        <v>4776</v>
      </c>
      <c r="B4778" s="37">
        <v>855610126</v>
      </c>
      <c r="C4778" s="38">
        <v>0.39842451289222786</v>
      </c>
      <c r="D4778" s="14" t="s">
        <v>4819</v>
      </c>
      <c r="E4778" s="14" t="s">
        <v>37</v>
      </c>
    </row>
    <row r="4779" spans="1:5" x14ac:dyDescent="0.25">
      <c r="A4779" s="36">
        <v>4777</v>
      </c>
      <c r="B4779" s="37">
        <v>73997737</v>
      </c>
      <c r="C4779" s="38">
        <v>3.4457881485325227E-2</v>
      </c>
      <c r="D4779" s="14" t="s">
        <v>4820</v>
      </c>
      <c r="E4779" s="14" t="s">
        <v>40</v>
      </c>
    </row>
    <row r="4780" spans="1:5" x14ac:dyDescent="0.25">
      <c r="A4780" s="36">
        <v>4778</v>
      </c>
      <c r="B4780" s="37">
        <v>1025026816</v>
      </c>
      <c r="C4780" s="38">
        <v>0.47731530688578044</v>
      </c>
      <c r="D4780" s="14" t="s">
        <v>4821</v>
      </c>
      <c r="E4780" s="14" t="s">
        <v>43</v>
      </c>
    </row>
    <row r="4781" spans="1:5" x14ac:dyDescent="0.25">
      <c r="A4781" s="36">
        <v>4779</v>
      </c>
      <c r="B4781" s="37">
        <v>1574814182</v>
      </c>
      <c r="C4781" s="38">
        <v>0.73332999960208778</v>
      </c>
      <c r="D4781" s="14" t="s">
        <v>4822</v>
      </c>
      <c r="E4781" s="14" t="s">
        <v>46</v>
      </c>
    </row>
    <row r="4782" spans="1:5" x14ac:dyDescent="0.25">
      <c r="A4782" s="36">
        <v>4780</v>
      </c>
      <c r="B4782" s="37">
        <v>1266421811</v>
      </c>
      <c r="C4782" s="38">
        <v>0.58972361105946991</v>
      </c>
      <c r="D4782" s="14" t="s">
        <v>4823</v>
      </c>
      <c r="E4782" s="14" t="s">
        <v>48</v>
      </c>
    </row>
    <row r="4783" spans="1:5" x14ac:dyDescent="0.25">
      <c r="A4783" s="36">
        <v>4781</v>
      </c>
      <c r="B4783" s="37">
        <v>356127328</v>
      </c>
      <c r="C4783" s="38">
        <v>0.16583471007916831</v>
      </c>
      <c r="D4783" s="14" t="s">
        <v>4824</v>
      </c>
      <c r="E4783" s="14" t="s">
        <v>37</v>
      </c>
    </row>
    <row r="4784" spans="1:5" x14ac:dyDescent="0.25">
      <c r="A4784" s="36">
        <v>4782</v>
      </c>
      <c r="B4784" s="37">
        <v>1058560131</v>
      </c>
      <c r="C4784" s="38">
        <v>0.49293047352364777</v>
      </c>
      <c r="D4784" s="14" t="s">
        <v>4825</v>
      </c>
      <c r="E4784" s="14" t="s">
        <v>40</v>
      </c>
    </row>
    <row r="4785" spans="1:5" x14ac:dyDescent="0.25">
      <c r="A4785" s="36">
        <v>4783</v>
      </c>
      <c r="B4785" s="37">
        <v>1221011733</v>
      </c>
      <c r="C4785" s="38">
        <v>0.56857789567139838</v>
      </c>
      <c r="D4785" s="14" t="s">
        <v>4826</v>
      </c>
      <c r="E4785" s="14" t="s">
        <v>43</v>
      </c>
    </row>
    <row r="4786" spans="1:5" x14ac:dyDescent="0.25">
      <c r="A4786" s="36">
        <v>4784</v>
      </c>
      <c r="B4786" s="37">
        <v>1275451484</v>
      </c>
      <c r="C4786" s="38">
        <v>0.59392838021457584</v>
      </c>
      <c r="D4786" s="14" t="s">
        <v>4827</v>
      </c>
      <c r="E4786" s="14" t="s">
        <v>46</v>
      </c>
    </row>
    <row r="4787" spans="1:5" x14ac:dyDescent="0.25">
      <c r="A4787" s="36">
        <v>4785</v>
      </c>
      <c r="B4787" s="37">
        <v>234532300</v>
      </c>
      <c r="C4787" s="38">
        <v>0.10921261278410098</v>
      </c>
      <c r="D4787" s="14" t="s">
        <v>4828</v>
      </c>
      <c r="E4787" s="14" t="s">
        <v>48</v>
      </c>
    </row>
    <row r="4788" spans="1:5" x14ac:dyDescent="0.25">
      <c r="A4788" s="36">
        <v>4786</v>
      </c>
      <c r="B4788" s="37">
        <v>1280824534</v>
      </c>
      <c r="C4788" s="38">
        <v>0.59643040159550975</v>
      </c>
      <c r="D4788" s="14" t="s">
        <v>4829</v>
      </c>
      <c r="E4788" s="14" t="s">
        <v>37</v>
      </c>
    </row>
    <row r="4789" spans="1:5" x14ac:dyDescent="0.25">
      <c r="A4789" s="36">
        <v>4787</v>
      </c>
      <c r="B4789" s="37">
        <v>1688677442</v>
      </c>
      <c r="C4789" s="38">
        <v>0.78635171185543373</v>
      </c>
      <c r="D4789" s="14" t="s">
        <v>4830</v>
      </c>
      <c r="E4789" s="14" t="s">
        <v>40</v>
      </c>
    </row>
    <row r="4790" spans="1:5" x14ac:dyDescent="0.25">
      <c r="A4790" s="36">
        <v>4788</v>
      </c>
      <c r="B4790" s="37">
        <v>1192523679</v>
      </c>
      <c r="C4790" s="38">
        <v>0.5553121117666886</v>
      </c>
      <c r="D4790" s="14" t="s">
        <v>4831</v>
      </c>
      <c r="E4790" s="14" t="s">
        <v>43</v>
      </c>
    </row>
    <row r="4791" spans="1:5" x14ac:dyDescent="0.25">
      <c r="A4791" s="36">
        <v>4789</v>
      </c>
      <c r="B4791" s="37">
        <v>783776541</v>
      </c>
      <c r="C4791" s="38">
        <v>0.36497439321362152</v>
      </c>
      <c r="D4791" s="14" t="s">
        <v>4832</v>
      </c>
      <c r="E4791" s="14" t="s">
        <v>46</v>
      </c>
    </row>
    <row r="4792" spans="1:5" x14ac:dyDescent="0.25">
      <c r="A4792" s="36">
        <v>4790</v>
      </c>
      <c r="B4792" s="37">
        <v>1017906925</v>
      </c>
      <c r="C4792" s="38">
        <v>0.47399984927568578</v>
      </c>
      <c r="D4792" s="14" t="s">
        <v>4833</v>
      </c>
      <c r="E4792" s="14" t="s">
        <v>48</v>
      </c>
    </row>
    <row r="4793" spans="1:5" x14ac:dyDescent="0.25">
      <c r="A4793" s="36">
        <v>4791</v>
      </c>
      <c r="B4793" s="37">
        <v>153011553</v>
      </c>
      <c r="C4793" s="38">
        <v>7.1251556776115471E-2</v>
      </c>
      <c r="D4793" s="14" t="s">
        <v>4834</v>
      </c>
      <c r="E4793" s="14" t="s">
        <v>37</v>
      </c>
    </row>
    <row r="4794" spans="1:5" x14ac:dyDescent="0.25">
      <c r="A4794" s="36">
        <v>4792</v>
      </c>
      <c r="B4794" s="37">
        <v>1008627348</v>
      </c>
      <c r="C4794" s="38">
        <v>0.46967870950218232</v>
      </c>
      <c r="D4794" s="14" t="s">
        <v>4835</v>
      </c>
      <c r="E4794" s="14" t="s">
        <v>40</v>
      </c>
    </row>
    <row r="4795" spans="1:5" x14ac:dyDescent="0.25">
      <c r="A4795" s="36">
        <v>4793</v>
      </c>
      <c r="B4795" s="37">
        <v>914978499</v>
      </c>
      <c r="C4795" s="38">
        <v>0.42607006590164737</v>
      </c>
      <c r="D4795" s="14" t="s">
        <v>4836</v>
      </c>
      <c r="E4795" s="14" t="s">
        <v>43</v>
      </c>
    </row>
    <row r="4796" spans="1:5" x14ac:dyDescent="0.25">
      <c r="A4796" s="36">
        <v>4794</v>
      </c>
      <c r="B4796" s="37">
        <v>1607565210</v>
      </c>
      <c r="C4796" s="38">
        <v>0.74858088546832136</v>
      </c>
      <c r="D4796" s="14" t="s">
        <v>4837</v>
      </c>
      <c r="E4796" s="14" t="s">
        <v>46</v>
      </c>
    </row>
    <row r="4797" spans="1:5" x14ac:dyDescent="0.25">
      <c r="A4797" s="36">
        <v>4795</v>
      </c>
      <c r="B4797" s="37">
        <v>151440769</v>
      </c>
      <c r="C4797" s="38">
        <v>7.0520103476252455E-2</v>
      </c>
      <c r="D4797" s="14" t="s">
        <v>4838</v>
      </c>
      <c r="E4797" s="14" t="s">
        <v>48</v>
      </c>
    </row>
    <row r="4798" spans="1:5" x14ac:dyDescent="0.25">
      <c r="A4798" s="36">
        <v>4796</v>
      </c>
      <c r="B4798" s="37">
        <v>2034471794</v>
      </c>
      <c r="C4798" s="38">
        <v>0.9473747550264815</v>
      </c>
      <c r="D4798" s="14" t="s">
        <v>4839</v>
      </c>
      <c r="E4798" s="14" t="s">
        <v>37</v>
      </c>
    </row>
    <row r="4799" spans="1:5" x14ac:dyDescent="0.25">
      <c r="A4799" s="36">
        <v>4797</v>
      </c>
      <c r="B4799" s="37">
        <v>936832010</v>
      </c>
      <c r="C4799" s="38">
        <v>0.43624639997083992</v>
      </c>
      <c r="D4799" s="14" t="s">
        <v>4840</v>
      </c>
      <c r="E4799" s="14" t="s">
        <v>40</v>
      </c>
    </row>
    <row r="4800" spans="1:5" x14ac:dyDescent="0.25">
      <c r="A4800" s="36">
        <v>4798</v>
      </c>
      <c r="B4800" s="37">
        <v>1097465952</v>
      </c>
      <c r="C4800" s="38">
        <v>0.51104740822270855</v>
      </c>
      <c r="D4800" s="14" t="s">
        <v>4841</v>
      </c>
      <c r="E4800" s="14" t="s">
        <v>43</v>
      </c>
    </row>
    <row r="4801" spans="1:5" x14ac:dyDescent="0.25">
      <c r="A4801" s="36">
        <v>4799</v>
      </c>
      <c r="B4801" s="37">
        <v>1415852826</v>
      </c>
      <c r="C4801" s="38">
        <v>0.65930784990047475</v>
      </c>
      <c r="D4801" s="14" t="s">
        <v>4842</v>
      </c>
      <c r="E4801" s="14" t="s">
        <v>46</v>
      </c>
    </row>
    <row r="4802" spans="1:5" x14ac:dyDescent="0.25">
      <c r="A4802" s="36">
        <v>4800</v>
      </c>
      <c r="B4802" s="37">
        <v>1870440075</v>
      </c>
      <c r="C4802" s="38">
        <v>0.87099153356207137</v>
      </c>
      <c r="D4802" s="14" t="s">
        <v>4843</v>
      </c>
      <c r="E4802" s="14" t="s">
        <v>48</v>
      </c>
    </row>
    <row r="4803" spans="1:5" x14ac:dyDescent="0.25">
      <c r="A4803" s="36">
        <v>4801</v>
      </c>
      <c r="B4803" s="37">
        <v>1405610409</v>
      </c>
      <c r="C4803" s="38">
        <v>0.65453835281289108</v>
      </c>
      <c r="D4803" s="14" t="s">
        <v>4844</v>
      </c>
      <c r="E4803" s="14" t="s">
        <v>37</v>
      </c>
    </row>
    <row r="4804" spans="1:5" x14ac:dyDescent="0.25">
      <c r="A4804" s="36">
        <v>4802</v>
      </c>
      <c r="B4804" s="37">
        <v>1983956683</v>
      </c>
      <c r="C4804" s="38">
        <v>0.92385182339877436</v>
      </c>
      <c r="D4804" s="14" t="s">
        <v>4845</v>
      </c>
      <c r="E4804" s="14" t="s">
        <v>40</v>
      </c>
    </row>
    <row r="4805" spans="1:5" x14ac:dyDescent="0.25">
      <c r="A4805" s="36">
        <v>4803</v>
      </c>
      <c r="B4805" s="37">
        <v>1993893020</v>
      </c>
      <c r="C4805" s="38">
        <v>0.92847879087947249</v>
      </c>
      <c r="D4805" s="14" t="s">
        <v>4846</v>
      </c>
      <c r="E4805" s="14" t="s">
        <v>43</v>
      </c>
    </row>
    <row r="4806" spans="1:5" x14ac:dyDescent="0.25">
      <c r="A4806" s="36">
        <v>4804</v>
      </c>
      <c r="B4806" s="37">
        <v>1356188751</v>
      </c>
      <c r="C4806" s="38">
        <v>0.6315245999170116</v>
      </c>
      <c r="D4806" s="14" t="s">
        <v>4847</v>
      </c>
      <c r="E4806" s="14" t="s">
        <v>46</v>
      </c>
    </row>
    <row r="4807" spans="1:5" x14ac:dyDescent="0.25">
      <c r="A4807" s="36">
        <v>4805</v>
      </c>
      <c r="B4807" s="37">
        <v>2054739862</v>
      </c>
      <c r="C4807" s="38">
        <v>0.95681280966699722</v>
      </c>
      <c r="D4807" s="14" t="s">
        <v>4848</v>
      </c>
      <c r="E4807" s="14" t="s">
        <v>48</v>
      </c>
    </row>
    <row r="4808" spans="1:5" x14ac:dyDescent="0.25">
      <c r="A4808" s="36">
        <v>4806</v>
      </c>
      <c r="B4808" s="37">
        <v>674625340</v>
      </c>
      <c r="C4808" s="38">
        <v>0.31414690442110732</v>
      </c>
      <c r="D4808" s="14" t="s">
        <v>4849</v>
      </c>
      <c r="E4808" s="14" t="s">
        <v>37</v>
      </c>
    </row>
    <row r="4809" spans="1:5" x14ac:dyDescent="0.25">
      <c r="A4809" s="36">
        <v>4807</v>
      </c>
      <c r="B4809" s="37">
        <v>1821533188</v>
      </c>
      <c r="C4809" s="38">
        <v>0.84821748959283227</v>
      </c>
      <c r="D4809" s="14" t="s">
        <v>4850</v>
      </c>
      <c r="E4809" s="14" t="s">
        <v>40</v>
      </c>
    </row>
    <row r="4810" spans="1:5" x14ac:dyDescent="0.25">
      <c r="A4810" s="36">
        <v>4808</v>
      </c>
      <c r="B4810" s="37">
        <v>1479617210</v>
      </c>
      <c r="C4810" s="38">
        <v>0.68900045505212637</v>
      </c>
      <c r="D4810" s="14" t="s">
        <v>4851</v>
      </c>
      <c r="E4810" s="14" t="s">
        <v>43</v>
      </c>
    </row>
    <row r="4811" spans="1:5" x14ac:dyDescent="0.25">
      <c r="A4811" s="36">
        <v>4809</v>
      </c>
      <c r="B4811" s="37">
        <v>2049948347</v>
      </c>
      <c r="C4811" s="38">
        <v>0.95458158662290382</v>
      </c>
      <c r="D4811" s="14" t="s">
        <v>4852</v>
      </c>
      <c r="E4811" s="14" t="s">
        <v>46</v>
      </c>
    </row>
    <row r="4812" spans="1:5" x14ac:dyDescent="0.25">
      <c r="A4812" s="36">
        <v>4810</v>
      </c>
      <c r="B4812" s="37">
        <v>832384923</v>
      </c>
      <c r="C4812" s="38">
        <v>0.38760943496022815</v>
      </c>
      <c r="D4812" s="14" t="s">
        <v>4853</v>
      </c>
      <c r="E4812" s="14" t="s">
        <v>48</v>
      </c>
    </row>
    <row r="4813" spans="1:5" x14ac:dyDescent="0.25">
      <c r="A4813" s="36">
        <v>4811</v>
      </c>
      <c r="B4813" s="37">
        <v>143587456</v>
      </c>
      <c r="C4813" s="38">
        <v>6.6863119633338935E-2</v>
      </c>
      <c r="D4813" s="14" t="s">
        <v>4854</v>
      </c>
      <c r="E4813" s="14" t="s">
        <v>37</v>
      </c>
    </row>
    <row r="4814" spans="1:5" x14ac:dyDescent="0.25">
      <c r="A4814" s="36">
        <v>4812</v>
      </c>
      <c r="B4814" s="37">
        <v>1731609758</v>
      </c>
      <c r="C4814" s="38">
        <v>0.80634362940040583</v>
      </c>
      <c r="D4814" s="14" t="s">
        <v>4855</v>
      </c>
      <c r="E4814" s="14" t="s">
        <v>40</v>
      </c>
    </row>
    <row r="4815" spans="1:5" x14ac:dyDescent="0.25">
      <c r="A4815" s="36">
        <v>4813</v>
      </c>
      <c r="B4815" s="37">
        <v>1292492360</v>
      </c>
      <c r="C4815" s="38">
        <v>0.60186365647328255</v>
      </c>
      <c r="D4815" s="14" t="s">
        <v>4856</v>
      </c>
      <c r="E4815" s="14" t="s">
        <v>43</v>
      </c>
    </row>
    <row r="4816" spans="1:5" x14ac:dyDescent="0.25">
      <c r="A4816" s="36">
        <v>4814</v>
      </c>
      <c r="B4816" s="37">
        <v>1234646624</v>
      </c>
      <c r="C4816" s="38">
        <v>0.57492713656971561</v>
      </c>
      <c r="D4816" s="14" t="s">
        <v>4857</v>
      </c>
      <c r="E4816" s="14" t="s">
        <v>46</v>
      </c>
    </row>
    <row r="4817" spans="1:5" x14ac:dyDescent="0.25">
      <c r="A4817" s="36">
        <v>4815</v>
      </c>
      <c r="B4817" s="37">
        <v>137728116</v>
      </c>
      <c r="C4817" s="38">
        <v>6.4134651824894667E-2</v>
      </c>
      <c r="D4817" s="14" t="s">
        <v>4858</v>
      </c>
      <c r="E4817" s="14" t="s">
        <v>48</v>
      </c>
    </row>
    <row r="4818" spans="1:5" x14ac:dyDescent="0.25">
      <c r="A4818" s="36">
        <v>4816</v>
      </c>
      <c r="B4818" s="37">
        <v>436937285</v>
      </c>
      <c r="C4818" s="38">
        <v>0.20346477870059423</v>
      </c>
      <c r="D4818" s="14" t="s">
        <v>4859</v>
      </c>
      <c r="E4818" s="14" t="s">
        <v>37</v>
      </c>
    </row>
    <row r="4819" spans="1:5" x14ac:dyDescent="0.25">
      <c r="A4819" s="36">
        <v>4817</v>
      </c>
      <c r="B4819" s="37">
        <v>1466522064</v>
      </c>
      <c r="C4819" s="38">
        <v>0.68290255250544407</v>
      </c>
      <c r="D4819" s="14" t="s">
        <v>4860</v>
      </c>
      <c r="E4819" s="14" t="s">
        <v>40</v>
      </c>
    </row>
    <row r="4820" spans="1:5" x14ac:dyDescent="0.25">
      <c r="A4820" s="36">
        <v>4818</v>
      </c>
      <c r="B4820" s="37">
        <v>1811069747</v>
      </c>
      <c r="C4820" s="38">
        <v>0.84334507018483484</v>
      </c>
      <c r="D4820" s="14" t="s">
        <v>4861</v>
      </c>
      <c r="E4820" s="14" t="s">
        <v>43</v>
      </c>
    </row>
    <row r="4821" spans="1:5" x14ac:dyDescent="0.25">
      <c r="A4821" s="36">
        <v>4819</v>
      </c>
      <c r="B4821" s="37">
        <v>912863855</v>
      </c>
      <c r="C4821" s="38">
        <v>0.4250853580539512</v>
      </c>
      <c r="D4821" s="14" t="s">
        <v>4862</v>
      </c>
      <c r="E4821" s="14" t="s">
        <v>46</v>
      </c>
    </row>
    <row r="4822" spans="1:5" x14ac:dyDescent="0.25">
      <c r="A4822" s="36">
        <v>4820</v>
      </c>
      <c r="B4822" s="37">
        <v>1455458543</v>
      </c>
      <c r="C4822" s="38">
        <v>0.67775069907202878</v>
      </c>
      <c r="D4822" s="14" t="s">
        <v>4863</v>
      </c>
      <c r="E4822" s="14" t="s">
        <v>48</v>
      </c>
    </row>
    <row r="4823" spans="1:5" x14ac:dyDescent="0.25">
      <c r="A4823" s="36">
        <v>4821</v>
      </c>
      <c r="B4823" s="37">
        <v>976050247</v>
      </c>
      <c r="C4823" s="38">
        <v>0.45450881470670401</v>
      </c>
      <c r="D4823" s="14" t="s">
        <v>4864</v>
      </c>
      <c r="E4823" s="14" t="s">
        <v>37</v>
      </c>
    </row>
    <row r="4824" spans="1:5" x14ac:dyDescent="0.25">
      <c r="A4824" s="36">
        <v>4822</v>
      </c>
      <c r="B4824" s="37">
        <v>1625506871</v>
      </c>
      <c r="C4824" s="38">
        <v>0.75693562242991086</v>
      </c>
      <c r="D4824" s="14" t="s">
        <v>4865</v>
      </c>
      <c r="E4824" s="14" t="s">
        <v>40</v>
      </c>
    </row>
    <row r="4825" spans="1:5" x14ac:dyDescent="0.25">
      <c r="A4825" s="36">
        <v>4823</v>
      </c>
      <c r="B4825" s="37">
        <v>1587121612</v>
      </c>
      <c r="C4825" s="38">
        <v>0.73906109330200642</v>
      </c>
      <c r="D4825" s="14" t="s">
        <v>4866</v>
      </c>
      <c r="E4825" s="14" t="s">
        <v>43</v>
      </c>
    </row>
    <row r="4826" spans="1:5" x14ac:dyDescent="0.25">
      <c r="A4826" s="36">
        <v>4824</v>
      </c>
      <c r="B4826" s="37">
        <v>297350181</v>
      </c>
      <c r="C4826" s="38">
        <v>0.13846446813012681</v>
      </c>
      <c r="D4826" s="14" t="s">
        <v>4867</v>
      </c>
      <c r="E4826" s="14" t="s">
        <v>46</v>
      </c>
    </row>
    <row r="4827" spans="1:5" x14ac:dyDescent="0.25">
      <c r="A4827" s="36">
        <v>4825</v>
      </c>
      <c r="B4827" s="37">
        <v>87939982</v>
      </c>
      <c r="C4827" s="38">
        <v>4.095024524300836E-2</v>
      </c>
      <c r="D4827" s="14" t="s">
        <v>4868</v>
      </c>
      <c r="E4827" s="14" t="s">
        <v>48</v>
      </c>
    </row>
    <row r="4828" spans="1:5" x14ac:dyDescent="0.25">
      <c r="A4828" s="36">
        <v>4826</v>
      </c>
      <c r="B4828" s="37">
        <v>384612312</v>
      </c>
      <c r="C4828" s="38">
        <v>0.17909906440372536</v>
      </c>
      <c r="D4828" s="14" t="s">
        <v>4869</v>
      </c>
      <c r="E4828" s="14" t="s">
        <v>37</v>
      </c>
    </row>
    <row r="4829" spans="1:5" x14ac:dyDescent="0.25">
      <c r="A4829" s="36">
        <v>4827</v>
      </c>
      <c r="B4829" s="37">
        <v>735110618</v>
      </c>
      <c r="C4829" s="38">
        <v>0.34231255685086948</v>
      </c>
      <c r="D4829" s="14" t="s">
        <v>4870</v>
      </c>
      <c r="E4829" s="14" t="s">
        <v>40</v>
      </c>
    </row>
    <row r="4830" spans="1:5" x14ac:dyDescent="0.25">
      <c r="A4830" s="36">
        <v>4828</v>
      </c>
      <c r="B4830" s="37">
        <v>603073837</v>
      </c>
      <c r="C4830" s="38">
        <v>0.2808281394098085</v>
      </c>
      <c r="D4830" s="14" t="s">
        <v>4871</v>
      </c>
      <c r="E4830" s="14" t="s">
        <v>43</v>
      </c>
    </row>
    <row r="4831" spans="1:5" x14ac:dyDescent="0.25">
      <c r="A4831" s="36">
        <v>4829</v>
      </c>
      <c r="B4831" s="37">
        <v>1999064733</v>
      </c>
      <c r="C4831" s="38">
        <v>0.9308870574137601</v>
      </c>
      <c r="D4831" s="14" t="s">
        <v>4872</v>
      </c>
      <c r="E4831" s="14" t="s">
        <v>46</v>
      </c>
    </row>
    <row r="4832" spans="1:5" x14ac:dyDescent="0.25">
      <c r="A4832" s="36">
        <v>4830</v>
      </c>
      <c r="B4832" s="37">
        <v>539829253</v>
      </c>
      <c r="C4832" s="38">
        <v>0.25137758499541207</v>
      </c>
      <c r="D4832" s="14" t="s">
        <v>4873</v>
      </c>
      <c r="E4832" s="14" t="s">
        <v>48</v>
      </c>
    </row>
    <row r="4833" spans="1:5" x14ac:dyDescent="0.25">
      <c r="A4833" s="36">
        <v>4831</v>
      </c>
      <c r="B4833" s="37">
        <v>1603741720</v>
      </c>
      <c r="C4833" s="38">
        <v>0.74680043419208397</v>
      </c>
      <c r="D4833" s="14" t="s">
        <v>4874</v>
      </c>
      <c r="E4833" s="14" t="s">
        <v>37</v>
      </c>
    </row>
    <row r="4834" spans="1:5" x14ac:dyDescent="0.25">
      <c r="A4834" s="36">
        <v>4832</v>
      </c>
      <c r="B4834" s="37">
        <v>998278227</v>
      </c>
      <c r="C4834" s="38">
        <v>0.46485952449257462</v>
      </c>
      <c r="D4834" s="14" t="s">
        <v>4875</v>
      </c>
      <c r="E4834" s="14" t="s">
        <v>40</v>
      </c>
    </row>
    <row r="4835" spans="1:5" x14ac:dyDescent="0.25">
      <c r="A4835" s="36">
        <v>4833</v>
      </c>
      <c r="B4835" s="37">
        <v>1658162208</v>
      </c>
      <c r="C4835" s="38">
        <v>0.77214194870187991</v>
      </c>
      <c r="D4835" s="14" t="s">
        <v>4876</v>
      </c>
      <c r="E4835" s="14" t="s">
        <v>43</v>
      </c>
    </row>
    <row r="4836" spans="1:5" x14ac:dyDescent="0.25">
      <c r="A4836" s="36">
        <v>4834</v>
      </c>
      <c r="B4836" s="37">
        <v>105868673</v>
      </c>
      <c r="C4836" s="38">
        <v>4.9298942577698707E-2</v>
      </c>
      <c r="D4836" s="14" t="s">
        <v>4877</v>
      </c>
      <c r="E4836" s="14" t="s">
        <v>46</v>
      </c>
    </row>
    <row r="4837" spans="1:5" x14ac:dyDescent="0.25">
      <c r="A4837" s="36">
        <v>4835</v>
      </c>
      <c r="B4837" s="37">
        <v>1706240375</v>
      </c>
      <c r="C4837" s="38">
        <v>0.79453008984892171</v>
      </c>
      <c r="D4837" s="14" t="s">
        <v>4878</v>
      </c>
      <c r="E4837" s="14" t="s">
        <v>48</v>
      </c>
    </row>
    <row r="4838" spans="1:5" x14ac:dyDescent="0.25">
      <c r="A4838" s="36">
        <v>4836</v>
      </c>
      <c r="B4838" s="37">
        <v>1438688893</v>
      </c>
      <c r="C4838" s="38">
        <v>0.66994172226169224</v>
      </c>
      <c r="D4838" s="14" t="s">
        <v>4879</v>
      </c>
      <c r="E4838" s="14" t="s">
        <v>37</v>
      </c>
    </row>
    <row r="4839" spans="1:5" x14ac:dyDescent="0.25">
      <c r="A4839" s="36">
        <v>4837</v>
      </c>
      <c r="B4839" s="37">
        <v>466827703</v>
      </c>
      <c r="C4839" s="38">
        <v>0.21738358923112208</v>
      </c>
      <c r="D4839" s="14" t="s">
        <v>4880</v>
      </c>
      <c r="E4839" s="14" t="s">
        <v>40</v>
      </c>
    </row>
    <row r="4840" spans="1:5" x14ac:dyDescent="0.25">
      <c r="A4840" s="36">
        <v>4838</v>
      </c>
      <c r="B4840" s="37">
        <v>1913409818</v>
      </c>
      <c r="C4840" s="38">
        <v>0.89100087941205175</v>
      </c>
      <c r="D4840" s="14" t="s">
        <v>4881</v>
      </c>
      <c r="E4840" s="14" t="s">
        <v>43</v>
      </c>
    </row>
    <row r="4841" spans="1:5" x14ac:dyDescent="0.25">
      <c r="A4841" s="36">
        <v>4839</v>
      </c>
      <c r="B4841" s="37">
        <v>1526730502</v>
      </c>
      <c r="C4841" s="38">
        <v>0.71093929126436795</v>
      </c>
      <c r="D4841" s="14" t="s">
        <v>4882</v>
      </c>
      <c r="E4841" s="14" t="s">
        <v>46</v>
      </c>
    </row>
    <row r="4842" spans="1:5" x14ac:dyDescent="0.25">
      <c r="A4842" s="36">
        <v>4840</v>
      </c>
      <c r="B4842" s="37">
        <v>1494493501</v>
      </c>
      <c r="C4842" s="38">
        <v>0.69592776787277677</v>
      </c>
      <c r="D4842" s="14" t="s">
        <v>4883</v>
      </c>
      <c r="E4842" s="14" t="s">
        <v>48</v>
      </c>
    </row>
    <row r="4843" spans="1:5" x14ac:dyDescent="0.25">
      <c r="A4843" s="36">
        <v>4841</v>
      </c>
      <c r="B4843" s="37">
        <v>1374291565</v>
      </c>
      <c r="C4843" s="38">
        <v>0.63995437959206958</v>
      </c>
      <c r="D4843" s="14" t="s">
        <v>4884</v>
      </c>
      <c r="E4843" s="14" t="s">
        <v>37</v>
      </c>
    </row>
    <row r="4844" spans="1:5" x14ac:dyDescent="0.25">
      <c r="A4844" s="36">
        <v>4842</v>
      </c>
      <c r="B4844" s="37">
        <v>1150678508</v>
      </c>
      <c r="C4844" s="38">
        <v>0.53582643556214238</v>
      </c>
      <c r="D4844" s="14" t="s">
        <v>4885</v>
      </c>
      <c r="E4844" s="14" t="s">
        <v>40</v>
      </c>
    </row>
    <row r="4845" spans="1:5" x14ac:dyDescent="0.25">
      <c r="A4845" s="36">
        <v>4843</v>
      </c>
      <c r="B4845" s="37">
        <v>2082608211</v>
      </c>
      <c r="C4845" s="38">
        <v>0.96979002094352151</v>
      </c>
      <c r="D4845" s="14" t="s">
        <v>4886</v>
      </c>
      <c r="E4845" s="14" t="s">
        <v>43</v>
      </c>
    </row>
    <row r="4846" spans="1:5" x14ac:dyDescent="0.25">
      <c r="A4846" s="36">
        <v>4844</v>
      </c>
      <c r="B4846" s="37">
        <v>443985718</v>
      </c>
      <c r="C4846" s="38">
        <v>0.20674696108640495</v>
      </c>
      <c r="D4846" s="14" t="s">
        <v>4887</v>
      </c>
      <c r="E4846" s="14" t="s">
        <v>46</v>
      </c>
    </row>
    <row r="4847" spans="1:5" x14ac:dyDescent="0.25">
      <c r="A4847" s="36">
        <v>4845</v>
      </c>
      <c r="B4847" s="37">
        <v>2056297828</v>
      </c>
      <c r="C4847" s="38">
        <v>0.95753829412047675</v>
      </c>
      <c r="D4847" s="14" t="s">
        <v>4888</v>
      </c>
      <c r="E4847" s="14" t="s">
        <v>48</v>
      </c>
    </row>
    <row r="4848" spans="1:5" x14ac:dyDescent="0.25">
      <c r="A4848" s="36">
        <v>4846</v>
      </c>
      <c r="B4848" s="37">
        <v>1935219561</v>
      </c>
      <c r="C4848" s="38">
        <v>0.90115683241801192</v>
      </c>
      <c r="D4848" s="14" t="s">
        <v>4889</v>
      </c>
      <c r="E4848" s="14" t="s">
        <v>37</v>
      </c>
    </row>
    <row r="4849" spans="1:5" x14ac:dyDescent="0.25">
      <c r="A4849" s="36">
        <v>4847</v>
      </c>
      <c r="B4849" s="37">
        <v>1178145042</v>
      </c>
      <c r="C4849" s="38">
        <v>0.54861653714842007</v>
      </c>
      <c r="D4849" s="14" t="s">
        <v>4890</v>
      </c>
      <c r="E4849" s="14" t="s">
        <v>40</v>
      </c>
    </row>
    <row r="4850" spans="1:5" x14ac:dyDescent="0.25">
      <c r="A4850" s="36">
        <v>4848</v>
      </c>
      <c r="B4850" s="37">
        <v>888269931</v>
      </c>
      <c r="C4850" s="38">
        <v>0.41363291973882954</v>
      </c>
      <c r="D4850" s="14" t="s">
        <v>4891</v>
      </c>
      <c r="E4850" s="14" t="s">
        <v>43</v>
      </c>
    </row>
    <row r="4851" spans="1:5" x14ac:dyDescent="0.25">
      <c r="A4851" s="36">
        <v>4849</v>
      </c>
      <c r="B4851" s="37">
        <v>1734875204</v>
      </c>
      <c r="C4851" s="38">
        <v>0.80786422118910783</v>
      </c>
      <c r="D4851" s="14" t="s">
        <v>4892</v>
      </c>
      <c r="E4851" s="14" t="s">
        <v>46</v>
      </c>
    </row>
    <row r="4852" spans="1:5" x14ac:dyDescent="0.25">
      <c r="A4852" s="36">
        <v>4850</v>
      </c>
      <c r="B4852" s="37">
        <v>1427884953</v>
      </c>
      <c r="C4852" s="38">
        <v>0.66491074565095398</v>
      </c>
      <c r="D4852" s="14" t="s">
        <v>4893</v>
      </c>
      <c r="E4852" s="14" t="s">
        <v>48</v>
      </c>
    </row>
    <row r="4853" spans="1:5" x14ac:dyDescent="0.25">
      <c r="A4853" s="36">
        <v>4851</v>
      </c>
      <c r="B4853" s="37">
        <v>66659181</v>
      </c>
      <c r="C4853" s="38">
        <v>3.1040600049794E-2</v>
      </c>
      <c r="D4853" s="14" t="s">
        <v>4894</v>
      </c>
      <c r="E4853" s="14" t="s">
        <v>37</v>
      </c>
    </row>
    <row r="4854" spans="1:5" x14ac:dyDescent="0.25">
      <c r="A4854" s="36">
        <v>4852</v>
      </c>
      <c r="B4854" s="37">
        <v>702085052</v>
      </c>
      <c r="C4854" s="38">
        <v>0.3269338292660815</v>
      </c>
      <c r="D4854" s="14" t="s">
        <v>4895</v>
      </c>
      <c r="E4854" s="14" t="s">
        <v>40</v>
      </c>
    </row>
    <row r="4855" spans="1:5" x14ac:dyDescent="0.25">
      <c r="A4855" s="36">
        <v>4853</v>
      </c>
      <c r="B4855" s="37">
        <v>9223593</v>
      </c>
      <c r="C4855" s="38">
        <v>4.2950701919827004E-3</v>
      </c>
      <c r="D4855" s="14" t="s">
        <v>4896</v>
      </c>
      <c r="E4855" s="14" t="s">
        <v>43</v>
      </c>
    </row>
    <row r="4856" spans="1:5" x14ac:dyDescent="0.25">
      <c r="A4856" s="36">
        <v>4854</v>
      </c>
      <c r="B4856" s="37">
        <v>1554450145</v>
      </c>
      <c r="C4856" s="38">
        <v>0.72384725591346954</v>
      </c>
      <c r="D4856" s="14" t="s">
        <v>4897</v>
      </c>
      <c r="E4856" s="14" t="s">
        <v>46</v>
      </c>
    </row>
    <row r="4857" spans="1:5" x14ac:dyDescent="0.25">
      <c r="A4857" s="36">
        <v>4855</v>
      </c>
      <c r="B4857" s="37">
        <v>699618634</v>
      </c>
      <c r="C4857" s="38">
        <v>0.32578531388462767</v>
      </c>
      <c r="D4857" s="14" t="s">
        <v>4898</v>
      </c>
      <c r="E4857" s="14" t="s">
        <v>48</v>
      </c>
    </row>
    <row r="4858" spans="1:5" x14ac:dyDescent="0.25">
      <c r="A4858" s="36">
        <v>4856</v>
      </c>
      <c r="B4858" s="37">
        <v>583535207</v>
      </c>
      <c r="C4858" s="38">
        <v>0.27172975580754211</v>
      </c>
      <c r="D4858" s="14" t="s">
        <v>4899</v>
      </c>
      <c r="E4858" s="14" t="s">
        <v>37</v>
      </c>
    </row>
    <row r="4859" spans="1:5" x14ac:dyDescent="0.25">
      <c r="A4859" s="36">
        <v>4857</v>
      </c>
      <c r="B4859" s="37">
        <v>953314151</v>
      </c>
      <c r="C4859" s="38">
        <v>0.44392149497006156</v>
      </c>
      <c r="D4859" s="14" t="s">
        <v>4900</v>
      </c>
      <c r="E4859" s="14" t="s">
        <v>40</v>
      </c>
    </row>
    <row r="4860" spans="1:5" x14ac:dyDescent="0.25">
      <c r="A4860" s="36">
        <v>4858</v>
      </c>
      <c r="B4860" s="37">
        <v>1929623552</v>
      </c>
      <c r="C4860" s="38">
        <v>0.89855098766207275</v>
      </c>
      <c r="D4860" s="14" t="s">
        <v>4901</v>
      </c>
      <c r="E4860" s="14" t="s">
        <v>43</v>
      </c>
    </row>
    <row r="4861" spans="1:5" x14ac:dyDescent="0.25">
      <c r="A4861" s="36">
        <v>4859</v>
      </c>
      <c r="B4861" s="37">
        <v>117841356</v>
      </c>
      <c r="C4861" s="38">
        <v>5.4874157558602352E-2</v>
      </c>
      <c r="D4861" s="14" t="s">
        <v>4902</v>
      </c>
      <c r="E4861" s="14" t="s">
        <v>46</v>
      </c>
    </row>
    <row r="4862" spans="1:5" x14ac:dyDescent="0.25">
      <c r="A4862" s="36">
        <v>4860</v>
      </c>
      <c r="B4862" s="37">
        <v>1888166790</v>
      </c>
      <c r="C4862" s="38">
        <v>0.87924617849255271</v>
      </c>
      <c r="D4862" s="14" t="s">
        <v>4903</v>
      </c>
      <c r="E4862" s="14" t="s">
        <v>48</v>
      </c>
    </row>
    <row r="4863" spans="1:5" x14ac:dyDescent="0.25">
      <c r="A4863" s="36">
        <v>4861</v>
      </c>
      <c r="B4863" s="37">
        <v>1540586004</v>
      </c>
      <c r="C4863" s="38">
        <v>0.71739126216498728</v>
      </c>
      <c r="D4863" s="14" t="s">
        <v>4904</v>
      </c>
      <c r="E4863" s="14" t="s">
        <v>37</v>
      </c>
    </row>
    <row r="4864" spans="1:5" x14ac:dyDescent="0.25">
      <c r="A4864" s="36">
        <v>4862</v>
      </c>
      <c r="B4864" s="37">
        <v>349591271</v>
      </c>
      <c r="C4864" s="38">
        <v>0.16279112136121426</v>
      </c>
      <c r="D4864" s="14" t="s">
        <v>4905</v>
      </c>
      <c r="E4864" s="14" t="s">
        <v>40</v>
      </c>
    </row>
    <row r="4865" spans="1:5" x14ac:dyDescent="0.25">
      <c r="A4865" s="36">
        <v>4863</v>
      </c>
      <c r="B4865" s="37">
        <v>780437908</v>
      </c>
      <c r="C4865" s="38">
        <v>0.3634197210722695</v>
      </c>
      <c r="D4865" s="14" t="s">
        <v>4906</v>
      </c>
      <c r="E4865" s="14" t="s">
        <v>43</v>
      </c>
    </row>
    <row r="4866" spans="1:5" x14ac:dyDescent="0.25">
      <c r="A4866" s="36">
        <v>4864</v>
      </c>
      <c r="B4866" s="37">
        <v>1467491036</v>
      </c>
      <c r="C4866" s="38">
        <v>0.68335376525453928</v>
      </c>
      <c r="D4866" s="14" t="s">
        <v>4907</v>
      </c>
      <c r="E4866" s="14" t="s">
        <v>46</v>
      </c>
    </row>
    <row r="4867" spans="1:5" x14ac:dyDescent="0.25">
      <c r="A4867" s="36">
        <v>4865</v>
      </c>
      <c r="B4867" s="37">
        <v>1928969150</v>
      </c>
      <c r="C4867" s="38">
        <v>0.89824625798419411</v>
      </c>
      <c r="D4867" s="14" t="s">
        <v>4908</v>
      </c>
      <c r="E4867" s="14" t="s">
        <v>48</v>
      </c>
    </row>
    <row r="4868" spans="1:5" x14ac:dyDescent="0.25">
      <c r="A4868" s="36">
        <v>4866</v>
      </c>
      <c r="B4868" s="37">
        <v>1771044982</v>
      </c>
      <c r="C4868" s="38">
        <v>0.82470708658206604</v>
      </c>
      <c r="D4868" s="14" t="s">
        <v>4909</v>
      </c>
      <c r="E4868" s="14" t="s">
        <v>37</v>
      </c>
    </row>
    <row r="4869" spans="1:5" x14ac:dyDescent="0.25">
      <c r="A4869" s="36">
        <v>4867</v>
      </c>
      <c r="B4869" s="37">
        <v>76083111</v>
      </c>
      <c r="C4869" s="38">
        <v>3.542895942713551E-2</v>
      </c>
      <c r="D4869" s="14" t="s">
        <v>4910</v>
      </c>
      <c r="E4869" s="14" t="s">
        <v>40</v>
      </c>
    </row>
    <row r="4870" spans="1:5" x14ac:dyDescent="0.25">
      <c r="A4870" s="36">
        <v>4868</v>
      </c>
      <c r="B4870" s="37">
        <v>1848610614</v>
      </c>
      <c r="C4870" s="38">
        <v>0.86082639864684385</v>
      </c>
      <c r="D4870" s="14" t="s">
        <v>4911</v>
      </c>
      <c r="E4870" s="14" t="s">
        <v>43</v>
      </c>
    </row>
    <row r="4871" spans="1:5" x14ac:dyDescent="0.25">
      <c r="A4871" s="36">
        <v>4869</v>
      </c>
      <c r="B4871" s="37">
        <v>1145346624</v>
      </c>
      <c r="C4871" s="38">
        <v>0.53334358359377065</v>
      </c>
      <c r="D4871" s="14" t="s">
        <v>4912</v>
      </c>
      <c r="E4871" s="14" t="s">
        <v>46</v>
      </c>
    </row>
    <row r="4872" spans="1:5" x14ac:dyDescent="0.25">
      <c r="A4872" s="36">
        <v>4870</v>
      </c>
      <c r="B4872" s="37">
        <v>430822515</v>
      </c>
      <c r="C4872" s="38">
        <v>0.20061736702947755</v>
      </c>
      <c r="D4872" s="14" t="s">
        <v>4913</v>
      </c>
      <c r="E4872" s="14" t="s">
        <v>48</v>
      </c>
    </row>
    <row r="4873" spans="1:5" x14ac:dyDescent="0.25">
      <c r="A4873" s="36">
        <v>4871</v>
      </c>
      <c r="B4873" s="37">
        <v>203990947</v>
      </c>
      <c r="C4873" s="38">
        <v>9.4990687023378303E-2</v>
      </c>
      <c r="D4873" s="14" t="s">
        <v>4914</v>
      </c>
      <c r="E4873" s="14" t="s">
        <v>37</v>
      </c>
    </row>
    <row r="4874" spans="1:5" x14ac:dyDescent="0.25">
      <c r="A4874" s="36">
        <v>4872</v>
      </c>
      <c r="B4874" s="37">
        <v>1815597640</v>
      </c>
      <c r="C4874" s="38">
        <v>0.84545353466898832</v>
      </c>
      <c r="D4874" s="14" t="s">
        <v>4915</v>
      </c>
      <c r="E4874" s="14" t="s">
        <v>40</v>
      </c>
    </row>
    <row r="4875" spans="1:5" x14ac:dyDescent="0.25">
      <c r="A4875" s="36">
        <v>4873</v>
      </c>
      <c r="B4875" s="37">
        <v>36358710</v>
      </c>
      <c r="C4875" s="38">
        <v>1.693084371133281E-2</v>
      </c>
      <c r="D4875" s="14" t="s">
        <v>4916</v>
      </c>
      <c r="E4875" s="14" t="s">
        <v>43</v>
      </c>
    </row>
    <row r="4876" spans="1:5" x14ac:dyDescent="0.25">
      <c r="A4876" s="36">
        <v>4874</v>
      </c>
      <c r="B4876" s="37">
        <v>611527219</v>
      </c>
      <c r="C4876" s="38">
        <v>0.2847645521558656</v>
      </c>
      <c r="D4876" s="14" t="s">
        <v>4917</v>
      </c>
      <c r="E4876" s="14" t="s">
        <v>46</v>
      </c>
    </row>
    <row r="4877" spans="1:5" x14ac:dyDescent="0.25">
      <c r="A4877" s="36">
        <v>4875</v>
      </c>
      <c r="B4877" s="37">
        <v>404399492</v>
      </c>
      <c r="C4877" s="38">
        <v>0.18831318811900596</v>
      </c>
      <c r="D4877" s="14" t="s">
        <v>4918</v>
      </c>
      <c r="E4877" s="14" t="s">
        <v>48</v>
      </c>
    </row>
    <row r="4878" spans="1:5" x14ac:dyDescent="0.25">
      <c r="A4878" s="36">
        <v>4876</v>
      </c>
      <c r="B4878" s="37">
        <v>1034206079</v>
      </c>
      <c r="C4878" s="38">
        <v>0.48158973431288715</v>
      </c>
      <c r="D4878" s="14" t="s">
        <v>4919</v>
      </c>
      <c r="E4878" s="14" t="s">
        <v>37</v>
      </c>
    </row>
    <row r="4879" spans="1:5" x14ac:dyDescent="0.25">
      <c r="A4879" s="36">
        <v>4877</v>
      </c>
      <c r="B4879" s="37">
        <v>1341410852</v>
      </c>
      <c r="C4879" s="38">
        <v>0.62464310444176341</v>
      </c>
      <c r="D4879" s="14" t="s">
        <v>4920</v>
      </c>
      <c r="E4879" s="14" t="s">
        <v>40</v>
      </c>
    </row>
    <row r="4880" spans="1:5" x14ac:dyDescent="0.25">
      <c r="A4880" s="36">
        <v>4878</v>
      </c>
      <c r="B4880" s="37">
        <v>1150099625</v>
      </c>
      <c r="C4880" s="38">
        <v>0.53555687215903625</v>
      </c>
      <c r="D4880" s="14" t="s">
        <v>4921</v>
      </c>
      <c r="E4880" s="14" t="s">
        <v>43</v>
      </c>
    </row>
    <row r="4881" spans="1:5" x14ac:dyDescent="0.25">
      <c r="A4881" s="36">
        <v>4879</v>
      </c>
      <c r="B4881" s="37">
        <v>590056492</v>
      </c>
      <c r="C4881" s="38">
        <v>0.27476646577695685</v>
      </c>
      <c r="D4881" s="14" t="s">
        <v>4922</v>
      </c>
      <c r="E4881" s="14" t="s">
        <v>46</v>
      </c>
    </row>
    <row r="4882" spans="1:5" x14ac:dyDescent="0.25">
      <c r="A4882" s="36">
        <v>4880</v>
      </c>
      <c r="B4882" s="37">
        <v>265393191</v>
      </c>
      <c r="C4882" s="38">
        <v>0.1235833350213167</v>
      </c>
      <c r="D4882" s="14" t="s">
        <v>4923</v>
      </c>
      <c r="E4882" s="14" t="s">
        <v>48</v>
      </c>
    </row>
    <row r="4883" spans="1:5" x14ac:dyDescent="0.25">
      <c r="A4883" s="36">
        <v>4881</v>
      </c>
      <c r="B4883" s="37">
        <v>49096422</v>
      </c>
      <c r="C4883" s="38">
        <v>2.2862303081370099E-2</v>
      </c>
      <c r="D4883" s="14" t="s">
        <v>4924</v>
      </c>
      <c r="E4883" s="14" t="s">
        <v>37</v>
      </c>
    </row>
    <row r="4884" spans="1:5" x14ac:dyDescent="0.25">
      <c r="A4884" s="36">
        <v>4882</v>
      </c>
      <c r="B4884" s="37">
        <v>745547188</v>
      </c>
      <c r="C4884" s="38">
        <v>0.34717246347440989</v>
      </c>
      <c r="D4884" s="14" t="s">
        <v>4925</v>
      </c>
      <c r="E4884" s="14" t="s">
        <v>40</v>
      </c>
    </row>
    <row r="4885" spans="1:5" x14ac:dyDescent="0.25">
      <c r="A4885" s="36">
        <v>4883</v>
      </c>
      <c r="B4885" s="37">
        <v>1539532504</v>
      </c>
      <c r="C4885" s="38">
        <v>0.71690068799858009</v>
      </c>
      <c r="D4885" s="14" t="s">
        <v>4926</v>
      </c>
      <c r="E4885" s="14" t="s">
        <v>43</v>
      </c>
    </row>
    <row r="4886" spans="1:5" x14ac:dyDescent="0.25">
      <c r="A4886" s="36">
        <v>4884</v>
      </c>
      <c r="B4886" s="37">
        <v>1266643370</v>
      </c>
      <c r="C4886" s="38">
        <v>0.5898267825086726</v>
      </c>
      <c r="D4886" s="14" t="s">
        <v>4927</v>
      </c>
      <c r="E4886" s="14" t="s">
        <v>46</v>
      </c>
    </row>
    <row r="4887" spans="1:5" x14ac:dyDescent="0.25">
      <c r="A4887" s="36">
        <v>4885</v>
      </c>
      <c r="B4887" s="37">
        <v>1926918166</v>
      </c>
      <c r="C4887" s="38">
        <v>0.89729119413406178</v>
      </c>
      <c r="D4887" s="14" t="s">
        <v>4928</v>
      </c>
      <c r="E4887" s="14" t="s">
        <v>48</v>
      </c>
    </row>
    <row r="4888" spans="1:5" x14ac:dyDescent="0.25">
      <c r="A4888" s="36">
        <v>4886</v>
      </c>
      <c r="B4888" s="37">
        <v>208417465</v>
      </c>
      <c r="C4888" s="38">
        <v>9.7051945094509026E-2</v>
      </c>
      <c r="D4888" s="14" t="s">
        <v>4929</v>
      </c>
      <c r="E4888" s="14" t="s">
        <v>37</v>
      </c>
    </row>
    <row r="4889" spans="1:5" x14ac:dyDescent="0.25">
      <c r="A4889" s="36">
        <v>4887</v>
      </c>
      <c r="B4889" s="37">
        <v>1849078733</v>
      </c>
      <c r="C4889" s="38">
        <v>0.86104438354309853</v>
      </c>
      <c r="D4889" s="14" t="s">
        <v>4930</v>
      </c>
      <c r="E4889" s="14" t="s">
        <v>40</v>
      </c>
    </row>
    <row r="4890" spans="1:5" x14ac:dyDescent="0.25">
      <c r="A4890" s="36">
        <v>4888</v>
      </c>
      <c r="B4890" s="37">
        <v>804561238</v>
      </c>
      <c r="C4890" s="38">
        <v>0.37465302197944977</v>
      </c>
      <c r="D4890" s="14" t="s">
        <v>4931</v>
      </c>
      <c r="E4890" s="14" t="s">
        <v>43</v>
      </c>
    </row>
    <row r="4891" spans="1:5" x14ac:dyDescent="0.25">
      <c r="A4891" s="36">
        <v>4889</v>
      </c>
      <c r="B4891" s="37">
        <v>1704127680</v>
      </c>
      <c r="C4891" s="38">
        <v>0.79354628957507489</v>
      </c>
      <c r="D4891" s="14" t="s">
        <v>4932</v>
      </c>
      <c r="E4891" s="14" t="s">
        <v>46</v>
      </c>
    </row>
    <row r="4892" spans="1:5" x14ac:dyDescent="0.25">
      <c r="A4892" s="36">
        <v>4890</v>
      </c>
      <c r="B4892" s="37">
        <v>235774157</v>
      </c>
      <c r="C4892" s="38">
        <v>0.10979089751364239</v>
      </c>
      <c r="D4892" s="14" t="s">
        <v>4933</v>
      </c>
      <c r="E4892" s="14" t="s">
        <v>48</v>
      </c>
    </row>
    <row r="4893" spans="1:5" x14ac:dyDescent="0.25">
      <c r="A4893" s="36">
        <v>4891</v>
      </c>
      <c r="B4893" s="37">
        <v>356095398</v>
      </c>
      <c r="C4893" s="38">
        <v>0.16581984151425763</v>
      </c>
      <c r="D4893" s="14" t="s">
        <v>4934</v>
      </c>
      <c r="E4893" s="14" t="s">
        <v>37</v>
      </c>
    </row>
    <row r="4894" spans="1:5" x14ac:dyDescent="0.25">
      <c r="A4894" s="36">
        <v>4892</v>
      </c>
      <c r="B4894" s="37">
        <v>1597368056</v>
      </c>
      <c r="C4894" s="38">
        <v>0.74383246560759486</v>
      </c>
      <c r="D4894" s="14" t="s">
        <v>4935</v>
      </c>
      <c r="E4894" s="14" t="s">
        <v>40</v>
      </c>
    </row>
    <row r="4895" spans="1:5" x14ac:dyDescent="0.25">
      <c r="A4895" s="36">
        <v>4893</v>
      </c>
      <c r="B4895" s="37">
        <v>444424807</v>
      </c>
      <c r="C4895" s="38">
        <v>0.20695142783548284</v>
      </c>
      <c r="D4895" s="14" t="s">
        <v>4936</v>
      </c>
      <c r="E4895" s="14" t="s">
        <v>43</v>
      </c>
    </row>
    <row r="4896" spans="1:5" x14ac:dyDescent="0.25">
      <c r="A4896" s="36">
        <v>4894</v>
      </c>
      <c r="B4896" s="37">
        <v>638991926</v>
      </c>
      <c r="C4896" s="38">
        <v>0.29755380297897094</v>
      </c>
      <c r="D4896" s="14" t="s">
        <v>4937</v>
      </c>
      <c r="E4896" s="14" t="s">
        <v>46</v>
      </c>
    </row>
    <row r="4897" spans="1:5" x14ac:dyDescent="0.25">
      <c r="A4897" s="36">
        <v>4895</v>
      </c>
      <c r="B4897" s="37">
        <v>463941331</v>
      </c>
      <c r="C4897" s="38">
        <v>0.21603951752932721</v>
      </c>
      <c r="D4897" s="14" t="s">
        <v>4938</v>
      </c>
      <c r="E4897" s="14" t="s">
        <v>48</v>
      </c>
    </row>
    <row r="4898" spans="1:5" x14ac:dyDescent="0.25">
      <c r="A4898" s="36">
        <v>4896</v>
      </c>
      <c r="B4898" s="37">
        <v>1395974857</v>
      </c>
      <c r="C4898" s="38">
        <v>0.65005144926256098</v>
      </c>
      <c r="D4898" s="14" t="s">
        <v>4939</v>
      </c>
      <c r="E4898" s="14" t="s">
        <v>37</v>
      </c>
    </row>
    <row r="4899" spans="1:5" x14ac:dyDescent="0.25">
      <c r="A4899" s="36">
        <v>4897</v>
      </c>
      <c r="B4899" s="37">
        <v>774639679</v>
      </c>
      <c r="C4899" s="38">
        <v>0.3607197102907671</v>
      </c>
      <c r="D4899" s="14" t="s">
        <v>4940</v>
      </c>
      <c r="E4899" s="14" t="s">
        <v>40</v>
      </c>
    </row>
    <row r="4900" spans="1:5" x14ac:dyDescent="0.25">
      <c r="A4900" s="36">
        <v>4898</v>
      </c>
      <c r="B4900" s="37">
        <v>961874429</v>
      </c>
      <c r="C4900" s="38">
        <v>0.44790768504510992</v>
      </c>
      <c r="D4900" s="14" t="s">
        <v>4941</v>
      </c>
      <c r="E4900" s="14" t="s">
        <v>43</v>
      </c>
    </row>
    <row r="4901" spans="1:5" x14ac:dyDescent="0.25">
      <c r="A4901" s="36">
        <v>4899</v>
      </c>
      <c r="B4901" s="37">
        <v>24880010</v>
      </c>
      <c r="C4901" s="38">
        <v>1.1585657490224418E-2</v>
      </c>
      <c r="D4901" s="14" t="s">
        <v>4942</v>
      </c>
      <c r="E4901" s="14" t="s">
        <v>46</v>
      </c>
    </row>
    <row r="4902" spans="1:5" x14ac:dyDescent="0.25">
      <c r="A4902" s="36">
        <v>4900</v>
      </c>
      <c r="B4902" s="37">
        <v>190417078</v>
      </c>
      <c r="C4902" s="38">
        <v>8.866986170814832E-2</v>
      </c>
      <c r="D4902" s="14" t="s">
        <v>4943</v>
      </c>
      <c r="E4902" s="14" t="s">
        <v>48</v>
      </c>
    </row>
    <row r="4903" spans="1:5" x14ac:dyDescent="0.25">
      <c r="A4903" s="36">
        <v>4901</v>
      </c>
      <c r="B4903" s="37">
        <v>1446750502</v>
      </c>
      <c r="C4903" s="38">
        <v>0.67369570148815205</v>
      </c>
      <c r="D4903" s="14" t="s">
        <v>4944</v>
      </c>
      <c r="E4903" s="14" t="s">
        <v>37</v>
      </c>
    </row>
    <row r="4904" spans="1:5" x14ac:dyDescent="0.25">
      <c r="A4904" s="36">
        <v>4902</v>
      </c>
      <c r="B4904" s="37">
        <v>1738721972</v>
      </c>
      <c r="C4904" s="38">
        <v>0.80965551212879616</v>
      </c>
      <c r="D4904" s="14" t="s">
        <v>4945</v>
      </c>
      <c r="E4904" s="14" t="s">
        <v>40</v>
      </c>
    </row>
    <row r="4905" spans="1:5" x14ac:dyDescent="0.25">
      <c r="A4905" s="36">
        <v>4903</v>
      </c>
      <c r="B4905" s="37">
        <v>673154799</v>
      </c>
      <c r="C4905" s="38">
        <v>0.31346213040568965</v>
      </c>
      <c r="D4905" s="14" t="s">
        <v>4946</v>
      </c>
      <c r="E4905" s="14" t="s">
        <v>43</v>
      </c>
    </row>
    <row r="4906" spans="1:5" x14ac:dyDescent="0.25">
      <c r="A4906" s="36">
        <v>4904</v>
      </c>
      <c r="B4906" s="37">
        <v>53149096</v>
      </c>
      <c r="C4906" s="38">
        <v>2.474947647412749E-2</v>
      </c>
      <c r="D4906" s="14" t="s">
        <v>4947</v>
      </c>
      <c r="E4906" s="14" t="s">
        <v>46</v>
      </c>
    </row>
    <row r="4907" spans="1:5" x14ac:dyDescent="0.25">
      <c r="A4907" s="36">
        <v>4905</v>
      </c>
      <c r="B4907" s="37">
        <v>1276601811</v>
      </c>
      <c r="C4907" s="38">
        <v>0.59446404296647015</v>
      </c>
      <c r="D4907" s="14" t="s">
        <v>4948</v>
      </c>
      <c r="E4907" s="14" t="s">
        <v>48</v>
      </c>
    </row>
    <row r="4908" spans="1:5" x14ac:dyDescent="0.25">
      <c r="A4908" s="36">
        <v>4906</v>
      </c>
      <c r="B4908" s="37">
        <v>1574652498</v>
      </c>
      <c r="C4908" s="38">
        <v>0.73325470962247563</v>
      </c>
      <c r="D4908" s="14" t="s">
        <v>4949</v>
      </c>
      <c r="E4908" s="14" t="s">
        <v>37</v>
      </c>
    </row>
    <row r="4909" spans="1:5" x14ac:dyDescent="0.25">
      <c r="A4909" s="36">
        <v>4907</v>
      </c>
      <c r="B4909" s="37">
        <v>574817586</v>
      </c>
      <c r="C4909" s="38">
        <v>0.2676702971885308</v>
      </c>
      <c r="D4909" s="14" t="s">
        <v>4950</v>
      </c>
      <c r="E4909" s="14" t="s">
        <v>40</v>
      </c>
    </row>
    <row r="4910" spans="1:5" x14ac:dyDescent="0.25">
      <c r="A4910" s="36">
        <v>4908</v>
      </c>
      <c r="B4910" s="37">
        <v>802221905</v>
      </c>
      <c r="C4910" s="38">
        <v>0.37356368516272104</v>
      </c>
      <c r="D4910" s="14" t="s">
        <v>4951</v>
      </c>
      <c r="E4910" s="14" t="s">
        <v>43</v>
      </c>
    </row>
    <row r="4911" spans="1:5" x14ac:dyDescent="0.25">
      <c r="A4911" s="36">
        <v>4909</v>
      </c>
      <c r="B4911" s="37">
        <v>1213717866</v>
      </c>
      <c r="C4911" s="38">
        <v>0.56518142417314532</v>
      </c>
      <c r="D4911" s="14" t="s">
        <v>4952</v>
      </c>
      <c r="E4911" s="14" t="s">
        <v>46</v>
      </c>
    </row>
    <row r="4912" spans="1:5" x14ac:dyDescent="0.25">
      <c r="A4912" s="36">
        <v>4910</v>
      </c>
      <c r="B4912" s="37">
        <v>176539800</v>
      </c>
      <c r="C4912" s="38">
        <v>8.2207750567331789E-2</v>
      </c>
      <c r="D4912" s="14" t="s">
        <v>4953</v>
      </c>
      <c r="E4912" s="14" t="s">
        <v>48</v>
      </c>
    </row>
    <row r="4913" spans="1:5" x14ac:dyDescent="0.25">
      <c r="A4913" s="36">
        <v>4911</v>
      </c>
      <c r="B4913" s="37">
        <v>704694684</v>
      </c>
      <c r="C4913" s="38">
        <v>0.32814903386316685</v>
      </c>
      <c r="D4913" s="14" t="s">
        <v>4954</v>
      </c>
      <c r="E4913" s="14" t="s">
        <v>37</v>
      </c>
    </row>
    <row r="4914" spans="1:5" x14ac:dyDescent="0.25">
      <c r="A4914" s="36">
        <v>4912</v>
      </c>
      <c r="B4914" s="37">
        <v>1594994159</v>
      </c>
      <c r="C4914" s="38">
        <v>0.74272703367412418</v>
      </c>
      <c r="D4914" s="14" t="s">
        <v>4955</v>
      </c>
      <c r="E4914" s="14" t="s">
        <v>40</v>
      </c>
    </row>
    <row r="4915" spans="1:5" x14ac:dyDescent="0.25">
      <c r="A4915" s="36">
        <v>4913</v>
      </c>
      <c r="B4915" s="37">
        <v>403431362</v>
      </c>
      <c r="C4915" s="38">
        <v>0.18786236745671481</v>
      </c>
      <c r="D4915" s="14" t="s">
        <v>4956</v>
      </c>
      <c r="E4915" s="14" t="s">
        <v>43</v>
      </c>
    </row>
    <row r="4916" spans="1:5" x14ac:dyDescent="0.25">
      <c r="A4916" s="36">
        <v>4914</v>
      </c>
      <c r="B4916" s="37">
        <v>170353079</v>
      </c>
      <c r="C4916" s="38">
        <v>7.9326834100916441E-2</v>
      </c>
      <c r="D4916" s="14" t="s">
        <v>4957</v>
      </c>
      <c r="E4916" s="14" t="s">
        <v>46</v>
      </c>
    </row>
    <row r="4917" spans="1:5" x14ac:dyDescent="0.25">
      <c r="A4917" s="36">
        <v>4915</v>
      </c>
      <c r="B4917" s="37">
        <v>2084493171</v>
      </c>
      <c r="C4917" s="38">
        <v>0.97066777384405389</v>
      </c>
      <c r="D4917" s="14" t="s">
        <v>4958</v>
      </c>
      <c r="E4917" s="14" t="s">
        <v>48</v>
      </c>
    </row>
    <row r="4918" spans="1:5" x14ac:dyDescent="0.25">
      <c r="A4918" s="36">
        <v>4916</v>
      </c>
      <c r="B4918" s="37">
        <v>533421451</v>
      </c>
      <c r="C4918" s="38">
        <v>0.2483937196658895</v>
      </c>
      <c r="D4918" s="14" t="s">
        <v>4959</v>
      </c>
      <c r="E4918" s="14" t="s">
        <v>37</v>
      </c>
    </row>
    <row r="4919" spans="1:5" x14ac:dyDescent="0.25">
      <c r="A4919" s="36">
        <v>4917</v>
      </c>
      <c r="B4919" s="37">
        <v>60908672</v>
      </c>
      <c r="C4919" s="38">
        <v>2.8362810624932316E-2</v>
      </c>
      <c r="D4919" s="14" t="s">
        <v>4960</v>
      </c>
      <c r="E4919" s="14" t="s">
        <v>40</v>
      </c>
    </row>
    <row r="4920" spans="1:5" x14ac:dyDescent="0.25">
      <c r="A4920" s="36">
        <v>4918</v>
      </c>
      <c r="B4920" s="37">
        <v>170706506</v>
      </c>
      <c r="C4920" s="38">
        <v>7.9491411372782386E-2</v>
      </c>
      <c r="D4920" s="14" t="s">
        <v>4961</v>
      </c>
      <c r="E4920" s="14" t="s">
        <v>43</v>
      </c>
    </row>
    <row r="4921" spans="1:5" x14ac:dyDescent="0.25">
      <c r="A4921" s="36">
        <v>4919</v>
      </c>
      <c r="B4921" s="37">
        <v>1962051068</v>
      </c>
      <c r="C4921" s="38">
        <v>0.91365122651385666</v>
      </c>
      <c r="D4921" s="14" t="s">
        <v>4962</v>
      </c>
      <c r="E4921" s="14" t="s">
        <v>46</v>
      </c>
    </row>
    <row r="4922" spans="1:5" x14ac:dyDescent="0.25">
      <c r="A4922" s="36">
        <v>4920</v>
      </c>
      <c r="B4922" s="37">
        <v>1674927558</v>
      </c>
      <c r="C4922" s="38">
        <v>0.77994892316868014</v>
      </c>
      <c r="D4922" s="14" t="s">
        <v>4963</v>
      </c>
      <c r="E4922" s="14" t="s">
        <v>48</v>
      </c>
    </row>
    <row r="4923" spans="1:5" x14ac:dyDescent="0.25">
      <c r="A4923" s="36">
        <v>4921</v>
      </c>
      <c r="B4923" s="37">
        <v>2047568305</v>
      </c>
      <c r="C4923" s="38">
        <v>0.9534732932008213</v>
      </c>
      <c r="D4923" s="14" t="s">
        <v>4964</v>
      </c>
      <c r="E4923" s="14" t="s">
        <v>37</v>
      </c>
    </row>
    <row r="4924" spans="1:5" x14ac:dyDescent="0.25">
      <c r="A4924" s="36">
        <v>4922</v>
      </c>
      <c r="B4924" s="37">
        <v>1300303588</v>
      </c>
      <c r="C4924" s="38">
        <v>0.60550104296091056</v>
      </c>
      <c r="D4924" s="14" t="s">
        <v>4965</v>
      </c>
      <c r="E4924" s="14" t="s">
        <v>40</v>
      </c>
    </row>
    <row r="4925" spans="1:5" x14ac:dyDescent="0.25">
      <c r="A4925" s="36">
        <v>4923</v>
      </c>
      <c r="B4925" s="37">
        <v>205450739</v>
      </c>
      <c r="C4925" s="38">
        <v>9.5670455645616381E-2</v>
      </c>
      <c r="D4925" s="14" t="s">
        <v>4966</v>
      </c>
      <c r="E4925" s="14" t="s">
        <v>43</v>
      </c>
    </row>
    <row r="4926" spans="1:5" x14ac:dyDescent="0.25">
      <c r="A4926" s="36">
        <v>4924</v>
      </c>
      <c r="B4926" s="37">
        <v>724388036</v>
      </c>
      <c r="C4926" s="38">
        <v>0.3373194655111616</v>
      </c>
      <c r="D4926" s="14" t="s">
        <v>4967</v>
      </c>
      <c r="E4926" s="14" t="s">
        <v>46</v>
      </c>
    </row>
    <row r="4927" spans="1:5" x14ac:dyDescent="0.25">
      <c r="A4927" s="36">
        <v>4925</v>
      </c>
      <c r="B4927" s="37">
        <v>333860504</v>
      </c>
      <c r="C4927" s="38">
        <v>0.15546591214624508</v>
      </c>
      <c r="D4927" s="14" t="s">
        <v>4968</v>
      </c>
      <c r="E4927" s="14" t="s">
        <v>48</v>
      </c>
    </row>
    <row r="4928" spans="1:5" x14ac:dyDescent="0.25">
      <c r="A4928" s="36">
        <v>4926</v>
      </c>
      <c r="B4928" s="37">
        <v>793605104</v>
      </c>
      <c r="C4928" s="38">
        <v>0.36955117451471797</v>
      </c>
      <c r="D4928" s="14" t="s">
        <v>4969</v>
      </c>
      <c r="E4928" s="14" t="s">
        <v>37</v>
      </c>
    </row>
    <row r="4929" spans="1:5" x14ac:dyDescent="0.25">
      <c r="A4929" s="36">
        <v>4927</v>
      </c>
      <c r="B4929" s="37">
        <v>1376311654</v>
      </c>
      <c r="C4929" s="38">
        <v>0.64089505683672388</v>
      </c>
      <c r="D4929" s="14" t="s">
        <v>4970</v>
      </c>
      <c r="E4929" s="14" t="s">
        <v>40</v>
      </c>
    </row>
    <row r="4930" spans="1:5" x14ac:dyDescent="0.25">
      <c r="A4930" s="36">
        <v>4928</v>
      </c>
      <c r="B4930" s="37">
        <v>679930031</v>
      </c>
      <c r="C4930" s="38">
        <v>0.3166170936620874</v>
      </c>
      <c r="D4930" s="14" t="s">
        <v>4971</v>
      </c>
      <c r="E4930" s="14" t="s">
        <v>43</v>
      </c>
    </row>
    <row r="4931" spans="1:5" x14ac:dyDescent="0.25">
      <c r="A4931" s="36">
        <v>4929</v>
      </c>
      <c r="B4931" s="37">
        <v>1159563499</v>
      </c>
      <c r="C4931" s="38">
        <v>0.53996383191084663</v>
      </c>
      <c r="D4931" s="14" t="s">
        <v>4972</v>
      </c>
      <c r="E4931" s="14" t="s">
        <v>46</v>
      </c>
    </row>
    <row r="4932" spans="1:5" x14ac:dyDescent="0.25">
      <c r="A4932" s="36">
        <v>4930</v>
      </c>
      <c r="B4932" s="37">
        <v>1652375597</v>
      </c>
      <c r="C4932" s="38">
        <v>0.76944734797321601</v>
      </c>
      <c r="D4932" s="14" t="s">
        <v>4973</v>
      </c>
      <c r="E4932" s="14" t="s">
        <v>48</v>
      </c>
    </row>
    <row r="4933" spans="1:5" x14ac:dyDescent="0.25">
      <c r="A4933" s="36">
        <v>4931</v>
      </c>
      <c r="B4933" s="37">
        <v>1758834340</v>
      </c>
      <c r="C4933" s="38">
        <v>0.81902106330684432</v>
      </c>
      <c r="D4933" s="14" t="s">
        <v>4974</v>
      </c>
      <c r="E4933" s="14" t="s">
        <v>37</v>
      </c>
    </row>
    <row r="4934" spans="1:5" x14ac:dyDescent="0.25">
      <c r="A4934" s="36">
        <v>4932</v>
      </c>
      <c r="B4934" s="37">
        <v>1089926916</v>
      </c>
      <c r="C4934" s="38">
        <v>0.50753677101225447</v>
      </c>
      <c r="D4934" s="14" t="s">
        <v>4975</v>
      </c>
      <c r="E4934" s="14" t="s">
        <v>40</v>
      </c>
    </row>
    <row r="4935" spans="1:5" x14ac:dyDescent="0.25">
      <c r="A4935" s="36">
        <v>4933</v>
      </c>
      <c r="B4935" s="37">
        <v>248904347</v>
      </c>
      <c r="C4935" s="38">
        <v>0.11590511869448475</v>
      </c>
      <c r="D4935" s="14" t="s">
        <v>4976</v>
      </c>
      <c r="E4935" s="14" t="s">
        <v>43</v>
      </c>
    </row>
    <row r="4936" spans="1:5" x14ac:dyDescent="0.25">
      <c r="A4936" s="36">
        <v>4934</v>
      </c>
      <c r="B4936" s="37">
        <v>944529629</v>
      </c>
      <c r="C4936" s="38">
        <v>0.43983088314525359</v>
      </c>
      <c r="D4936" s="14" t="s">
        <v>4977</v>
      </c>
      <c r="E4936" s="14" t="s">
        <v>46</v>
      </c>
    </row>
    <row r="4937" spans="1:5" x14ac:dyDescent="0.25">
      <c r="A4937" s="36">
        <v>4935</v>
      </c>
      <c r="B4937" s="37">
        <v>2089293925</v>
      </c>
      <c r="C4937" s="38">
        <v>0.97290329913278262</v>
      </c>
      <c r="D4937" s="14" t="s">
        <v>4978</v>
      </c>
      <c r="E4937" s="14" t="s">
        <v>48</v>
      </c>
    </row>
    <row r="4938" spans="1:5" x14ac:dyDescent="0.25">
      <c r="A4938" s="36">
        <v>4936</v>
      </c>
      <c r="B4938" s="37">
        <v>721822814</v>
      </c>
      <c r="C4938" s="38">
        <v>0.33612494093185519</v>
      </c>
      <c r="D4938" s="14" t="s">
        <v>4979</v>
      </c>
      <c r="E4938" s="14" t="s">
        <v>37</v>
      </c>
    </row>
    <row r="4939" spans="1:5" x14ac:dyDescent="0.25">
      <c r="A4939" s="36">
        <v>4937</v>
      </c>
      <c r="B4939" s="37">
        <v>1802684837</v>
      </c>
      <c r="C4939" s="38">
        <v>0.8394405421984571</v>
      </c>
      <c r="D4939" s="14" t="s">
        <v>4980</v>
      </c>
      <c r="E4939" s="14" t="s">
        <v>40</v>
      </c>
    </row>
    <row r="4940" spans="1:5" x14ac:dyDescent="0.25">
      <c r="A4940" s="36">
        <v>4938</v>
      </c>
      <c r="B4940" s="37">
        <v>516767958</v>
      </c>
      <c r="C4940" s="38">
        <v>0.24063883267372793</v>
      </c>
      <c r="D4940" s="14" t="s">
        <v>4981</v>
      </c>
      <c r="E4940" s="14" t="s">
        <v>43</v>
      </c>
    </row>
    <row r="4941" spans="1:5" x14ac:dyDescent="0.25">
      <c r="A4941" s="36">
        <v>4939</v>
      </c>
      <c r="B4941" s="37">
        <v>1771871970</v>
      </c>
      <c r="C4941" s="38">
        <v>0.82509218287891339</v>
      </c>
      <c r="D4941" s="14" t="s">
        <v>4982</v>
      </c>
      <c r="E4941" s="14" t="s">
        <v>46</v>
      </c>
    </row>
    <row r="4942" spans="1:5" x14ac:dyDescent="0.25">
      <c r="A4942" s="36">
        <v>4940</v>
      </c>
      <c r="B4942" s="37">
        <v>81266084</v>
      </c>
      <c r="C4942" s="38">
        <v>3.7842469307520644E-2</v>
      </c>
      <c r="D4942" s="14" t="s">
        <v>4983</v>
      </c>
      <c r="E4942" s="14" t="s">
        <v>48</v>
      </c>
    </row>
    <row r="4943" spans="1:5" x14ac:dyDescent="0.25">
      <c r="A4943" s="36">
        <v>4941</v>
      </c>
      <c r="B4943" s="37">
        <v>447449793</v>
      </c>
      <c r="C4943" s="38">
        <v>0.20836004671098668</v>
      </c>
      <c r="D4943" s="14" t="s">
        <v>4984</v>
      </c>
      <c r="E4943" s="14" t="s">
        <v>37</v>
      </c>
    </row>
    <row r="4944" spans="1:5" x14ac:dyDescent="0.25">
      <c r="A4944" s="36">
        <v>4942</v>
      </c>
      <c r="B4944" s="37">
        <v>2102145008</v>
      </c>
      <c r="C4944" s="38">
        <v>0.97888755098864788</v>
      </c>
      <c r="D4944" s="14" t="s">
        <v>4985</v>
      </c>
      <c r="E4944" s="14" t="s">
        <v>40</v>
      </c>
    </row>
    <row r="4945" spans="1:5" x14ac:dyDescent="0.25">
      <c r="A4945" s="36">
        <v>4943</v>
      </c>
      <c r="B4945" s="37">
        <v>586145622</v>
      </c>
      <c r="C4945" s="38">
        <v>0.27294532501741559</v>
      </c>
      <c r="D4945" s="14" t="s">
        <v>4986</v>
      </c>
      <c r="E4945" s="14" t="s">
        <v>43</v>
      </c>
    </row>
    <row r="4946" spans="1:5" x14ac:dyDescent="0.25">
      <c r="A4946" s="36">
        <v>4944</v>
      </c>
      <c r="B4946" s="37">
        <v>1694924145</v>
      </c>
      <c r="C4946" s="38">
        <v>0.78926055961719743</v>
      </c>
      <c r="D4946" s="14" t="s">
        <v>4987</v>
      </c>
      <c r="E4946" s="14" t="s">
        <v>46</v>
      </c>
    </row>
    <row r="4947" spans="1:5" x14ac:dyDescent="0.25">
      <c r="A4947" s="36">
        <v>4945</v>
      </c>
      <c r="B4947" s="37">
        <v>870015980</v>
      </c>
      <c r="C4947" s="38">
        <v>0.40513276141375898</v>
      </c>
      <c r="D4947" s="14" t="s">
        <v>4988</v>
      </c>
      <c r="E4947" s="14" t="s">
        <v>48</v>
      </c>
    </row>
    <row r="4948" spans="1:5" x14ac:dyDescent="0.25">
      <c r="A4948" s="36">
        <v>4946</v>
      </c>
      <c r="B4948" s="37">
        <v>175724685</v>
      </c>
      <c r="C4948" s="38">
        <v>8.1828183066951193E-2</v>
      </c>
      <c r="D4948" s="14" t="s">
        <v>4989</v>
      </c>
      <c r="E4948" s="14" t="s">
        <v>37</v>
      </c>
    </row>
    <row r="4949" spans="1:5" x14ac:dyDescent="0.25">
      <c r="A4949" s="36">
        <v>4947</v>
      </c>
      <c r="B4949" s="37">
        <v>1135064213</v>
      </c>
      <c r="C4949" s="38">
        <v>0.52855546284865373</v>
      </c>
      <c r="D4949" s="14" t="s">
        <v>4990</v>
      </c>
      <c r="E4949" s="14" t="s">
        <v>40</v>
      </c>
    </row>
    <row r="4950" spans="1:5" x14ac:dyDescent="0.25">
      <c r="A4950" s="36">
        <v>4948</v>
      </c>
      <c r="B4950" s="37">
        <v>545319330</v>
      </c>
      <c r="C4950" s="38">
        <v>0.25393410131984118</v>
      </c>
      <c r="D4950" s="14" t="s">
        <v>4991</v>
      </c>
      <c r="E4950" s="14" t="s">
        <v>43</v>
      </c>
    </row>
    <row r="4951" spans="1:5" x14ac:dyDescent="0.25">
      <c r="A4951" s="36">
        <v>4949</v>
      </c>
      <c r="B4951" s="37">
        <v>283758513</v>
      </c>
      <c r="C4951" s="38">
        <v>0.13213535450964017</v>
      </c>
      <c r="D4951" s="14" t="s">
        <v>4992</v>
      </c>
      <c r="E4951" s="14" t="s">
        <v>46</v>
      </c>
    </row>
    <row r="4952" spans="1:5" x14ac:dyDescent="0.25">
      <c r="A4952" s="36">
        <v>4950</v>
      </c>
      <c r="B4952" s="37">
        <v>156983427</v>
      </c>
      <c r="C4952" s="38">
        <v>7.3101104736840866E-2</v>
      </c>
      <c r="D4952" s="14" t="s">
        <v>4993</v>
      </c>
      <c r="E4952" s="14" t="s">
        <v>48</v>
      </c>
    </row>
    <row r="4953" spans="1:5" x14ac:dyDescent="0.25">
      <c r="A4953" s="36">
        <v>4951</v>
      </c>
      <c r="B4953" s="37">
        <v>190048085</v>
      </c>
      <c r="C4953" s="38">
        <v>8.8498035952680756E-2</v>
      </c>
      <c r="D4953" s="14" t="s">
        <v>4994</v>
      </c>
      <c r="E4953" s="14" t="s">
        <v>37</v>
      </c>
    </row>
    <row r="4954" spans="1:5" x14ac:dyDescent="0.25">
      <c r="A4954" s="36">
        <v>4952</v>
      </c>
      <c r="B4954" s="37">
        <v>1429000219</v>
      </c>
      <c r="C4954" s="38">
        <v>0.66543008185244634</v>
      </c>
      <c r="D4954" s="14" t="s">
        <v>4995</v>
      </c>
      <c r="E4954" s="14" t="s">
        <v>40</v>
      </c>
    </row>
    <row r="4955" spans="1:5" x14ac:dyDescent="0.25">
      <c r="A4955" s="36">
        <v>4953</v>
      </c>
      <c r="B4955" s="37">
        <v>1028926823</v>
      </c>
      <c r="C4955" s="38">
        <v>0.47913138916675529</v>
      </c>
      <c r="D4955" s="14" t="s">
        <v>4996</v>
      </c>
      <c r="E4955" s="14" t="s">
        <v>43</v>
      </c>
    </row>
    <row r="4956" spans="1:5" x14ac:dyDescent="0.25">
      <c r="A4956" s="36">
        <v>4954</v>
      </c>
      <c r="B4956" s="37">
        <v>1390900976</v>
      </c>
      <c r="C4956" s="38">
        <v>0.64768873930335447</v>
      </c>
      <c r="D4956" s="14" t="s">
        <v>4997</v>
      </c>
      <c r="E4956" s="14" t="s">
        <v>46</v>
      </c>
    </row>
    <row r="4957" spans="1:5" x14ac:dyDescent="0.25">
      <c r="A4957" s="36">
        <v>4955</v>
      </c>
      <c r="B4957" s="37">
        <v>1226051805</v>
      </c>
      <c r="C4957" s="38">
        <v>0.57092486208813487</v>
      </c>
      <c r="D4957" s="14" t="s">
        <v>4998</v>
      </c>
      <c r="E4957" s="14" t="s">
        <v>48</v>
      </c>
    </row>
    <row r="4958" spans="1:5" x14ac:dyDescent="0.25">
      <c r="A4958" s="36">
        <v>4956</v>
      </c>
      <c r="B4958" s="37">
        <v>382688455</v>
      </c>
      <c r="C4958" s="38">
        <v>0.17820319867609219</v>
      </c>
      <c r="D4958" s="14" t="s">
        <v>4999</v>
      </c>
      <c r="E4958" s="14" t="s">
        <v>37</v>
      </c>
    </row>
    <row r="4959" spans="1:5" x14ac:dyDescent="0.25">
      <c r="A4959" s="36">
        <v>4957</v>
      </c>
      <c r="B4959" s="37">
        <v>325155370</v>
      </c>
      <c r="C4959" s="38">
        <v>0.15141226823973108</v>
      </c>
      <c r="D4959" s="14" t="s">
        <v>5000</v>
      </c>
      <c r="E4959" s="14" t="s">
        <v>40</v>
      </c>
    </row>
    <row r="4960" spans="1:5" x14ac:dyDescent="0.25">
      <c r="A4960" s="36">
        <v>4958</v>
      </c>
      <c r="B4960" s="37">
        <v>2100083710</v>
      </c>
      <c r="C4960" s="38">
        <v>0.97792768430799604</v>
      </c>
      <c r="D4960" s="14" t="s">
        <v>5001</v>
      </c>
      <c r="E4960" s="14" t="s">
        <v>43</v>
      </c>
    </row>
    <row r="4961" spans="1:5" x14ac:dyDescent="0.25">
      <c r="A4961" s="36">
        <v>4959</v>
      </c>
      <c r="B4961" s="37">
        <v>1182960078</v>
      </c>
      <c r="C4961" s="38">
        <v>0.55085871301165723</v>
      </c>
      <c r="D4961" s="14" t="s">
        <v>5002</v>
      </c>
      <c r="E4961" s="14" t="s">
        <v>46</v>
      </c>
    </row>
    <row r="4962" spans="1:5" x14ac:dyDescent="0.25">
      <c r="A4962" s="36">
        <v>4960</v>
      </c>
      <c r="B4962" s="37">
        <v>1227097227</v>
      </c>
      <c r="C4962" s="38">
        <v>0.5714116746426614</v>
      </c>
      <c r="D4962" s="14" t="s">
        <v>5003</v>
      </c>
      <c r="E4962" s="14" t="s">
        <v>48</v>
      </c>
    </row>
    <row r="4963" spans="1:5" x14ac:dyDescent="0.25">
      <c r="A4963" s="36">
        <v>4961</v>
      </c>
      <c r="B4963" s="37">
        <v>1051988935</v>
      </c>
      <c r="C4963" s="38">
        <v>0.48987052193371139</v>
      </c>
      <c r="D4963" s="14" t="s">
        <v>5004</v>
      </c>
      <c r="E4963" s="14" t="s">
        <v>37</v>
      </c>
    </row>
    <row r="4964" spans="1:5" x14ac:dyDescent="0.25">
      <c r="A4964" s="36">
        <v>4962</v>
      </c>
      <c r="B4964" s="37">
        <v>435204004</v>
      </c>
      <c r="C4964" s="38">
        <v>0.20265765683849232</v>
      </c>
      <c r="D4964" s="14" t="s">
        <v>5005</v>
      </c>
      <c r="E4964" s="14" t="s">
        <v>40</v>
      </c>
    </row>
    <row r="4965" spans="1:5" x14ac:dyDescent="0.25">
      <c r="A4965" s="36">
        <v>4963</v>
      </c>
      <c r="B4965" s="37">
        <v>447503460</v>
      </c>
      <c r="C4965" s="38">
        <v>0.20838503735530425</v>
      </c>
      <c r="D4965" s="14" t="s">
        <v>5006</v>
      </c>
      <c r="E4965" s="14" t="s">
        <v>43</v>
      </c>
    </row>
    <row r="4966" spans="1:5" x14ac:dyDescent="0.25">
      <c r="A4966" s="36">
        <v>4964</v>
      </c>
      <c r="B4966" s="37">
        <v>1237895009</v>
      </c>
      <c r="C4966" s="38">
        <v>0.5764397837111912</v>
      </c>
      <c r="D4966" s="14" t="s">
        <v>5007</v>
      </c>
      <c r="E4966" s="14" t="s">
        <v>46</v>
      </c>
    </row>
    <row r="4967" spans="1:5" x14ac:dyDescent="0.25">
      <c r="A4967" s="36">
        <v>4965</v>
      </c>
      <c r="B4967" s="37">
        <v>1939430742</v>
      </c>
      <c r="C4967" s="38">
        <v>0.90311781638447097</v>
      </c>
      <c r="D4967" s="14" t="s">
        <v>5008</v>
      </c>
      <c r="E4967" s="14" t="s">
        <v>48</v>
      </c>
    </row>
    <row r="4968" spans="1:5" x14ac:dyDescent="0.25">
      <c r="A4968" s="36">
        <v>4966</v>
      </c>
      <c r="B4968" s="37">
        <v>1407575259</v>
      </c>
      <c r="C4968" s="38">
        <v>0.65545330739368368</v>
      </c>
      <c r="D4968" s="14" t="s">
        <v>5009</v>
      </c>
      <c r="E4968" s="14" t="s">
        <v>37</v>
      </c>
    </row>
    <row r="4969" spans="1:5" x14ac:dyDescent="0.25">
      <c r="A4969" s="36">
        <v>4967</v>
      </c>
      <c r="B4969" s="37">
        <v>1908308552</v>
      </c>
      <c r="C4969" s="38">
        <v>0.88862541731848632</v>
      </c>
      <c r="D4969" s="14" t="s">
        <v>5010</v>
      </c>
      <c r="E4969" s="14" t="s">
        <v>40</v>
      </c>
    </row>
    <row r="4970" spans="1:5" x14ac:dyDescent="0.25">
      <c r="A4970" s="36">
        <v>4968</v>
      </c>
      <c r="B4970" s="37">
        <v>1492282090</v>
      </c>
      <c r="C4970" s="38">
        <v>0.69489799937927066</v>
      </c>
      <c r="D4970" s="14" t="s">
        <v>5011</v>
      </c>
      <c r="E4970" s="14" t="s">
        <v>43</v>
      </c>
    </row>
    <row r="4971" spans="1:5" x14ac:dyDescent="0.25">
      <c r="A4971" s="36">
        <v>4969</v>
      </c>
      <c r="B4971" s="37">
        <v>1212367748</v>
      </c>
      <c r="C4971" s="38">
        <v>0.5645527264869552</v>
      </c>
      <c r="D4971" s="14" t="s">
        <v>5012</v>
      </c>
      <c r="E4971" s="14" t="s">
        <v>46</v>
      </c>
    </row>
    <row r="4972" spans="1:5" x14ac:dyDescent="0.25">
      <c r="A4972" s="36">
        <v>4970</v>
      </c>
      <c r="B4972" s="37">
        <v>1286754259</v>
      </c>
      <c r="C4972" s="38">
        <v>0.5991916449736765</v>
      </c>
      <c r="D4972" s="14" t="s">
        <v>5013</v>
      </c>
      <c r="E4972" s="14" t="s">
        <v>48</v>
      </c>
    </row>
    <row r="4973" spans="1:5" x14ac:dyDescent="0.25">
      <c r="A4973" s="36">
        <v>4971</v>
      </c>
      <c r="B4973" s="37">
        <v>2029341455</v>
      </c>
      <c r="C4973" s="38">
        <v>0.94498575476230395</v>
      </c>
      <c r="D4973" s="14" t="s">
        <v>5014</v>
      </c>
      <c r="E4973" s="14" t="s">
        <v>37</v>
      </c>
    </row>
    <row r="4974" spans="1:5" x14ac:dyDescent="0.25">
      <c r="A4974" s="36">
        <v>4972</v>
      </c>
      <c r="B4974" s="37">
        <v>1901772154</v>
      </c>
      <c r="C4974" s="38">
        <v>0.88558166981003328</v>
      </c>
      <c r="D4974" s="14" t="s">
        <v>5015</v>
      </c>
      <c r="E4974" s="14" t="s">
        <v>40</v>
      </c>
    </row>
    <row r="4975" spans="1:5" x14ac:dyDescent="0.25">
      <c r="A4975" s="36">
        <v>4973</v>
      </c>
      <c r="B4975" s="37">
        <v>646556842</v>
      </c>
      <c r="C4975" s="38">
        <v>0.30107649150354626</v>
      </c>
      <c r="D4975" s="14" t="s">
        <v>5016</v>
      </c>
      <c r="E4975" s="14" t="s">
        <v>43</v>
      </c>
    </row>
    <row r="4976" spans="1:5" x14ac:dyDescent="0.25">
      <c r="A4976" s="36">
        <v>4974</v>
      </c>
      <c r="B4976" s="37">
        <v>1759123870</v>
      </c>
      <c r="C4976" s="38">
        <v>0.81915588621942137</v>
      </c>
      <c r="D4976" s="14" t="s">
        <v>5017</v>
      </c>
      <c r="E4976" s="14" t="s">
        <v>46</v>
      </c>
    </row>
    <row r="4977" spans="1:5" x14ac:dyDescent="0.25">
      <c r="A4977" s="36">
        <v>4975</v>
      </c>
      <c r="B4977" s="37">
        <v>1983513238</v>
      </c>
      <c r="C4977" s="38">
        <v>0.92364532822912804</v>
      </c>
      <c r="D4977" s="14" t="s">
        <v>5018</v>
      </c>
      <c r="E4977" s="14" t="s">
        <v>48</v>
      </c>
    </row>
    <row r="4978" spans="1:5" x14ac:dyDescent="0.25">
      <c r="A4978" s="36">
        <v>4976</v>
      </c>
      <c r="B4978" s="37">
        <v>455495316</v>
      </c>
      <c r="C4978" s="38">
        <v>0.21210653530997528</v>
      </c>
      <c r="D4978" s="14" t="s">
        <v>5019</v>
      </c>
      <c r="E4978" s="14" t="s">
        <v>37</v>
      </c>
    </row>
    <row r="4979" spans="1:5" x14ac:dyDescent="0.25">
      <c r="A4979" s="36">
        <v>4977</v>
      </c>
      <c r="B4979" s="37">
        <v>220810244</v>
      </c>
      <c r="C4979" s="38">
        <v>0.1028227825196566</v>
      </c>
      <c r="D4979" s="14" t="s">
        <v>5020</v>
      </c>
      <c r="E4979" s="14" t="s">
        <v>40</v>
      </c>
    </row>
    <row r="4980" spans="1:5" x14ac:dyDescent="0.25">
      <c r="A4980" s="36">
        <v>4978</v>
      </c>
      <c r="B4980" s="37">
        <v>1211630626</v>
      </c>
      <c r="C4980" s="38">
        <v>0.56420947730737248</v>
      </c>
      <c r="D4980" s="14" t="s">
        <v>5021</v>
      </c>
      <c r="E4980" s="14" t="s">
        <v>43</v>
      </c>
    </row>
    <row r="4981" spans="1:5" x14ac:dyDescent="0.25">
      <c r="A4981" s="36">
        <v>4979</v>
      </c>
      <c r="B4981" s="37">
        <v>541919646</v>
      </c>
      <c r="C4981" s="38">
        <v>0.25235100009122446</v>
      </c>
      <c r="D4981" s="14" t="s">
        <v>5022</v>
      </c>
      <c r="E4981" s="14" t="s">
        <v>46</v>
      </c>
    </row>
    <row r="4982" spans="1:5" x14ac:dyDescent="0.25">
      <c r="A4982" s="36">
        <v>4980</v>
      </c>
      <c r="B4982" s="37">
        <v>44158258</v>
      </c>
      <c r="C4982" s="38">
        <v>2.0562791275122571E-2</v>
      </c>
      <c r="D4982" s="14" t="s">
        <v>5023</v>
      </c>
      <c r="E4982" s="14" t="s">
        <v>48</v>
      </c>
    </row>
    <row r="4983" spans="1:5" x14ac:dyDescent="0.25">
      <c r="A4983" s="36">
        <v>4981</v>
      </c>
      <c r="B4983" s="37">
        <v>1615515804</v>
      </c>
      <c r="C4983" s="38">
        <v>0.7522831693069465</v>
      </c>
      <c r="D4983" s="14" t="s">
        <v>5024</v>
      </c>
      <c r="E4983" s="14" t="s">
        <v>37</v>
      </c>
    </row>
    <row r="4984" spans="1:5" x14ac:dyDescent="0.25">
      <c r="A4984" s="36">
        <v>4982</v>
      </c>
      <c r="B4984" s="37">
        <v>1319685805</v>
      </c>
      <c r="C4984" s="38">
        <v>0.61452659108421137</v>
      </c>
      <c r="D4984" s="14" t="s">
        <v>5025</v>
      </c>
      <c r="E4984" s="14" t="s">
        <v>40</v>
      </c>
    </row>
    <row r="4985" spans="1:5" x14ac:dyDescent="0.25">
      <c r="A4985" s="36">
        <v>4983</v>
      </c>
      <c r="B4985" s="37">
        <v>743373783</v>
      </c>
      <c r="C4985" s="38">
        <v>0.34616039290379752</v>
      </c>
      <c r="D4985" s="14" t="s">
        <v>5026</v>
      </c>
      <c r="E4985" s="14" t="s">
        <v>43</v>
      </c>
    </row>
    <row r="4986" spans="1:5" x14ac:dyDescent="0.25">
      <c r="A4986" s="36">
        <v>4984</v>
      </c>
      <c r="B4986" s="37">
        <v>215036427</v>
      </c>
      <c r="C4986" s="38">
        <v>0.10013413946150529</v>
      </c>
      <c r="D4986" s="14" t="s">
        <v>5027</v>
      </c>
      <c r="E4986" s="14" t="s">
        <v>46</v>
      </c>
    </row>
    <row r="4987" spans="1:5" x14ac:dyDescent="0.25">
      <c r="A4987" s="36">
        <v>4985</v>
      </c>
      <c r="B4987" s="37">
        <v>538209026</v>
      </c>
      <c r="C4987" s="38">
        <v>0.25062310800450999</v>
      </c>
      <c r="D4987" s="14" t="s">
        <v>5028</v>
      </c>
      <c r="E4987" s="14" t="s">
        <v>48</v>
      </c>
    </row>
    <row r="4988" spans="1:5" x14ac:dyDescent="0.25">
      <c r="A4988" s="36">
        <v>4986</v>
      </c>
      <c r="B4988" s="37">
        <v>1934855177</v>
      </c>
      <c r="C4988" s="38">
        <v>0.90098715289541853</v>
      </c>
      <c r="D4988" s="14" t="s">
        <v>5029</v>
      </c>
      <c r="E4988" s="14" t="s">
        <v>37</v>
      </c>
    </row>
    <row r="4989" spans="1:5" x14ac:dyDescent="0.25">
      <c r="A4989" s="36">
        <v>4987</v>
      </c>
      <c r="B4989" s="37">
        <v>242255896</v>
      </c>
      <c r="C4989" s="38">
        <v>0.11280919244178067</v>
      </c>
      <c r="D4989" s="14" t="s">
        <v>5030</v>
      </c>
      <c r="E4989" s="14" t="s">
        <v>40</v>
      </c>
    </row>
    <row r="4990" spans="1:5" x14ac:dyDescent="0.25">
      <c r="A4990" s="36">
        <v>4988</v>
      </c>
      <c r="B4990" s="37">
        <v>414861845</v>
      </c>
      <c r="C4990" s="38">
        <v>0.19318510088752261</v>
      </c>
      <c r="D4990" s="14" t="s">
        <v>5031</v>
      </c>
      <c r="E4990" s="14" t="s">
        <v>43</v>
      </c>
    </row>
    <row r="4991" spans="1:5" x14ac:dyDescent="0.25">
      <c r="A4991" s="36">
        <v>4989</v>
      </c>
      <c r="B4991" s="37">
        <v>1937439881</v>
      </c>
      <c r="C4991" s="38">
        <v>0.90219074948792843</v>
      </c>
      <c r="D4991" s="14" t="s">
        <v>5032</v>
      </c>
      <c r="E4991" s="14" t="s">
        <v>46</v>
      </c>
    </row>
    <row r="4992" spans="1:5" x14ac:dyDescent="0.25">
      <c r="A4992" s="36">
        <v>4990</v>
      </c>
      <c r="B4992" s="37">
        <v>1136936555</v>
      </c>
      <c r="C4992" s="38">
        <v>0.52942734003506009</v>
      </c>
      <c r="D4992" s="14" t="s">
        <v>5033</v>
      </c>
      <c r="E4992" s="14" t="s">
        <v>48</v>
      </c>
    </row>
    <row r="4993" spans="1:5" x14ac:dyDescent="0.25">
      <c r="A4993" s="36">
        <v>4991</v>
      </c>
      <c r="B4993" s="37">
        <v>1106615083</v>
      </c>
      <c r="C4993" s="38">
        <v>0.51530780434389967</v>
      </c>
      <c r="D4993" s="14" t="s">
        <v>5034</v>
      </c>
      <c r="E4993" s="14" t="s">
        <v>37</v>
      </c>
    </row>
    <row r="4994" spans="1:5" x14ac:dyDescent="0.25">
      <c r="A4994" s="36">
        <v>4992</v>
      </c>
      <c r="B4994" s="37">
        <v>419106077</v>
      </c>
      <c r="C4994" s="38">
        <v>0.19516147542519563</v>
      </c>
      <c r="D4994" s="14" t="s">
        <v>5035</v>
      </c>
      <c r="E4994" s="14" t="s">
        <v>40</v>
      </c>
    </row>
    <row r="4995" spans="1:5" x14ac:dyDescent="0.25">
      <c r="A4995" s="36">
        <v>4993</v>
      </c>
      <c r="B4995" s="37">
        <v>1346511051</v>
      </c>
      <c r="C4995" s="38">
        <v>0.62701806967473495</v>
      </c>
      <c r="D4995" s="14" t="s">
        <v>5036</v>
      </c>
      <c r="E4995" s="14" t="s">
        <v>43</v>
      </c>
    </row>
    <row r="4996" spans="1:5" x14ac:dyDescent="0.25">
      <c r="A4996" s="36">
        <v>4994</v>
      </c>
      <c r="B4996" s="37">
        <v>1555983509</v>
      </c>
      <c r="C4996" s="38">
        <v>0.7245612841679534</v>
      </c>
      <c r="D4996" s="14" t="s">
        <v>5037</v>
      </c>
      <c r="E4996" s="14" t="s">
        <v>46</v>
      </c>
    </row>
    <row r="4997" spans="1:5" x14ac:dyDescent="0.25">
      <c r="A4997" s="36">
        <v>4995</v>
      </c>
      <c r="B4997" s="37">
        <v>1811758098</v>
      </c>
      <c r="C4997" s="38">
        <v>0.84366560859776363</v>
      </c>
      <c r="D4997" s="14" t="s">
        <v>5038</v>
      </c>
      <c r="E4997" s="14" t="s">
        <v>48</v>
      </c>
    </row>
    <row r="4998" spans="1:5" x14ac:dyDescent="0.25">
      <c r="A4998" s="36">
        <v>4996</v>
      </c>
      <c r="B4998" s="37">
        <v>2081528279</v>
      </c>
      <c r="C4998" s="38">
        <v>0.96928713841796255</v>
      </c>
      <c r="D4998" s="14" t="s">
        <v>5039</v>
      </c>
      <c r="E4998" s="14" t="s">
        <v>37</v>
      </c>
    </row>
    <row r="4999" spans="1:5" x14ac:dyDescent="0.25">
      <c r="A4999" s="36">
        <v>4997</v>
      </c>
      <c r="B4999" s="37">
        <v>313985957</v>
      </c>
      <c r="C4999" s="38">
        <v>0.14621110500125731</v>
      </c>
      <c r="D4999" s="14" t="s">
        <v>5040</v>
      </c>
      <c r="E4999" s="14" t="s">
        <v>40</v>
      </c>
    </row>
    <row r="5000" spans="1:5" x14ac:dyDescent="0.25">
      <c r="A5000" s="36">
        <v>4998</v>
      </c>
      <c r="B5000" s="37">
        <v>1098841964</v>
      </c>
      <c r="C5000" s="38">
        <v>0.51168816374227788</v>
      </c>
      <c r="D5000" s="14" t="s">
        <v>5041</v>
      </c>
      <c r="E5000" s="14" t="s">
        <v>43</v>
      </c>
    </row>
    <row r="5001" spans="1:5" x14ac:dyDescent="0.25">
      <c r="A5001" s="36">
        <v>4999</v>
      </c>
      <c r="B5001" s="37">
        <v>457175777</v>
      </c>
      <c r="C5001" s="38">
        <v>0.21288906094287013</v>
      </c>
      <c r="D5001" s="14" t="s">
        <v>5042</v>
      </c>
      <c r="E5001" s="14" t="s">
        <v>46</v>
      </c>
    </row>
    <row r="5002" spans="1:5" x14ac:dyDescent="0.25">
      <c r="A5002" s="36">
        <v>5000</v>
      </c>
      <c r="B5002" s="37">
        <v>1366447875</v>
      </c>
      <c r="C5002" s="38">
        <v>0.63630187680772599</v>
      </c>
      <c r="D5002" s="14" t="s">
        <v>5043</v>
      </c>
      <c r="E5002" s="14" t="s">
        <v>48</v>
      </c>
    </row>
    <row r="5003" spans="1:5" x14ac:dyDescent="0.25">
      <c r="A5003" s="36">
        <v>5001</v>
      </c>
      <c r="B5003" s="37">
        <v>1833155018</v>
      </c>
      <c r="C5003" s="38">
        <v>0.85362932591402407</v>
      </c>
      <c r="D5003" s="14" t="s">
        <v>5044</v>
      </c>
      <c r="E5003" s="14" t="s">
        <v>37</v>
      </c>
    </row>
    <row r="5004" spans="1:5" x14ac:dyDescent="0.25">
      <c r="A5004" s="36">
        <v>5002</v>
      </c>
      <c r="B5004" s="37">
        <v>1773505784</v>
      </c>
      <c r="C5004" s="38">
        <v>0.82585298680972907</v>
      </c>
      <c r="D5004" s="14" t="s">
        <v>5045</v>
      </c>
      <c r="E5004" s="14" t="s">
        <v>40</v>
      </c>
    </row>
    <row r="5005" spans="1:5" x14ac:dyDescent="0.25">
      <c r="A5005" s="36">
        <v>5003</v>
      </c>
      <c r="B5005" s="37">
        <v>891217332</v>
      </c>
      <c r="C5005" s="38">
        <v>0.41500541028334081</v>
      </c>
      <c r="D5005" s="14" t="s">
        <v>5046</v>
      </c>
      <c r="E5005" s="14" t="s">
        <v>43</v>
      </c>
    </row>
    <row r="5006" spans="1:5" x14ac:dyDescent="0.25">
      <c r="A5006" s="36">
        <v>5004</v>
      </c>
      <c r="B5006" s="37">
        <v>757391334</v>
      </c>
      <c r="C5006" s="38">
        <v>0.35268782375039898</v>
      </c>
      <c r="D5006" s="14" t="s">
        <v>5047</v>
      </c>
      <c r="E5006" s="14" t="s">
        <v>46</v>
      </c>
    </row>
    <row r="5007" spans="1:5" x14ac:dyDescent="0.25">
      <c r="A5007" s="36">
        <v>5005</v>
      </c>
      <c r="B5007" s="37">
        <v>369290047</v>
      </c>
      <c r="C5007" s="38">
        <v>0.17196407875603253</v>
      </c>
      <c r="D5007" s="14" t="s">
        <v>5048</v>
      </c>
      <c r="E5007" s="14" t="s">
        <v>48</v>
      </c>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W1002"/>
  <sheetViews>
    <sheetView workbookViewId="0">
      <pane ySplit="2" topLeftCell="A976" activePane="bottomLeft" state="frozen"/>
      <selection pane="bottomLeft" activeCell="B4" sqref="B4"/>
    </sheetView>
  </sheetViews>
  <sheetFormatPr baseColWidth="10" defaultColWidth="12.6640625" defaultRowHeight="15.75" customHeight="1" x14ac:dyDescent="0.25"/>
  <cols>
    <col min="1" max="1" width="6.33203125" customWidth="1"/>
    <col min="2" max="2" width="10.109375" customWidth="1"/>
    <col min="3" max="3" width="15.109375" customWidth="1"/>
    <col min="4" max="4" width="8.88671875" customWidth="1"/>
    <col min="5" max="5" width="10.109375" customWidth="1"/>
    <col min="6" max="6" width="8.88671875" customWidth="1"/>
    <col min="7" max="9" width="11.33203125" customWidth="1"/>
    <col min="10" max="10" width="8.88671875" customWidth="1"/>
    <col min="11" max="11" width="12.6640625" customWidth="1"/>
    <col min="12" max="12" width="11.33203125" customWidth="1"/>
    <col min="13" max="13" width="13.88671875" customWidth="1"/>
    <col min="14" max="14" width="12.6640625" customWidth="1"/>
    <col min="15" max="15" width="10.109375" customWidth="1"/>
    <col min="16" max="16" width="8.88671875" customWidth="1"/>
    <col min="17" max="18" width="11.33203125" customWidth="1"/>
    <col min="19" max="23" width="10.109375" customWidth="1"/>
  </cols>
  <sheetData>
    <row r="1" spans="1:23" ht="13.8" x14ac:dyDescent="0.25">
      <c r="A1" s="88" t="s">
        <v>5049</v>
      </c>
      <c r="B1" s="70"/>
      <c r="C1" s="70"/>
      <c r="D1" s="70"/>
      <c r="E1" s="70"/>
      <c r="F1" s="70"/>
      <c r="G1" s="70"/>
      <c r="H1" s="70"/>
      <c r="I1" s="70"/>
      <c r="J1" s="70"/>
      <c r="K1" s="70"/>
      <c r="L1" s="70"/>
      <c r="M1" s="70"/>
      <c r="N1" s="70"/>
      <c r="O1" s="70"/>
      <c r="P1" s="70"/>
      <c r="Q1" s="70"/>
      <c r="R1" s="70"/>
      <c r="S1" s="70"/>
      <c r="T1" s="70"/>
      <c r="U1" s="70"/>
      <c r="V1" s="70"/>
      <c r="W1" s="71"/>
    </row>
    <row r="2" spans="1:23" ht="37.5" customHeight="1" x14ac:dyDescent="0.25">
      <c r="A2" s="39" t="s">
        <v>5050</v>
      </c>
      <c r="B2" s="39" t="s">
        <v>5051</v>
      </c>
      <c r="C2" s="39" t="s">
        <v>5052</v>
      </c>
      <c r="D2" s="39" t="s">
        <v>5053</v>
      </c>
      <c r="E2" s="39" t="s">
        <v>5054</v>
      </c>
      <c r="F2" s="39" t="s">
        <v>5055</v>
      </c>
      <c r="G2" s="39" t="s">
        <v>5056</v>
      </c>
      <c r="H2" s="39" t="s">
        <v>5057</v>
      </c>
      <c r="I2" s="39" t="s">
        <v>5058</v>
      </c>
      <c r="J2" s="39" t="s">
        <v>5059</v>
      </c>
      <c r="K2" s="39" t="s">
        <v>5060</v>
      </c>
      <c r="L2" s="39" t="s">
        <v>5061</v>
      </c>
      <c r="M2" s="39" t="s">
        <v>5062</v>
      </c>
      <c r="N2" s="39" t="s">
        <v>5063</v>
      </c>
      <c r="O2" s="39" t="s">
        <v>5064</v>
      </c>
      <c r="P2" s="39" t="s">
        <v>5065</v>
      </c>
      <c r="Q2" s="39" t="s">
        <v>5066</v>
      </c>
      <c r="R2" s="39" t="s">
        <v>5067</v>
      </c>
      <c r="S2" s="39" t="s">
        <v>5068</v>
      </c>
      <c r="T2" s="40" t="s">
        <v>5069</v>
      </c>
      <c r="U2" s="40" t="s">
        <v>5070</v>
      </c>
      <c r="V2" s="40" t="s">
        <v>5071</v>
      </c>
      <c r="W2" s="40" t="s">
        <v>5072</v>
      </c>
    </row>
    <row r="3" spans="1:23" ht="13.2" x14ac:dyDescent="0.25">
      <c r="A3" s="41">
        <v>1</v>
      </c>
      <c r="B3" s="42">
        <v>4.0805376153814313E-2</v>
      </c>
      <c r="C3" s="14" t="s">
        <v>5073</v>
      </c>
      <c r="D3" s="42">
        <v>4.0878373682907955E-2</v>
      </c>
      <c r="E3" s="43">
        <v>284.90540484194895</v>
      </c>
      <c r="F3" s="42">
        <v>0.54709048827508955</v>
      </c>
      <c r="G3" s="43">
        <v>10.092393228301031</v>
      </c>
      <c r="H3" s="42">
        <v>0.26713203930628115</v>
      </c>
      <c r="I3" s="43">
        <v>3.1330071555357186</v>
      </c>
      <c r="J3" s="42">
        <v>0.42986223354463571</v>
      </c>
      <c r="K3" s="43">
        <v>2.4650817773282947</v>
      </c>
      <c r="L3" s="43">
        <v>2.4650817773282947</v>
      </c>
      <c r="M3" s="44">
        <v>1982.9416176999646</v>
      </c>
      <c r="N3" s="44">
        <v>3561.3175605243619</v>
      </c>
      <c r="O3" s="45" t="s">
        <v>5074</v>
      </c>
      <c r="P3" s="46">
        <v>1</v>
      </c>
      <c r="Q3" s="43">
        <v>2.4650817773282947</v>
      </c>
      <c r="R3" s="43">
        <v>12.557475005629325</v>
      </c>
      <c r="S3" s="47">
        <v>0</v>
      </c>
      <c r="T3" s="48">
        <v>12.557475005629325</v>
      </c>
      <c r="U3" s="48">
        <v>0</v>
      </c>
      <c r="V3" s="48">
        <v>0</v>
      </c>
      <c r="W3" s="48">
        <v>0</v>
      </c>
    </row>
    <row r="4" spans="1:23" ht="13.2" x14ac:dyDescent="0.25">
      <c r="A4" s="41">
        <v>2</v>
      </c>
      <c r="B4" s="42">
        <v>0.90642683063933016</v>
      </c>
      <c r="C4" s="14" t="s">
        <v>5075</v>
      </c>
      <c r="D4" s="42">
        <v>0.59240587688628854</v>
      </c>
      <c r="E4" s="43">
        <v>321.46841138204019</v>
      </c>
      <c r="F4" s="42">
        <v>0.86436009540425618</v>
      </c>
      <c r="G4" s="43">
        <v>10.07007658985447</v>
      </c>
      <c r="H4" s="42">
        <v>0.45993871542622278</v>
      </c>
      <c r="I4" s="43">
        <v>2.4591024089493496</v>
      </c>
      <c r="J4" s="42">
        <v>0.96243077933901489</v>
      </c>
      <c r="K4" s="43">
        <v>0.11180476781385358</v>
      </c>
      <c r="L4" s="43">
        <v>2.5768865451421483</v>
      </c>
      <c r="M4" s="44">
        <v>2237.4201432189998</v>
      </c>
      <c r="N4" s="44">
        <v>4018.3551422755022</v>
      </c>
      <c r="O4" s="45" t="s">
        <v>5074</v>
      </c>
      <c r="P4" s="46">
        <v>2</v>
      </c>
      <c r="Q4" s="43">
        <v>2.5768865451421483</v>
      </c>
      <c r="R4" s="43">
        <v>12.646963134996618</v>
      </c>
      <c r="S4" s="47">
        <v>0</v>
      </c>
      <c r="T4" s="48">
        <v>12.557475005629325</v>
      </c>
      <c r="U4" s="48">
        <v>12.646963134996618</v>
      </c>
      <c r="V4" s="48">
        <v>0</v>
      </c>
      <c r="W4" s="48">
        <v>0</v>
      </c>
    </row>
    <row r="5" spans="1:23" ht="13.2" x14ac:dyDescent="0.25">
      <c r="A5" s="41">
        <v>3</v>
      </c>
      <c r="B5" s="42">
        <v>0.56511521971091405</v>
      </c>
      <c r="C5" s="14" t="s">
        <v>5076</v>
      </c>
      <c r="D5" s="42">
        <v>0.88322525512577277</v>
      </c>
      <c r="E5" s="43">
        <v>43.832252551257724</v>
      </c>
      <c r="F5" s="42">
        <v>0.98992417286612289</v>
      </c>
      <c r="G5" s="43">
        <v>3.4953651195184166</v>
      </c>
      <c r="H5" s="42">
        <v>5.9759290916733118E-3</v>
      </c>
      <c r="I5" s="43">
        <v>0.53542520443485675</v>
      </c>
      <c r="J5" s="42">
        <v>0.55550726342737078</v>
      </c>
      <c r="K5" s="43">
        <v>1.7164192540470675</v>
      </c>
      <c r="L5" s="43">
        <v>4.2933057991892163</v>
      </c>
      <c r="M5" s="44">
        <v>305.07247775675376</v>
      </c>
      <c r="N5" s="44">
        <v>547.90315689072156</v>
      </c>
      <c r="O5" s="45" t="s">
        <v>5074</v>
      </c>
      <c r="P5" s="46">
        <v>3</v>
      </c>
      <c r="Q5" s="43">
        <v>4.2933057991892163</v>
      </c>
      <c r="R5" s="43">
        <v>7.7886709187076324</v>
      </c>
      <c r="S5" s="47">
        <v>0</v>
      </c>
      <c r="T5" s="48">
        <v>12.557475005629325</v>
      </c>
      <c r="U5" s="48">
        <v>12.646963134996618</v>
      </c>
      <c r="V5" s="48">
        <v>7.7886709187076324</v>
      </c>
      <c r="W5" s="48">
        <v>0</v>
      </c>
    </row>
    <row r="6" spans="1:23" ht="13.2" x14ac:dyDescent="0.25">
      <c r="A6" s="41">
        <v>4</v>
      </c>
      <c r="B6" s="42">
        <v>0.1997923903166281</v>
      </c>
      <c r="C6" s="14" t="s">
        <v>5073</v>
      </c>
      <c r="D6" s="42">
        <v>0.90062773129932006</v>
      </c>
      <c r="E6" s="43">
        <v>388.07532775591841</v>
      </c>
      <c r="F6" s="42">
        <v>0.84657694671609296</v>
      </c>
      <c r="G6" s="43">
        <v>11.02978584322137</v>
      </c>
      <c r="H6" s="42">
        <v>0.96436855055595216</v>
      </c>
      <c r="I6" s="43">
        <v>3.8365264942474289</v>
      </c>
      <c r="J6" s="42">
        <v>3.3750092160771641E-2</v>
      </c>
      <c r="K6" s="43">
        <v>9.8942251999351729</v>
      </c>
      <c r="L6" s="43">
        <v>14.187530999124389</v>
      </c>
      <c r="M6" s="44">
        <v>2701.0042811811923</v>
      </c>
      <c r="N6" s="44">
        <v>4850.9415969489801</v>
      </c>
      <c r="O6" s="45" t="s">
        <v>5074</v>
      </c>
      <c r="P6" s="46">
        <v>4</v>
      </c>
      <c r="Q6" s="43">
        <v>14.187530999124389</v>
      </c>
      <c r="R6" s="43">
        <v>25.21731684234576</v>
      </c>
      <c r="S6" s="47">
        <v>0</v>
      </c>
      <c r="T6" s="48">
        <v>12.557475005629325</v>
      </c>
      <c r="U6" s="48">
        <v>12.646963134996618</v>
      </c>
      <c r="V6" s="48">
        <v>7.7886709187076324</v>
      </c>
      <c r="W6" s="48">
        <v>25.21731684234576</v>
      </c>
    </row>
    <row r="7" spans="1:23" ht="13.2" x14ac:dyDescent="0.25">
      <c r="A7" s="41">
        <v>5</v>
      </c>
      <c r="B7" s="42">
        <v>0.34428985432921438</v>
      </c>
      <c r="C7" s="14" t="s">
        <v>5077</v>
      </c>
      <c r="D7" s="42">
        <v>0.54191328144721373</v>
      </c>
      <c r="E7" s="43">
        <v>44.877219533024928</v>
      </c>
      <c r="F7" s="42">
        <v>0.67693686935908015</v>
      </c>
      <c r="G7" s="43">
        <v>3.4449296972923587</v>
      </c>
      <c r="H7" s="42">
        <v>0.81460586880082542</v>
      </c>
      <c r="I7" s="43">
        <v>1.4111620540170864</v>
      </c>
      <c r="J7" s="42">
        <v>0.30590163977160195</v>
      </c>
      <c r="K7" s="43">
        <v>3.4583698316996481</v>
      </c>
      <c r="L7" s="43">
        <v>17.645900830824036</v>
      </c>
      <c r="M7" s="44">
        <v>312.34544794985351</v>
      </c>
      <c r="N7" s="44">
        <v>560.96524416281159</v>
      </c>
      <c r="O7" s="45" t="s">
        <v>5074</v>
      </c>
      <c r="P7" s="46">
        <v>3</v>
      </c>
      <c r="Q7" s="43">
        <v>17.645900830824036</v>
      </c>
      <c r="R7" s="43">
        <v>21.090830528116395</v>
      </c>
      <c r="S7" s="47">
        <v>0</v>
      </c>
      <c r="T7" s="48">
        <v>12.557475005629325</v>
      </c>
      <c r="U7" s="48">
        <v>12.646963134996618</v>
      </c>
      <c r="V7" s="48">
        <v>21.090830528116395</v>
      </c>
      <c r="W7" s="48">
        <v>25.21731684234576</v>
      </c>
    </row>
    <row r="8" spans="1:23" ht="13.2" x14ac:dyDescent="0.25">
      <c r="A8" s="41">
        <v>6</v>
      </c>
      <c r="B8" s="42">
        <v>0.39907677164258287</v>
      </c>
      <c r="C8" s="14" t="s">
        <v>5077</v>
      </c>
      <c r="D8" s="42">
        <v>0.73545431612779122</v>
      </c>
      <c r="E8" s="43">
        <v>46.619088845150124</v>
      </c>
      <c r="F8" s="42">
        <v>0.56768855758369363</v>
      </c>
      <c r="G8" s="43">
        <v>3.392490507640173</v>
      </c>
      <c r="H8" s="42">
        <v>0.268447943622455</v>
      </c>
      <c r="I8" s="43">
        <v>1.1108717737332932</v>
      </c>
      <c r="J8" s="42">
        <v>0.78549411277542547</v>
      </c>
      <c r="K8" s="43">
        <v>0.70494106916753729</v>
      </c>
      <c r="L8" s="43">
        <v>18.350841899991572</v>
      </c>
      <c r="M8" s="44">
        <v>324.46885836224487</v>
      </c>
      <c r="N8" s="44">
        <v>582.73861056437659</v>
      </c>
      <c r="O8" s="45" t="s">
        <v>5074</v>
      </c>
      <c r="P8" s="46">
        <v>1</v>
      </c>
      <c r="Q8" s="43">
        <v>18.350841899991572</v>
      </c>
      <c r="R8" s="43">
        <v>21.743332407631744</v>
      </c>
      <c r="S8" s="47">
        <v>0</v>
      </c>
      <c r="T8" s="48">
        <v>21.743332407631744</v>
      </c>
      <c r="U8" s="48">
        <v>12.646963134996618</v>
      </c>
      <c r="V8" s="48">
        <v>21.090830528116395</v>
      </c>
      <c r="W8" s="48">
        <v>25.21731684234576</v>
      </c>
    </row>
    <row r="9" spans="1:23" ht="13.2" x14ac:dyDescent="0.25">
      <c r="A9" s="41">
        <v>7</v>
      </c>
      <c r="B9" s="42">
        <v>6.020346100451586E-2</v>
      </c>
      <c r="C9" s="14" t="s">
        <v>5073</v>
      </c>
      <c r="D9" s="42">
        <v>0.6380644876687156</v>
      </c>
      <c r="E9" s="43">
        <v>356.56773852024588</v>
      </c>
      <c r="F9" s="42">
        <v>0.76347271481690593</v>
      </c>
      <c r="G9" s="43">
        <v>10.769669597376915</v>
      </c>
      <c r="H9" s="42">
        <v>0.89276655618695844</v>
      </c>
      <c r="I9" s="43">
        <v>3.7164068356610458</v>
      </c>
      <c r="J9" s="42">
        <v>0.72407304296459674</v>
      </c>
      <c r="K9" s="43">
        <v>0.94266570397848937</v>
      </c>
      <c r="L9" s="43">
        <v>19.29350760397006</v>
      </c>
      <c r="M9" s="44">
        <v>2481.7114601009112</v>
      </c>
      <c r="N9" s="44">
        <v>4457.0967315030739</v>
      </c>
      <c r="O9" s="45" t="s">
        <v>5074</v>
      </c>
      <c r="P9" s="46">
        <v>2</v>
      </c>
      <c r="Q9" s="43">
        <v>19.29350760397006</v>
      </c>
      <c r="R9" s="43">
        <v>30.063177201346974</v>
      </c>
      <c r="S9" s="47">
        <v>0</v>
      </c>
      <c r="T9" s="48">
        <v>21.743332407631744</v>
      </c>
      <c r="U9" s="48">
        <v>30.063177201346974</v>
      </c>
      <c r="V9" s="48">
        <v>21.090830528116395</v>
      </c>
      <c r="W9" s="48">
        <v>25.21731684234576</v>
      </c>
    </row>
    <row r="10" spans="1:23" ht="13.2" x14ac:dyDescent="0.25">
      <c r="A10" s="41">
        <v>8</v>
      </c>
      <c r="B10" s="42">
        <v>0.15397659137564554</v>
      </c>
      <c r="C10" s="14" t="s">
        <v>5073</v>
      </c>
      <c r="D10" s="42">
        <v>0.35789549227705947</v>
      </c>
      <c r="E10" s="43">
        <v>322.94745907324716</v>
      </c>
      <c r="F10" s="42">
        <v>0.46641841831915937</v>
      </c>
      <c r="G10" s="43">
        <v>9.8398896493389696</v>
      </c>
      <c r="H10" s="42">
        <v>0.58988864467939761</v>
      </c>
      <c r="I10" s="43">
        <v>3.4406556048943187</v>
      </c>
      <c r="J10" s="42">
        <v>0.86842092027348505</v>
      </c>
      <c r="K10" s="43">
        <v>0.41190876108691293</v>
      </c>
      <c r="L10" s="43">
        <v>19.705416365056973</v>
      </c>
      <c r="M10" s="44">
        <v>2252.4810481550307</v>
      </c>
      <c r="N10" s="44">
        <v>4036.8432384155894</v>
      </c>
      <c r="O10" s="45" t="s">
        <v>5074</v>
      </c>
      <c r="P10" s="46">
        <v>3</v>
      </c>
      <c r="Q10" s="43">
        <v>21.090830528116395</v>
      </c>
      <c r="R10" s="43">
        <v>30.930720177455363</v>
      </c>
      <c r="S10" s="43">
        <v>1.3854141630594228</v>
      </c>
      <c r="T10" s="48">
        <v>21.743332407631744</v>
      </c>
      <c r="U10" s="48">
        <v>30.063177201346974</v>
      </c>
      <c r="V10" s="48">
        <v>30.930720177455363</v>
      </c>
      <c r="W10" s="48">
        <v>25.21731684234576</v>
      </c>
    </row>
    <row r="11" spans="1:23" ht="13.2" x14ac:dyDescent="0.25">
      <c r="A11" s="41">
        <v>9</v>
      </c>
      <c r="B11" s="42">
        <v>0.80445416867940411</v>
      </c>
      <c r="C11" s="14" t="s">
        <v>5078</v>
      </c>
      <c r="D11" s="42">
        <v>0.54725703110325008</v>
      </c>
      <c r="E11" s="43">
        <v>191.89028124412999</v>
      </c>
      <c r="F11" s="42">
        <v>0.48183308331381208</v>
      </c>
      <c r="G11" s="43">
        <v>5.858468105815569</v>
      </c>
      <c r="H11" s="42">
        <v>0.68513886895270038</v>
      </c>
      <c r="I11" s="43">
        <v>3.4133863421494404</v>
      </c>
      <c r="J11" s="42">
        <v>0.24797943944483039</v>
      </c>
      <c r="K11" s="43">
        <v>4.0712684429734205</v>
      </c>
      <c r="L11" s="43">
        <v>23.776684808030392</v>
      </c>
      <c r="M11" s="44">
        <v>1335.5563574591447</v>
      </c>
      <c r="N11" s="44">
        <v>2398.6285155516248</v>
      </c>
      <c r="O11" s="45" t="s">
        <v>5074</v>
      </c>
      <c r="P11" s="46">
        <v>1</v>
      </c>
      <c r="Q11" s="43">
        <v>23.776684808030392</v>
      </c>
      <c r="R11" s="43">
        <v>29.63515291384596</v>
      </c>
      <c r="S11" s="47">
        <v>0</v>
      </c>
      <c r="T11" s="48">
        <v>29.63515291384596</v>
      </c>
      <c r="U11" s="48">
        <v>30.063177201346974</v>
      </c>
      <c r="V11" s="48">
        <v>30.930720177455363</v>
      </c>
      <c r="W11" s="48">
        <v>25.21731684234576</v>
      </c>
    </row>
    <row r="12" spans="1:23" ht="13.2" x14ac:dyDescent="0.25">
      <c r="A12" s="41">
        <v>10</v>
      </c>
      <c r="B12" s="42">
        <v>0.44857785219726054</v>
      </c>
      <c r="C12" s="14" t="s">
        <v>5077</v>
      </c>
      <c r="D12" s="42">
        <v>0.52156459098754659</v>
      </c>
      <c r="E12" s="43">
        <v>44.694081318887918</v>
      </c>
      <c r="F12" s="42">
        <v>0.772949491987447</v>
      </c>
      <c r="G12" s="43">
        <v>3.4910157561539745</v>
      </c>
      <c r="H12" s="42">
        <v>0.22528635115608869</v>
      </c>
      <c r="I12" s="43">
        <v>1.0847860362029569</v>
      </c>
      <c r="J12" s="42">
        <v>0.23579403443066124</v>
      </c>
      <c r="K12" s="43">
        <v>4.2183842057668448</v>
      </c>
      <c r="L12" s="43">
        <v>27.995069013797238</v>
      </c>
      <c r="M12" s="44">
        <v>311.07080597945992</v>
      </c>
      <c r="N12" s="44">
        <v>558.676016486099</v>
      </c>
      <c r="O12" s="45" t="s">
        <v>5074</v>
      </c>
      <c r="P12" s="46">
        <v>4</v>
      </c>
      <c r="Q12" s="43">
        <v>27.995069013797238</v>
      </c>
      <c r="R12" s="43">
        <v>31.486084769951212</v>
      </c>
      <c r="S12" s="47">
        <v>0</v>
      </c>
      <c r="T12" s="48">
        <v>29.63515291384596</v>
      </c>
      <c r="U12" s="48">
        <v>30.063177201346974</v>
      </c>
      <c r="V12" s="48">
        <v>30.930720177455363</v>
      </c>
      <c r="W12" s="48">
        <v>31.486084769951212</v>
      </c>
    </row>
    <row r="13" spans="1:23" ht="13.2" x14ac:dyDescent="0.25">
      <c r="A13" s="41">
        <v>11</v>
      </c>
      <c r="B13" s="42">
        <v>0.53729664233387286</v>
      </c>
      <c r="C13" s="14" t="s">
        <v>5076</v>
      </c>
      <c r="D13" s="42">
        <v>0.16571673572329651</v>
      </c>
      <c r="E13" s="43">
        <v>36.657167357232964</v>
      </c>
      <c r="F13" s="42">
        <v>0.12166576605367743</v>
      </c>
      <c r="G13" s="43">
        <v>3.0959662523846916</v>
      </c>
      <c r="H13" s="42">
        <v>0.18137644332897684</v>
      </c>
      <c r="I13" s="43">
        <v>0.69516416960878125</v>
      </c>
      <c r="J13" s="42">
        <v>9.6468111079404187E-2</v>
      </c>
      <c r="K13" s="43">
        <v>6.8278621325116333</v>
      </c>
      <c r="L13" s="43">
        <v>34.822931146308875</v>
      </c>
      <c r="M13" s="44">
        <v>255.13388480634143</v>
      </c>
      <c r="N13" s="44">
        <v>458.21459196541207</v>
      </c>
      <c r="O13" s="45" t="s">
        <v>5074</v>
      </c>
      <c r="P13" s="46">
        <v>1</v>
      </c>
      <c r="Q13" s="43">
        <v>34.822931146308875</v>
      </c>
      <c r="R13" s="43">
        <v>37.918897398693566</v>
      </c>
      <c r="S13" s="47">
        <v>0</v>
      </c>
      <c r="T13" s="48">
        <v>37.918897398693566</v>
      </c>
      <c r="U13" s="48">
        <v>30.063177201346974</v>
      </c>
      <c r="V13" s="48">
        <v>30.930720177455363</v>
      </c>
      <c r="W13" s="48">
        <v>31.486084769951212</v>
      </c>
    </row>
    <row r="14" spans="1:23" ht="13.2" x14ac:dyDescent="0.25">
      <c r="A14" s="41">
        <v>12</v>
      </c>
      <c r="B14" s="42">
        <v>5.4730391155337163E-2</v>
      </c>
      <c r="C14" s="14" t="s">
        <v>5073</v>
      </c>
      <c r="D14" s="42">
        <v>0.57647378350443845</v>
      </c>
      <c r="E14" s="43">
        <v>349.17685402053263</v>
      </c>
      <c r="F14" s="42">
        <v>0.49662367137923075</v>
      </c>
      <c r="G14" s="43">
        <v>9.9344320914169923</v>
      </c>
      <c r="H14" s="42">
        <v>0.98873845999536036</v>
      </c>
      <c r="I14" s="43">
        <v>3.90809703484936</v>
      </c>
      <c r="J14" s="42">
        <v>0.35725972305855702</v>
      </c>
      <c r="K14" s="43">
        <v>3.005232835455415</v>
      </c>
      <c r="L14" s="43">
        <v>37.828163981764291</v>
      </c>
      <c r="M14" s="44">
        <v>2430.2709039829069</v>
      </c>
      <c r="N14" s="44">
        <v>4364.7106752566579</v>
      </c>
      <c r="O14" s="45" t="s">
        <v>5074</v>
      </c>
      <c r="P14" s="46">
        <v>2</v>
      </c>
      <c r="Q14" s="43">
        <v>37.828163981764291</v>
      </c>
      <c r="R14" s="43">
        <v>47.762596073181285</v>
      </c>
      <c r="S14" s="47">
        <v>0</v>
      </c>
      <c r="T14" s="48">
        <v>37.918897398693566</v>
      </c>
      <c r="U14" s="48">
        <v>47.762596073181285</v>
      </c>
      <c r="V14" s="48">
        <v>30.930720177455363</v>
      </c>
      <c r="W14" s="48">
        <v>31.486084769951212</v>
      </c>
    </row>
    <row r="15" spans="1:23" ht="13.2" x14ac:dyDescent="0.25">
      <c r="A15" s="41">
        <v>13</v>
      </c>
      <c r="B15" s="42">
        <v>0.21265999051400461</v>
      </c>
      <c r="C15" s="14" t="s">
        <v>5073</v>
      </c>
      <c r="D15" s="42">
        <v>0.3428462694132916</v>
      </c>
      <c r="E15" s="43">
        <v>321.14155232959502</v>
      </c>
      <c r="F15" s="42">
        <v>0.65873110511281119</v>
      </c>
      <c r="G15" s="43">
        <v>10.4418283590031</v>
      </c>
      <c r="H15" s="42">
        <v>0.86487384786124988</v>
      </c>
      <c r="I15" s="43">
        <v>3.6816533114605043</v>
      </c>
      <c r="J15" s="42">
        <v>0.61374719283252355</v>
      </c>
      <c r="K15" s="43">
        <v>1.4253202151245612</v>
      </c>
      <c r="L15" s="43">
        <v>39.253484196888856</v>
      </c>
      <c r="M15" s="44">
        <v>2235.1452042139813</v>
      </c>
      <c r="N15" s="44">
        <v>4014.2694041199375</v>
      </c>
      <c r="O15" s="45" t="s">
        <v>5074</v>
      </c>
      <c r="P15" s="46">
        <v>3</v>
      </c>
      <c r="Q15" s="43">
        <v>39.253484196888856</v>
      </c>
      <c r="R15" s="43">
        <v>49.69531255589196</v>
      </c>
      <c r="S15" s="47">
        <v>0</v>
      </c>
      <c r="T15" s="48">
        <v>37.918897398693566</v>
      </c>
      <c r="U15" s="48">
        <v>47.762596073181285</v>
      </c>
      <c r="V15" s="48">
        <v>49.69531255589196</v>
      </c>
      <c r="W15" s="48">
        <v>31.486084769951212</v>
      </c>
    </row>
    <row r="16" spans="1:23" ht="13.2" x14ac:dyDescent="0.25">
      <c r="A16" s="41">
        <v>14</v>
      </c>
      <c r="B16" s="42">
        <v>1.828550222249958E-2</v>
      </c>
      <c r="C16" s="14" t="s">
        <v>5073</v>
      </c>
      <c r="D16" s="42">
        <v>0.14772285201946406</v>
      </c>
      <c r="E16" s="43">
        <v>297.72674224233566</v>
      </c>
      <c r="F16" s="42">
        <v>0.8523936443274811</v>
      </c>
      <c r="G16" s="43">
        <v>11.047992106745015</v>
      </c>
      <c r="H16" s="42">
        <v>2.9601464061812248E-3</v>
      </c>
      <c r="I16" s="43">
        <v>2.5666349728691462</v>
      </c>
      <c r="J16" s="42">
        <v>0.70983269471201704</v>
      </c>
      <c r="K16" s="43">
        <v>1.0006597896794684</v>
      </c>
      <c r="L16" s="43">
        <v>40.254143986568323</v>
      </c>
      <c r="M16" s="44">
        <v>2072.1781260066564</v>
      </c>
      <c r="N16" s="44">
        <v>3721.584278029196</v>
      </c>
      <c r="O16" s="45" t="s">
        <v>5074</v>
      </c>
      <c r="P16" s="46">
        <v>4</v>
      </c>
      <c r="Q16" s="43">
        <v>40.254143986568323</v>
      </c>
      <c r="R16" s="43">
        <v>51.302136093313337</v>
      </c>
      <c r="S16" s="47">
        <v>0</v>
      </c>
      <c r="T16" s="48">
        <v>37.918897398693566</v>
      </c>
      <c r="U16" s="48">
        <v>47.762596073181285</v>
      </c>
      <c r="V16" s="48">
        <v>49.69531255589196</v>
      </c>
      <c r="W16" s="48">
        <v>51.302136093313337</v>
      </c>
    </row>
    <row r="17" spans="1:23" ht="13.2" x14ac:dyDescent="0.25">
      <c r="A17" s="41">
        <v>15</v>
      </c>
      <c r="B17" s="42">
        <v>0.73830146609726433</v>
      </c>
      <c r="C17" s="14" t="s">
        <v>5079</v>
      </c>
      <c r="D17" s="42">
        <v>0.71999149477108915</v>
      </c>
      <c r="E17" s="43">
        <v>9.1599744843132669</v>
      </c>
      <c r="F17" s="42">
        <v>0.31496979310874351</v>
      </c>
      <c r="G17" s="43">
        <v>1.4746466772419617</v>
      </c>
      <c r="H17" s="42">
        <v>0.56701027721493047</v>
      </c>
      <c r="I17" s="43">
        <v>0.44515012572543727</v>
      </c>
      <c r="J17" s="42">
        <v>0.25381712813573754</v>
      </c>
      <c r="K17" s="43">
        <v>4.0033320853563303</v>
      </c>
      <c r="L17" s="43">
        <v>44.257476071924657</v>
      </c>
      <c r="M17" s="44">
        <v>63.753422410820335</v>
      </c>
      <c r="N17" s="44">
        <v>114.49968105391584</v>
      </c>
      <c r="O17" s="45" t="s">
        <v>5074</v>
      </c>
      <c r="P17" s="46">
        <v>1</v>
      </c>
      <c r="Q17" s="43">
        <v>44.257476071924657</v>
      </c>
      <c r="R17" s="43">
        <v>45.732122749166621</v>
      </c>
      <c r="S17" s="47">
        <v>0</v>
      </c>
      <c r="T17" s="48">
        <v>45.732122749166621</v>
      </c>
      <c r="U17" s="48">
        <v>47.762596073181285</v>
      </c>
      <c r="V17" s="48">
        <v>49.69531255589196</v>
      </c>
      <c r="W17" s="48">
        <v>51.302136093313337</v>
      </c>
    </row>
    <row r="18" spans="1:23" ht="13.2" x14ac:dyDescent="0.25">
      <c r="A18" s="41">
        <v>16</v>
      </c>
      <c r="B18" s="42">
        <v>0.42734608446589956</v>
      </c>
      <c r="C18" s="14" t="s">
        <v>5077</v>
      </c>
      <c r="D18" s="42">
        <v>0.71338154734735448</v>
      </c>
      <c r="E18" s="43">
        <v>46.420433926126194</v>
      </c>
      <c r="F18" s="42">
        <v>0.8922343011443663</v>
      </c>
      <c r="G18" s="43">
        <v>3.5482724645492958</v>
      </c>
      <c r="H18" s="42">
        <v>0.77224827221233783</v>
      </c>
      <c r="I18" s="43">
        <v>1.3798620961141153</v>
      </c>
      <c r="J18" s="42">
        <v>2.7440187534056693E-2</v>
      </c>
      <c r="K18" s="43">
        <v>10.498530341069472</v>
      </c>
      <c r="L18" s="43">
        <v>54.756006412994125</v>
      </c>
      <c r="M18" s="44">
        <v>323.08622012583828</v>
      </c>
      <c r="N18" s="44">
        <v>580.25542407657747</v>
      </c>
      <c r="O18" s="45" t="s">
        <v>5074</v>
      </c>
      <c r="P18" s="46">
        <v>1</v>
      </c>
      <c r="Q18" s="43">
        <v>54.756006412994125</v>
      </c>
      <c r="R18" s="43">
        <v>58.304278877543425</v>
      </c>
      <c r="S18" s="47">
        <v>0</v>
      </c>
      <c r="T18" s="48">
        <v>58.304278877543425</v>
      </c>
      <c r="U18" s="48">
        <v>47.762596073181285</v>
      </c>
      <c r="V18" s="48">
        <v>49.69531255589196</v>
      </c>
      <c r="W18" s="48">
        <v>51.302136093313337</v>
      </c>
    </row>
    <row r="19" spans="1:23" ht="13.2" x14ac:dyDescent="0.25">
      <c r="A19" s="41">
        <v>17</v>
      </c>
      <c r="B19" s="42">
        <v>0.35029107162276796</v>
      </c>
      <c r="C19" s="14" t="s">
        <v>5077</v>
      </c>
      <c r="D19" s="42">
        <v>0.71812883378850711</v>
      </c>
      <c r="E19" s="43">
        <v>46.463159504096566</v>
      </c>
      <c r="F19" s="42">
        <v>0.86919776064772059</v>
      </c>
      <c r="G19" s="43">
        <v>3.5372149251109057</v>
      </c>
      <c r="H19" s="42">
        <v>0.87467809295033949</v>
      </c>
      <c r="I19" s="43">
        <v>1.4625239840060744</v>
      </c>
      <c r="J19" s="42">
        <v>2.4804109719025021E-2</v>
      </c>
      <c r="K19" s="43">
        <v>10.793418759309525</v>
      </c>
      <c r="L19" s="43">
        <v>65.549425172303643</v>
      </c>
      <c r="M19" s="44">
        <v>323.3835901485121</v>
      </c>
      <c r="N19" s="44">
        <v>580.78949380120707</v>
      </c>
      <c r="O19" s="45" t="s">
        <v>5074</v>
      </c>
      <c r="P19" s="46">
        <v>2</v>
      </c>
      <c r="Q19" s="43">
        <v>65.549425172303643</v>
      </c>
      <c r="R19" s="43">
        <v>69.086640097414545</v>
      </c>
      <c r="S19" s="47">
        <v>0</v>
      </c>
      <c r="T19" s="48">
        <v>58.304278877543425</v>
      </c>
      <c r="U19" s="48">
        <v>69.086640097414545</v>
      </c>
      <c r="V19" s="48">
        <v>49.69531255589196</v>
      </c>
      <c r="W19" s="48">
        <v>51.302136093313337</v>
      </c>
    </row>
    <row r="20" spans="1:23" ht="13.2" x14ac:dyDescent="0.25">
      <c r="A20" s="41">
        <v>18</v>
      </c>
      <c r="B20" s="42">
        <v>0.53286600603389833</v>
      </c>
      <c r="C20" s="14" t="s">
        <v>5076</v>
      </c>
      <c r="D20" s="42">
        <v>0.26082952053324765</v>
      </c>
      <c r="E20" s="43">
        <v>37.608295205332475</v>
      </c>
      <c r="F20" s="42">
        <v>0.72980154991606327</v>
      </c>
      <c r="G20" s="43">
        <v>3.375708712961389</v>
      </c>
      <c r="H20" s="42">
        <v>0.39700998104969504</v>
      </c>
      <c r="I20" s="43">
        <v>0.78874226573267026</v>
      </c>
      <c r="J20" s="42">
        <v>0.5108426895508742</v>
      </c>
      <c r="K20" s="43">
        <v>1.9611491515634019</v>
      </c>
      <c r="L20" s="43">
        <v>67.510574323867047</v>
      </c>
      <c r="M20" s="44">
        <v>261.75373462911404</v>
      </c>
      <c r="N20" s="44">
        <v>470.10369006665593</v>
      </c>
      <c r="O20" s="45" t="s">
        <v>5074</v>
      </c>
      <c r="P20" s="46">
        <v>3</v>
      </c>
      <c r="Q20" s="43">
        <v>67.510574323867047</v>
      </c>
      <c r="R20" s="43">
        <v>70.886283036828431</v>
      </c>
      <c r="S20" s="47">
        <v>0</v>
      </c>
      <c r="T20" s="48">
        <v>58.304278877543425</v>
      </c>
      <c r="U20" s="48">
        <v>69.086640097414545</v>
      </c>
      <c r="V20" s="48">
        <v>70.886283036828431</v>
      </c>
      <c r="W20" s="48">
        <v>51.302136093313337</v>
      </c>
    </row>
    <row r="21" spans="1:23" ht="13.2" x14ac:dyDescent="0.25">
      <c r="A21" s="41">
        <v>19</v>
      </c>
      <c r="B21" s="42">
        <v>0.89996061469426403</v>
      </c>
      <c r="C21" s="14" t="s">
        <v>5075</v>
      </c>
      <c r="D21" s="42">
        <v>0.4143099158137617</v>
      </c>
      <c r="E21" s="43">
        <v>309.00169410696333</v>
      </c>
      <c r="F21" s="42">
        <v>0.68475584764255015</v>
      </c>
      <c r="G21" s="43">
        <v>9.7126641368086748</v>
      </c>
      <c r="H21" s="42">
        <v>0.69943316173713332</v>
      </c>
      <c r="I21" s="43">
        <v>2.7246718910514507</v>
      </c>
      <c r="J21" s="42">
        <v>0.45567644781231714</v>
      </c>
      <c r="K21" s="43">
        <v>2.2948095345537496</v>
      </c>
      <c r="L21" s="43">
        <v>69.805383858420797</v>
      </c>
      <c r="M21" s="44">
        <v>2150.6517909844647</v>
      </c>
      <c r="N21" s="44">
        <v>3862.5211763370417</v>
      </c>
      <c r="O21" s="45" t="s">
        <v>5074</v>
      </c>
      <c r="P21" s="46">
        <v>4</v>
      </c>
      <c r="Q21" s="43">
        <v>69.805383858420797</v>
      </c>
      <c r="R21" s="43">
        <v>79.518047995229466</v>
      </c>
      <c r="S21" s="47">
        <v>0</v>
      </c>
      <c r="T21" s="48">
        <v>58.304278877543425</v>
      </c>
      <c r="U21" s="48">
        <v>69.086640097414545</v>
      </c>
      <c r="V21" s="48">
        <v>70.886283036828431</v>
      </c>
      <c r="W21" s="48">
        <v>79.518047995229466</v>
      </c>
    </row>
    <row r="22" spans="1:23" ht="13.2" x14ac:dyDescent="0.25">
      <c r="A22" s="41">
        <v>20</v>
      </c>
      <c r="B22" s="42">
        <v>0.31143074310916974</v>
      </c>
      <c r="C22" s="14" t="s">
        <v>5077</v>
      </c>
      <c r="D22" s="42">
        <v>0.72980973670715921</v>
      </c>
      <c r="E22" s="43">
        <v>46.568287630364431</v>
      </c>
      <c r="F22" s="42">
        <v>2.4128430068552694E-2</v>
      </c>
      <c r="G22" s="43">
        <v>3.1315816464329056</v>
      </c>
      <c r="H22" s="42">
        <v>0.84719580358229385</v>
      </c>
      <c r="I22" s="43">
        <v>1.437775118671077</v>
      </c>
      <c r="J22" s="42">
        <v>6.7093763531695008E-2</v>
      </c>
      <c r="K22" s="43">
        <v>7.8880706050210563</v>
      </c>
      <c r="L22" s="43">
        <v>77.693454463441853</v>
      </c>
      <c r="M22" s="44">
        <v>324.11528190733645</v>
      </c>
      <c r="N22" s="44">
        <v>582.10359537955537</v>
      </c>
      <c r="O22" s="45" t="s">
        <v>5074</v>
      </c>
      <c r="P22" s="46">
        <v>1</v>
      </c>
      <c r="Q22" s="43">
        <v>77.693454463441853</v>
      </c>
      <c r="R22" s="43">
        <v>80.825036109874759</v>
      </c>
      <c r="S22" s="47">
        <v>0</v>
      </c>
      <c r="T22" s="48">
        <v>80.825036109874759</v>
      </c>
      <c r="U22" s="48">
        <v>69.086640097414545</v>
      </c>
      <c r="V22" s="48">
        <v>70.886283036828431</v>
      </c>
      <c r="W22" s="48">
        <v>79.518047995229466</v>
      </c>
    </row>
    <row r="23" spans="1:23" ht="13.2" x14ac:dyDescent="0.25">
      <c r="A23" s="41">
        <v>21</v>
      </c>
      <c r="B23" s="42">
        <v>0.71887854054517975</v>
      </c>
      <c r="C23" s="14" t="s">
        <v>5079</v>
      </c>
      <c r="D23" s="42">
        <v>0.77483691124936427</v>
      </c>
      <c r="E23" s="43">
        <v>9.3245107337480917</v>
      </c>
      <c r="F23" s="42">
        <v>0.8818332938858463</v>
      </c>
      <c r="G23" s="43">
        <v>1.5370016623274432</v>
      </c>
      <c r="H23" s="42">
        <v>3.5641284210440369E-2</v>
      </c>
      <c r="I23" s="43">
        <v>0.25970032178342123</v>
      </c>
      <c r="J23" s="42">
        <v>0.28073632916469887</v>
      </c>
      <c r="K23" s="43">
        <v>3.7090200891406044</v>
      </c>
      <c r="L23" s="43">
        <v>81.402474552582461</v>
      </c>
      <c r="M23" s="44">
        <v>64.898594706886712</v>
      </c>
      <c r="N23" s="44">
        <v>116.55638417185115</v>
      </c>
      <c r="O23" s="45" t="s">
        <v>5074</v>
      </c>
      <c r="P23" s="46">
        <v>2</v>
      </c>
      <c r="Q23" s="43">
        <v>81.402474552582461</v>
      </c>
      <c r="R23" s="43">
        <v>82.939476214909902</v>
      </c>
      <c r="S23" s="47">
        <v>0</v>
      </c>
      <c r="T23" s="48">
        <v>80.825036109874759</v>
      </c>
      <c r="U23" s="48">
        <v>82.939476214909902</v>
      </c>
      <c r="V23" s="48">
        <v>70.886283036828431</v>
      </c>
      <c r="W23" s="48">
        <v>79.518047995229466</v>
      </c>
    </row>
    <row r="24" spans="1:23" ht="13.2" x14ac:dyDescent="0.25">
      <c r="A24" s="41">
        <v>22</v>
      </c>
      <c r="B24" s="42">
        <v>0.11043881630079766</v>
      </c>
      <c r="C24" s="14" t="s">
        <v>5073</v>
      </c>
      <c r="D24" s="42">
        <v>0.64283903112767216</v>
      </c>
      <c r="E24" s="43">
        <v>357.14068373532064</v>
      </c>
      <c r="F24" s="42">
        <v>0.11042373446301731</v>
      </c>
      <c r="G24" s="43">
        <v>8.7256262888692451</v>
      </c>
      <c r="H24" s="42">
        <v>0.53874299979710161</v>
      </c>
      <c r="I24" s="43">
        <v>3.3989518895333903</v>
      </c>
      <c r="J24" s="42">
        <v>0.66387321644643005</v>
      </c>
      <c r="K24" s="43">
        <v>1.1960995235725345</v>
      </c>
      <c r="L24" s="43">
        <v>82.598574076154989</v>
      </c>
      <c r="M24" s="44">
        <v>2485.6991587978314</v>
      </c>
      <c r="N24" s="44">
        <v>4464.2585466915079</v>
      </c>
      <c r="O24" s="45" t="s">
        <v>5074</v>
      </c>
      <c r="P24" s="46">
        <v>3</v>
      </c>
      <c r="Q24" s="43">
        <v>82.598574076154989</v>
      </c>
      <c r="R24" s="43">
        <v>91.32420036502424</v>
      </c>
      <c r="S24" s="47">
        <v>0</v>
      </c>
      <c r="T24" s="48">
        <v>80.825036109874759</v>
      </c>
      <c r="U24" s="48">
        <v>82.939476214909902</v>
      </c>
      <c r="V24" s="48">
        <v>91.32420036502424</v>
      </c>
      <c r="W24" s="48">
        <v>79.518047995229466</v>
      </c>
    </row>
    <row r="25" spans="1:23" ht="13.2" x14ac:dyDescent="0.25">
      <c r="A25" s="41">
        <v>23</v>
      </c>
      <c r="B25" s="42">
        <v>3.7741439900240599E-2</v>
      </c>
      <c r="C25" s="14" t="s">
        <v>5073</v>
      </c>
      <c r="D25" s="42">
        <v>4.2385893893607841E-2</v>
      </c>
      <c r="E25" s="43">
        <v>285.08630726723294</v>
      </c>
      <c r="F25" s="42">
        <v>0.85216920350313619</v>
      </c>
      <c r="G25" s="43">
        <v>11.047289606964817</v>
      </c>
      <c r="H25" s="42">
        <v>0.41559700361247964</v>
      </c>
      <c r="I25" s="43">
        <v>3.2895539914525918</v>
      </c>
      <c r="J25" s="42">
        <v>7.4574008618748758E-2</v>
      </c>
      <c r="K25" s="43">
        <v>7.5794547223871795</v>
      </c>
      <c r="L25" s="43">
        <v>90.178028798542172</v>
      </c>
      <c r="M25" s="44">
        <v>1984.2006985799412</v>
      </c>
      <c r="N25" s="44">
        <v>3563.5788408404119</v>
      </c>
      <c r="O25" s="45" t="s">
        <v>5074</v>
      </c>
      <c r="P25" s="46">
        <v>4</v>
      </c>
      <c r="Q25" s="43">
        <v>90.178028798542172</v>
      </c>
      <c r="R25" s="43">
        <v>101.22531840550698</v>
      </c>
      <c r="S25" s="47">
        <v>0</v>
      </c>
      <c r="T25" s="48">
        <v>80.825036109874759</v>
      </c>
      <c r="U25" s="48">
        <v>82.939476214909902</v>
      </c>
      <c r="V25" s="48">
        <v>91.32420036502424</v>
      </c>
      <c r="W25" s="48">
        <v>101.22531840550698</v>
      </c>
    </row>
    <row r="26" spans="1:23" ht="13.2" x14ac:dyDescent="0.25">
      <c r="A26" s="41">
        <v>24</v>
      </c>
      <c r="B26" s="42">
        <v>0.77383206867325682</v>
      </c>
      <c r="C26" s="14" t="s">
        <v>5078</v>
      </c>
      <c r="D26" s="42">
        <v>0.29624429871153285</v>
      </c>
      <c r="E26" s="43">
        <v>181.84977194846132</v>
      </c>
      <c r="F26" s="42">
        <v>0.51344876015253771</v>
      </c>
      <c r="G26" s="43">
        <v>5.8872383717388095</v>
      </c>
      <c r="H26" s="42">
        <v>0.76962884877325444</v>
      </c>
      <c r="I26" s="43">
        <v>3.5705421918665183</v>
      </c>
      <c r="J26" s="42">
        <v>0.93164024731686346</v>
      </c>
      <c r="K26" s="43">
        <v>0.20674026145104937</v>
      </c>
      <c r="L26" s="43">
        <v>90.384769059993218</v>
      </c>
      <c r="M26" s="44">
        <v>1265.6744127612908</v>
      </c>
      <c r="N26" s="44">
        <v>2273.1221493557664</v>
      </c>
      <c r="O26" s="45" t="s">
        <v>5074</v>
      </c>
      <c r="P26" s="46">
        <v>1</v>
      </c>
      <c r="Q26" s="43">
        <v>90.384769059993218</v>
      </c>
      <c r="R26" s="43">
        <v>96.272007431732021</v>
      </c>
      <c r="S26" s="47">
        <v>0</v>
      </c>
      <c r="T26" s="48">
        <v>96.272007431732021</v>
      </c>
      <c r="U26" s="48">
        <v>82.939476214909902</v>
      </c>
      <c r="V26" s="48">
        <v>91.32420036502424</v>
      </c>
      <c r="W26" s="48">
        <v>101.22531840550698</v>
      </c>
    </row>
    <row r="27" spans="1:23" ht="13.2" x14ac:dyDescent="0.25">
      <c r="A27" s="41">
        <v>25</v>
      </c>
      <c r="B27" s="42">
        <v>0.95480104813110134</v>
      </c>
      <c r="C27" s="14" t="s">
        <v>5080</v>
      </c>
      <c r="D27" s="42">
        <v>0.68677636733594183</v>
      </c>
      <c r="E27" s="43">
        <v>102.16940918339854</v>
      </c>
      <c r="F27" s="42">
        <v>0.90497580445603276</v>
      </c>
      <c r="G27" s="43">
        <v>4.6986869344062576</v>
      </c>
      <c r="H27" s="42">
        <v>0.32304812377460679</v>
      </c>
      <c r="I27" s="43">
        <v>1.8820478709265456</v>
      </c>
      <c r="J27" s="42">
        <v>0.15036187327949418</v>
      </c>
      <c r="K27" s="43">
        <v>5.5320011729474947</v>
      </c>
      <c r="L27" s="43">
        <v>95.916770232940706</v>
      </c>
      <c r="M27" s="44">
        <v>711.09908791645387</v>
      </c>
      <c r="N27" s="44">
        <v>1277.1176147924818</v>
      </c>
      <c r="O27" s="45" t="s">
        <v>5074</v>
      </c>
      <c r="P27" s="46">
        <v>2</v>
      </c>
      <c r="Q27" s="43">
        <v>95.916770232940706</v>
      </c>
      <c r="R27" s="43">
        <v>100.61545716734696</v>
      </c>
      <c r="S27" s="47">
        <v>0</v>
      </c>
      <c r="T27" s="48">
        <v>96.272007431732021</v>
      </c>
      <c r="U27" s="48">
        <v>100.61545716734696</v>
      </c>
      <c r="V27" s="48">
        <v>91.32420036502424</v>
      </c>
      <c r="W27" s="48">
        <v>101.22531840550698</v>
      </c>
    </row>
    <row r="28" spans="1:23" ht="13.2" x14ac:dyDescent="0.25">
      <c r="A28" s="41">
        <v>26</v>
      </c>
      <c r="B28" s="42">
        <v>0.56925649594946603</v>
      </c>
      <c r="C28" s="14" t="s">
        <v>5076</v>
      </c>
      <c r="D28" s="42">
        <v>0.14105623082306992</v>
      </c>
      <c r="E28" s="43">
        <v>36.410562308230702</v>
      </c>
      <c r="F28" s="42">
        <v>9.4746716364634553E-2</v>
      </c>
      <c r="G28" s="43">
        <v>3.0835834895277321</v>
      </c>
      <c r="H28" s="42">
        <v>0.75019278924455535</v>
      </c>
      <c r="I28" s="43">
        <v>0.93552690304773056</v>
      </c>
      <c r="J28" s="42">
        <v>0.12465323932685575</v>
      </c>
      <c r="K28" s="43">
        <v>6.0794729400605183</v>
      </c>
      <c r="L28" s="43">
        <v>101.99624317300122</v>
      </c>
      <c r="M28" s="44">
        <v>253.4175136652857</v>
      </c>
      <c r="N28" s="44">
        <v>455.13202885288376</v>
      </c>
      <c r="O28" s="45" t="s">
        <v>5074</v>
      </c>
      <c r="P28" s="46">
        <v>3</v>
      </c>
      <c r="Q28" s="43">
        <v>101.99624317300122</v>
      </c>
      <c r="R28" s="43">
        <v>105.07982666252894</v>
      </c>
      <c r="S28" s="47">
        <v>0</v>
      </c>
      <c r="T28" s="48">
        <v>96.272007431732021</v>
      </c>
      <c r="U28" s="48">
        <v>100.61545716734696</v>
      </c>
      <c r="V28" s="48">
        <v>105.07982666252894</v>
      </c>
      <c r="W28" s="48">
        <v>101.22531840550698</v>
      </c>
    </row>
    <row r="29" spans="1:23" ht="13.2" x14ac:dyDescent="0.25">
      <c r="A29" s="41">
        <v>27</v>
      </c>
      <c r="B29" s="42">
        <v>0.90532648046749009</v>
      </c>
      <c r="C29" s="14" t="s">
        <v>5075</v>
      </c>
      <c r="D29" s="42">
        <v>3.2036094941215634E-2</v>
      </c>
      <c r="E29" s="43">
        <v>282.24252664588511</v>
      </c>
      <c r="F29" s="42">
        <v>0.3530679728617277</v>
      </c>
      <c r="G29" s="43">
        <v>9.0526052659948384</v>
      </c>
      <c r="H29" s="42">
        <v>0.93966361318699254</v>
      </c>
      <c r="I29" s="43">
        <v>3.1526201306551935</v>
      </c>
      <c r="J29" s="42">
        <v>4.7876024641038864E-2</v>
      </c>
      <c r="K29" s="43">
        <v>8.8734027132454525</v>
      </c>
      <c r="L29" s="43">
        <v>110.86964588624667</v>
      </c>
      <c r="M29" s="44">
        <v>1964.4079854553604</v>
      </c>
      <c r="N29" s="44">
        <v>3528.031583073564</v>
      </c>
      <c r="O29" s="45" t="s">
        <v>5074</v>
      </c>
      <c r="P29" s="46">
        <v>1</v>
      </c>
      <c r="Q29" s="43">
        <v>110.86964588624667</v>
      </c>
      <c r="R29" s="43">
        <v>119.92225115224151</v>
      </c>
      <c r="S29" s="47">
        <v>0</v>
      </c>
      <c r="T29" s="48">
        <v>119.92225115224151</v>
      </c>
      <c r="U29" s="48">
        <v>100.61545716734696</v>
      </c>
      <c r="V29" s="48">
        <v>105.07982666252894</v>
      </c>
      <c r="W29" s="48">
        <v>101.22531840550698</v>
      </c>
    </row>
    <row r="30" spans="1:23" ht="13.2" x14ac:dyDescent="0.25">
      <c r="A30" s="41">
        <v>28</v>
      </c>
      <c r="B30" s="42">
        <v>0.31205157111960069</v>
      </c>
      <c r="C30" s="14" t="s">
        <v>5077</v>
      </c>
      <c r="D30" s="42">
        <v>0.11355379927603239</v>
      </c>
      <c r="E30" s="43">
        <v>41.021984193484293</v>
      </c>
      <c r="F30" s="42">
        <v>0.60987588372541401</v>
      </c>
      <c r="G30" s="43">
        <v>3.4127404241881987</v>
      </c>
      <c r="H30" s="42">
        <v>0.12749399064457695</v>
      </c>
      <c r="I30" s="43">
        <v>1.014237803928363</v>
      </c>
      <c r="J30" s="42">
        <v>0.40691361036473589</v>
      </c>
      <c r="K30" s="43">
        <v>2.6252682499734048</v>
      </c>
      <c r="L30" s="43">
        <v>113.49491413622007</v>
      </c>
      <c r="M30" s="44">
        <v>285.51300998665067</v>
      </c>
      <c r="N30" s="44">
        <v>512.77480241855369</v>
      </c>
      <c r="O30" s="45" t="s">
        <v>5074</v>
      </c>
      <c r="P30" s="46">
        <v>2</v>
      </c>
      <c r="Q30" s="43">
        <v>113.49491413622007</v>
      </c>
      <c r="R30" s="43">
        <v>116.90765456040828</v>
      </c>
      <c r="S30" s="47">
        <v>0</v>
      </c>
      <c r="T30" s="48">
        <v>119.92225115224151</v>
      </c>
      <c r="U30" s="48">
        <v>116.90765456040828</v>
      </c>
      <c r="V30" s="48">
        <v>105.07982666252894</v>
      </c>
      <c r="W30" s="48">
        <v>101.22531840550698</v>
      </c>
    </row>
    <row r="31" spans="1:23" ht="13.2" x14ac:dyDescent="0.25">
      <c r="A31" s="41">
        <v>29</v>
      </c>
      <c r="B31" s="42">
        <v>0.34942830789341978</v>
      </c>
      <c r="C31" s="14" t="s">
        <v>5077</v>
      </c>
      <c r="D31" s="42">
        <v>0.6263322404708398</v>
      </c>
      <c r="E31" s="43">
        <v>45.636990164237559</v>
      </c>
      <c r="F31" s="42">
        <v>0.14470567048746424</v>
      </c>
      <c r="G31" s="43">
        <v>3.1894587218339829</v>
      </c>
      <c r="H31" s="42">
        <v>0.67830409234310696</v>
      </c>
      <c r="I31" s="43">
        <v>1.3195224599984883</v>
      </c>
      <c r="J31" s="42">
        <v>0.59144335593629782</v>
      </c>
      <c r="K31" s="43">
        <v>1.5333996016660152</v>
      </c>
      <c r="L31" s="43">
        <v>115.02831373788609</v>
      </c>
      <c r="M31" s="44">
        <v>317.63345154309343</v>
      </c>
      <c r="N31" s="44">
        <v>570.46237705296949</v>
      </c>
      <c r="O31" s="45" t="s">
        <v>5074</v>
      </c>
      <c r="P31" s="46">
        <v>4</v>
      </c>
      <c r="Q31" s="43">
        <v>115.02831373788609</v>
      </c>
      <c r="R31" s="43">
        <v>118.21777245972008</v>
      </c>
      <c r="S31" s="47">
        <v>0</v>
      </c>
      <c r="T31" s="48">
        <v>119.92225115224151</v>
      </c>
      <c r="U31" s="48">
        <v>116.90765456040828</v>
      </c>
      <c r="V31" s="48">
        <v>105.07982666252894</v>
      </c>
      <c r="W31" s="48">
        <v>118.21777245972008</v>
      </c>
    </row>
    <row r="32" spans="1:23" ht="13.2" x14ac:dyDescent="0.25">
      <c r="A32" s="41">
        <v>30</v>
      </c>
      <c r="B32" s="42">
        <v>0.72417581208244708</v>
      </c>
      <c r="C32" s="14" t="s">
        <v>5079</v>
      </c>
      <c r="D32" s="42">
        <v>0.21574248104157973</v>
      </c>
      <c r="E32" s="43">
        <v>7.6472274431247396</v>
      </c>
      <c r="F32" s="42">
        <v>0.22539168141102031</v>
      </c>
      <c r="G32" s="43">
        <v>1.4647930849552122</v>
      </c>
      <c r="H32" s="42">
        <v>0.56063662448927598</v>
      </c>
      <c r="I32" s="43">
        <v>0.44328127001208384</v>
      </c>
      <c r="J32" s="42">
        <v>0.14951395809162127</v>
      </c>
      <c r="K32" s="43">
        <v>5.548512482768774</v>
      </c>
      <c r="L32" s="43">
        <v>120.57682622065487</v>
      </c>
      <c r="M32" s="44">
        <v>53.224703004148189</v>
      </c>
      <c r="N32" s="44">
        <v>95.590343039059249</v>
      </c>
      <c r="O32" s="45" t="s">
        <v>5074</v>
      </c>
      <c r="P32" s="46">
        <v>3</v>
      </c>
      <c r="Q32" s="43">
        <v>120.57682622065487</v>
      </c>
      <c r="R32" s="43">
        <v>122.04161930561008</v>
      </c>
      <c r="S32" s="47">
        <v>0</v>
      </c>
      <c r="T32" s="48">
        <v>119.92225115224151</v>
      </c>
      <c r="U32" s="48">
        <v>116.90765456040828</v>
      </c>
      <c r="V32" s="48">
        <v>122.04161930561008</v>
      </c>
      <c r="W32" s="48">
        <v>118.21777245972008</v>
      </c>
    </row>
    <row r="33" spans="1:23" ht="13.2" x14ac:dyDescent="0.25">
      <c r="A33" s="41">
        <v>31</v>
      </c>
      <c r="B33" s="42">
        <v>0.19322840179932696</v>
      </c>
      <c r="C33" s="14" t="s">
        <v>5073</v>
      </c>
      <c r="D33" s="42">
        <v>0.97764097059967037</v>
      </c>
      <c r="E33" s="43">
        <v>397.31691647196044</v>
      </c>
      <c r="F33" s="42">
        <v>0.30872336230646974</v>
      </c>
      <c r="G33" s="43">
        <v>9.3463041240192517</v>
      </c>
      <c r="H33" s="42">
        <v>0.2267791224768288</v>
      </c>
      <c r="I33" s="43">
        <v>3.0832398166408423</v>
      </c>
      <c r="J33" s="42">
        <v>0.9909766893791857</v>
      </c>
      <c r="K33" s="43">
        <v>2.6465013870110635E-2</v>
      </c>
      <c r="L33" s="43">
        <v>120.60329123452497</v>
      </c>
      <c r="M33" s="44">
        <v>2765.3257386448445</v>
      </c>
      <c r="N33" s="44">
        <v>4966.4614558995054</v>
      </c>
      <c r="O33" s="45" t="s">
        <v>5074</v>
      </c>
      <c r="P33" s="46">
        <v>2</v>
      </c>
      <c r="Q33" s="43">
        <v>120.60329123452497</v>
      </c>
      <c r="R33" s="43">
        <v>129.94959535854423</v>
      </c>
      <c r="S33" s="47">
        <v>0</v>
      </c>
      <c r="T33" s="48">
        <v>119.92225115224151</v>
      </c>
      <c r="U33" s="48">
        <v>129.94959535854423</v>
      </c>
      <c r="V33" s="48">
        <v>122.04161930561008</v>
      </c>
      <c r="W33" s="48">
        <v>118.21777245972008</v>
      </c>
    </row>
    <row r="34" spans="1:23" ht="13.2" x14ac:dyDescent="0.25">
      <c r="A34" s="41">
        <v>32</v>
      </c>
      <c r="B34" s="42">
        <v>0.94602483508457658</v>
      </c>
      <c r="C34" s="14" t="s">
        <v>5080</v>
      </c>
      <c r="D34" s="42">
        <v>0.46075510068831738</v>
      </c>
      <c r="E34" s="43">
        <v>96.51887751720794</v>
      </c>
      <c r="F34" s="42">
        <v>0.85610916738217191</v>
      </c>
      <c r="G34" s="43">
        <v>4.6722989503863728</v>
      </c>
      <c r="H34" s="42">
        <v>0.58397275562583129</v>
      </c>
      <c r="I34" s="43">
        <v>2.1346393584906327</v>
      </c>
      <c r="J34" s="42">
        <v>0.72319403277858818</v>
      </c>
      <c r="K34" s="43">
        <v>0.94621232430368707</v>
      </c>
      <c r="L34" s="43">
        <v>121.54950355882866</v>
      </c>
      <c r="M34" s="44">
        <v>671.77138751976725</v>
      </c>
      <c r="N34" s="44">
        <v>1206.4859689650993</v>
      </c>
      <c r="O34" s="45" t="s">
        <v>5074</v>
      </c>
      <c r="P34" s="46">
        <v>4</v>
      </c>
      <c r="Q34" s="43">
        <v>121.54950355882866</v>
      </c>
      <c r="R34" s="43">
        <v>126.22180250921504</v>
      </c>
      <c r="S34" s="47">
        <v>0</v>
      </c>
      <c r="T34" s="48">
        <v>119.92225115224151</v>
      </c>
      <c r="U34" s="48">
        <v>129.94959535854423</v>
      </c>
      <c r="V34" s="48">
        <v>122.04161930561008</v>
      </c>
      <c r="W34" s="48">
        <v>126.22180250921504</v>
      </c>
    </row>
    <row r="35" spans="1:23" ht="13.2" x14ac:dyDescent="0.25">
      <c r="A35" s="41">
        <v>33</v>
      </c>
      <c r="B35" s="42">
        <v>1.9546725330663251E-2</v>
      </c>
      <c r="C35" s="14" t="s">
        <v>5073</v>
      </c>
      <c r="D35" s="42">
        <v>0.48511696815729</v>
      </c>
      <c r="E35" s="43">
        <v>338.21403617887478</v>
      </c>
      <c r="F35" s="42">
        <v>0.79355795904694026</v>
      </c>
      <c r="G35" s="43">
        <v>10.863836411816923</v>
      </c>
      <c r="H35" s="42">
        <v>0.5339185542119288</v>
      </c>
      <c r="I35" s="43">
        <v>3.3949177790824661</v>
      </c>
      <c r="J35" s="42">
        <v>0.25358555664009674</v>
      </c>
      <c r="K35" s="43">
        <v>4.0059971134390917</v>
      </c>
      <c r="L35" s="43">
        <v>125.55550067226775</v>
      </c>
      <c r="M35" s="44">
        <v>2353.9696918049685</v>
      </c>
      <c r="N35" s="44">
        <v>4227.6754522359352</v>
      </c>
      <c r="O35" s="45" t="s">
        <v>5074</v>
      </c>
      <c r="P35" s="46">
        <v>1</v>
      </c>
      <c r="Q35" s="43">
        <v>125.55550067226775</v>
      </c>
      <c r="R35" s="43">
        <v>136.41933708408467</v>
      </c>
      <c r="S35" s="47">
        <v>0</v>
      </c>
      <c r="T35" s="48">
        <v>136.41933708408467</v>
      </c>
      <c r="U35" s="48">
        <v>129.94959535854423</v>
      </c>
      <c r="V35" s="48">
        <v>122.04161930561008</v>
      </c>
      <c r="W35" s="48">
        <v>126.22180250921504</v>
      </c>
    </row>
    <row r="36" spans="1:23" ht="13.2" x14ac:dyDescent="0.25">
      <c r="A36" s="41">
        <v>34</v>
      </c>
      <c r="B36" s="42">
        <v>0.97080230292435843</v>
      </c>
      <c r="C36" s="14" t="s">
        <v>5080</v>
      </c>
      <c r="D36" s="42">
        <v>0.17541111361953016</v>
      </c>
      <c r="E36" s="43">
        <v>89.385277840488257</v>
      </c>
      <c r="F36" s="42">
        <v>0.65603349434958469</v>
      </c>
      <c r="G36" s="43">
        <v>4.5642580869487759</v>
      </c>
      <c r="H36" s="42">
        <v>0.62431818834707054</v>
      </c>
      <c r="I36" s="43">
        <v>2.1776696156803683</v>
      </c>
      <c r="J36" s="42">
        <v>0.70459435354200861</v>
      </c>
      <c r="K36" s="43">
        <v>1.0222862096763952</v>
      </c>
      <c r="L36" s="43">
        <v>126.57778688194415</v>
      </c>
      <c r="M36" s="44">
        <v>622.12153376979825</v>
      </c>
      <c r="N36" s="44">
        <v>1117.3159730061031</v>
      </c>
      <c r="O36" s="45" t="s">
        <v>5074</v>
      </c>
      <c r="P36" s="46">
        <v>3</v>
      </c>
      <c r="Q36" s="43">
        <v>126.57778688194415</v>
      </c>
      <c r="R36" s="43">
        <v>131.14204496889292</v>
      </c>
      <c r="S36" s="47">
        <v>0</v>
      </c>
      <c r="T36" s="48">
        <v>136.41933708408467</v>
      </c>
      <c r="U36" s="48">
        <v>129.94959535854423</v>
      </c>
      <c r="V36" s="48">
        <v>131.14204496889292</v>
      </c>
      <c r="W36" s="48">
        <v>126.22180250921504</v>
      </c>
    </row>
    <row r="37" spans="1:23" ht="13.2" x14ac:dyDescent="0.25">
      <c r="A37" s="41">
        <v>35</v>
      </c>
      <c r="B37" s="42">
        <v>0.3884654577767781</v>
      </c>
      <c r="C37" s="14" t="s">
        <v>5077</v>
      </c>
      <c r="D37" s="42">
        <v>0.93824183751747092</v>
      </c>
      <c r="E37" s="43">
        <v>48.444176537657242</v>
      </c>
      <c r="F37" s="42">
        <v>0.46672971428685345</v>
      </c>
      <c r="G37" s="43">
        <v>3.3440302628576899</v>
      </c>
      <c r="H37" s="42">
        <v>0.74980927060815006</v>
      </c>
      <c r="I37" s="43">
        <v>1.3644618826029857</v>
      </c>
      <c r="J37" s="42">
        <v>0.74829497688836188</v>
      </c>
      <c r="K37" s="43">
        <v>0.84659277260142063</v>
      </c>
      <c r="L37" s="43">
        <v>127.42437965454558</v>
      </c>
      <c r="M37" s="44">
        <v>337.17146870209439</v>
      </c>
      <c r="N37" s="44">
        <v>605.5522067207155</v>
      </c>
      <c r="O37" s="45" t="s">
        <v>5074</v>
      </c>
      <c r="P37" s="46">
        <v>4</v>
      </c>
      <c r="Q37" s="43">
        <v>127.42437965454558</v>
      </c>
      <c r="R37" s="43">
        <v>130.76840991740326</v>
      </c>
      <c r="S37" s="47">
        <v>0</v>
      </c>
      <c r="T37" s="48">
        <v>136.41933708408467</v>
      </c>
      <c r="U37" s="48">
        <v>129.94959535854423</v>
      </c>
      <c r="V37" s="48">
        <v>131.14204496889292</v>
      </c>
      <c r="W37" s="48">
        <v>130.76840991740326</v>
      </c>
    </row>
    <row r="38" spans="1:23" ht="13.2" x14ac:dyDescent="0.25">
      <c r="A38" s="41">
        <v>36</v>
      </c>
      <c r="B38" s="42">
        <v>0.1685410464036004</v>
      </c>
      <c r="C38" s="14" t="s">
        <v>5073</v>
      </c>
      <c r="D38" s="42">
        <v>0.2574008988483813</v>
      </c>
      <c r="E38" s="43">
        <v>310.88810786180574</v>
      </c>
      <c r="F38" s="42">
        <v>0.70329154781219161</v>
      </c>
      <c r="G38" s="43">
        <v>10.581302544652161</v>
      </c>
      <c r="H38" s="42">
        <v>0.83575803406339044</v>
      </c>
      <c r="I38" s="43">
        <v>3.6490278152724107</v>
      </c>
      <c r="J38" s="42">
        <v>0.61378531093419775</v>
      </c>
      <c r="K38" s="43">
        <v>1.4251388859504495</v>
      </c>
      <c r="L38" s="43">
        <v>128.84951854049604</v>
      </c>
      <c r="M38" s="44">
        <v>2167.7954416261623</v>
      </c>
      <c r="N38" s="44">
        <v>3886.1013482725716</v>
      </c>
      <c r="O38" s="45" t="s">
        <v>5074</v>
      </c>
      <c r="P38" s="46">
        <v>2</v>
      </c>
      <c r="Q38" s="43">
        <v>129.94959535854423</v>
      </c>
      <c r="R38" s="43">
        <v>140.53089790319638</v>
      </c>
      <c r="S38" s="43">
        <v>1.1000768180481941</v>
      </c>
      <c r="T38" s="48">
        <v>136.41933708408467</v>
      </c>
      <c r="U38" s="48">
        <v>140.53089790319638</v>
      </c>
      <c r="V38" s="48">
        <v>131.14204496889292</v>
      </c>
      <c r="W38" s="48">
        <v>130.76840991740326</v>
      </c>
    </row>
    <row r="39" spans="1:23" ht="13.2" x14ac:dyDescent="0.25">
      <c r="A39" s="41">
        <v>37</v>
      </c>
      <c r="B39" s="42">
        <v>0.46681869144868976</v>
      </c>
      <c r="C39" s="14" t="s">
        <v>5077</v>
      </c>
      <c r="D39" s="42">
        <v>0.85451957623219099</v>
      </c>
      <c r="E39" s="43">
        <v>47.690676186089718</v>
      </c>
      <c r="F39" s="42">
        <v>0.66976383359626113</v>
      </c>
      <c r="G39" s="43">
        <v>3.4414866401262056</v>
      </c>
      <c r="H39" s="42">
        <v>0.11725276248401625</v>
      </c>
      <c r="I39" s="43">
        <v>1.0054531442792878</v>
      </c>
      <c r="J39" s="42">
        <v>0.62660965306060834</v>
      </c>
      <c r="K39" s="43">
        <v>1.3647634894122926</v>
      </c>
      <c r="L39" s="43">
        <v>130.21428202990833</v>
      </c>
      <c r="M39" s="44">
        <v>332.48425588199905</v>
      </c>
      <c r="N39" s="44">
        <v>596.13345232612141</v>
      </c>
      <c r="O39" s="45" t="s">
        <v>5074</v>
      </c>
      <c r="P39" s="46">
        <v>4</v>
      </c>
      <c r="Q39" s="43">
        <v>130.76840991740326</v>
      </c>
      <c r="R39" s="43">
        <v>134.20989655752948</v>
      </c>
      <c r="S39" s="43">
        <v>0.55412788749492847</v>
      </c>
      <c r="T39" s="48">
        <v>136.41933708408467</v>
      </c>
      <c r="U39" s="48">
        <v>140.53089790319638</v>
      </c>
      <c r="V39" s="48">
        <v>131.14204496889292</v>
      </c>
      <c r="W39" s="48">
        <v>134.20989655752948</v>
      </c>
    </row>
    <row r="40" spans="1:23" ht="13.2" x14ac:dyDescent="0.25">
      <c r="A40" s="41">
        <v>38</v>
      </c>
      <c r="B40" s="42">
        <v>0.90489665507566963</v>
      </c>
      <c r="C40" s="14" t="s">
        <v>5075</v>
      </c>
      <c r="D40" s="42">
        <v>0.57692577483920648</v>
      </c>
      <c r="E40" s="43">
        <v>320.38480423874444</v>
      </c>
      <c r="F40" s="42">
        <v>0.84750017609796491</v>
      </c>
      <c r="G40" s="43">
        <v>10.03652535043495</v>
      </c>
      <c r="H40" s="42">
        <v>0.70275541101710659</v>
      </c>
      <c r="I40" s="43">
        <v>2.7289687568160503</v>
      </c>
      <c r="J40" s="42">
        <v>0.42265919522506146</v>
      </c>
      <c r="K40" s="43">
        <v>2.5144207583113256</v>
      </c>
      <c r="L40" s="43">
        <v>132.72870278821966</v>
      </c>
      <c r="M40" s="44">
        <v>2229.8782375016613</v>
      </c>
      <c r="N40" s="44">
        <v>4004.8100529843055</v>
      </c>
      <c r="O40" s="45" t="s">
        <v>5074</v>
      </c>
      <c r="P40" s="46">
        <v>3</v>
      </c>
      <c r="Q40" s="43">
        <v>132.72870278821966</v>
      </c>
      <c r="R40" s="43">
        <v>142.76522813865461</v>
      </c>
      <c r="S40" s="47">
        <v>0</v>
      </c>
      <c r="T40" s="48">
        <v>136.41933708408467</v>
      </c>
      <c r="U40" s="48">
        <v>140.53089790319638</v>
      </c>
      <c r="V40" s="48">
        <v>142.76522813865461</v>
      </c>
      <c r="W40" s="48">
        <v>134.20989655752948</v>
      </c>
    </row>
    <row r="41" spans="1:23" ht="13.2" x14ac:dyDescent="0.25">
      <c r="A41" s="41">
        <v>39</v>
      </c>
      <c r="B41" s="42">
        <v>0.26906794135881024</v>
      </c>
      <c r="C41" s="14" t="s">
        <v>5077</v>
      </c>
      <c r="D41" s="42">
        <v>0.78722621956245331</v>
      </c>
      <c r="E41" s="43">
        <v>47.08503597606208</v>
      </c>
      <c r="F41" s="42">
        <v>0.19525313852133841</v>
      </c>
      <c r="G41" s="43">
        <v>3.2137215064902427</v>
      </c>
      <c r="H41" s="42">
        <v>0.20253317672877255</v>
      </c>
      <c r="I41" s="43">
        <v>1.0700221169133339</v>
      </c>
      <c r="J41" s="42">
        <v>8.1304060333084339E-3</v>
      </c>
      <c r="K41" s="43">
        <v>14.05005668342524</v>
      </c>
      <c r="L41" s="43">
        <v>146.77875947164489</v>
      </c>
      <c r="M41" s="44">
        <v>327.71185039339207</v>
      </c>
      <c r="N41" s="44">
        <v>588.56294970077602</v>
      </c>
      <c r="O41" s="45" t="s">
        <v>5074</v>
      </c>
      <c r="P41" s="46">
        <v>4</v>
      </c>
      <c r="Q41" s="43">
        <v>146.77875947164489</v>
      </c>
      <c r="R41" s="43">
        <v>149.99248097813512</v>
      </c>
      <c r="S41" s="47">
        <v>0</v>
      </c>
      <c r="T41" s="48">
        <v>136.41933708408467</v>
      </c>
      <c r="U41" s="48">
        <v>140.53089790319638</v>
      </c>
      <c r="V41" s="48">
        <v>142.76522813865461</v>
      </c>
      <c r="W41" s="48">
        <v>149.99248097813512</v>
      </c>
    </row>
    <row r="42" spans="1:23" ht="13.2" x14ac:dyDescent="0.25">
      <c r="A42" s="41">
        <v>40</v>
      </c>
      <c r="B42" s="42">
        <v>0.73623853863041777</v>
      </c>
      <c r="C42" s="14" t="s">
        <v>5079</v>
      </c>
      <c r="D42" s="42">
        <v>0.92564974209556805</v>
      </c>
      <c r="E42" s="43">
        <v>9.7769492262867033</v>
      </c>
      <c r="F42" s="42">
        <v>0.60909757139584864</v>
      </c>
      <c r="G42" s="43">
        <v>1.5070007328535433</v>
      </c>
      <c r="H42" s="42">
        <v>0.6071636209297756</v>
      </c>
      <c r="I42" s="43">
        <v>0.45725433709222807</v>
      </c>
      <c r="J42" s="42">
        <v>0.49826408061118055</v>
      </c>
      <c r="K42" s="43">
        <v>2.0339417814765461</v>
      </c>
      <c r="L42" s="43">
        <v>148.81270125312145</v>
      </c>
      <c r="M42" s="44">
        <v>68.047566614955457</v>
      </c>
      <c r="N42" s="44">
        <v>122.2118653285838</v>
      </c>
      <c r="O42" s="45" t="s">
        <v>5074</v>
      </c>
      <c r="P42" s="46">
        <v>1</v>
      </c>
      <c r="Q42" s="43">
        <v>148.81270125312145</v>
      </c>
      <c r="R42" s="43">
        <v>150.319701985975</v>
      </c>
      <c r="S42" s="47">
        <v>0</v>
      </c>
      <c r="T42" s="48">
        <v>150.319701985975</v>
      </c>
      <c r="U42" s="48">
        <v>140.53089790319638</v>
      </c>
      <c r="V42" s="48">
        <v>142.76522813865461</v>
      </c>
      <c r="W42" s="48">
        <v>149.99248097813512</v>
      </c>
    </row>
    <row r="43" spans="1:23" ht="13.2" x14ac:dyDescent="0.25">
      <c r="A43" s="41">
        <v>41</v>
      </c>
      <c r="B43" s="42">
        <v>0.49091527121649836</v>
      </c>
      <c r="C43" s="14" t="s">
        <v>5077</v>
      </c>
      <c r="D43" s="42">
        <v>0.21395758782232069</v>
      </c>
      <c r="E43" s="43">
        <v>41.925618290400884</v>
      </c>
      <c r="F43" s="42">
        <v>0.22600589423720069</v>
      </c>
      <c r="G43" s="43">
        <v>3.2284828292338563</v>
      </c>
      <c r="H43" s="42">
        <v>0.93324112237116374</v>
      </c>
      <c r="I43" s="43">
        <v>1.526675175081651</v>
      </c>
      <c r="J43" s="42">
        <v>0.6513508072362052</v>
      </c>
      <c r="K43" s="43">
        <v>1.2516990000334787</v>
      </c>
      <c r="L43" s="43">
        <v>150.06440025315493</v>
      </c>
      <c r="M43" s="44">
        <v>291.80230330119014</v>
      </c>
      <c r="N43" s="44">
        <v>524.070228630011</v>
      </c>
      <c r="O43" s="45" t="s">
        <v>5074</v>
      </c>
      <c r="P43" s="46">
        <v>2</v>
      </c>
      <c r="Q43" s="43">
        <v>150.06440025315493</v>
      </c>
      <c r="R43" s="43">
        <v>153.29288308238878</v>
      </c>
      <c r="S43" s="47">
        <v>0</v>
      </c>
      <c r="T43" s="48">
        <v>150.319701985975</v>
      </c>
      <c r="U43" s="48">
        <v>153.29288308238878</v>
      </c>
      <c r="V43" s="48">
        <v>142.76522813865461</v>
      </c>
      <c r="W43" s="48">
        <v>149.99248097813512</v>
      </c>
    </row>
    <row r="44" spans="1:23" ht="13.2" x14ac:dyDescent="0.25">
      <c r="A44" s="41">
        <v>42</v>
      </c>
      <c r="B44" s="42">
        <v>0.17455079042098987</v>
      </c>
      <c r="C44" s="14" t="s">
        <v>5073</v>
      </c>
      <c r="D44" s="42">
        <v>0.62656144407883352</v>
      </c>
      <c r="E44" s="43">
        <v>355.18737328946003</v>
      </c>
      <c r="F44" s="42">
        <v>0.65984126630231799</v>
      </c>
      <c r="G44" s="43">
        <v>10.445303163526255</v>
      </c>
      <c r="H44" s="42">
        <v>0.75592781172875678</v>
      </c>
      <c r="I44" s="43">
        <v>3.572151731096838</v>
      </c>
      <c r="J44" s="42">
        <v>0.21295375479988463</v>
      </c>
      <c r="K44" s="43">
        <v>4.5158547458710956</v>
      </c>
      <c r="L44" s="43">
        <v>154.58025499902601</v>
      </c>
      <c r="M44" s="44">
        <v>2472.1041180946418</v>
      </c>
      <c r="N44" s="44">
        <v>4439.8421661182501</v>
      </c>
      <c r="O44" s="45" t="s">
        <v>5074</v>
      </c>
      <c r="P44" s="46">
        <v>3</v>
      </c>
      <c r="Q44" s="43">
        <v>154.58025499902601</v>
      </c>
      <c r="R44" s="43">
        <v>165.02555816255227</v>
      </c>
      <c r="S44" s="47">
        <v>0</v>
      </c>
      <c r="T44" s="48">
        <v>150.319701985975</v>
      </c>
      <c r="U44" s="48">
        <v>153.29288308238878</v>
      </c>
      <c r="V44" s="48">
        <v>165.02555816255227</v>
      </c>
      <c r="W44" s="48">
        <v>149.99248097813512</v>
      </c>
    </row>
    <row r="45" spans="1:23" ht="13.2" x14ac:dyDescent="0.25">
      <c r="A45" s="41">
        <v>43</v>
      </c>
      <c r="B45" s="42">
        <v>0.32084422387222022</v>
      </c>
      <c r="C45" s="14" t="s">
        <v>5077</v>
      </c>
      <c r="D45" s="42">
        <v>0.70387685331696503</v>
      </c>
      <c r="E45" s="43">
        <v>46.334891679852689</v>
      </c>
      <c r="F45" s="42">
        <v>9.1403367040401029E-2</v>
      </c>
      <c r="G45" s="43">
        <v>3.1638736161793926</v>
      </c>
      <c r="H45" s="42">
        <v>0.66165886943305785</v>
      </c>
      <c r="I45" s="43">
        <v>1.3098032435358746</v>
      </c>
      <c r="J45" s="42">
        <v>0.20177900660865894</v>
      </c>
      <c r="K45" s="43">
        <v>4.6732327216197813</v>
      </c>
      <c r="L45" s="43">
        <v>159.25348772064578</v>
      </c>
      <c r="M45" s="44">
        <v>322.4908460917747</v>
      </c>
      <c r="N45" s="44">
        <v>579.18614599815862</v>
      </c>
      <c r="O45" s="45" t="s">
        <v>5074</v>
      </c>
      <c r="P45" s="46">
        <v>4</v>
      </c>
      <c r="Q45" s="43">
        <v>159.25348772064578</v>
      </c>
      <c r="R45" s="43">
        <v>162.41736133682517</v>
      </c>
      <c r="S45" s="47">
        <v>0</v>
      </c>
      <c r="T45" s="48">
        <v>150.319701985975</v>
      </c>
      <c r="U45" s="48">
        <v>153.29288308238878</v>
      </c>
      <c r="V45" s="48">
        <v>165.02555816255227</v>
      </c>
      <c r="W45" s="48">
        <v>162.41736133682517</v>
      </c>
    </row>
    <row r="46" spans="1:23" ht="13.2" x14ac:dyDescent="0.25">
      <c r="A46" s="41">
        <v>44</v>
      </c>
      <c r="B46" s="42">
        <v>0.67311122392914779</v>
      </c>
      <c r="C46" s="14" t="s">
        <v>5079</v>
      </c>
      <c r="D46" s="42">
        <v>0.93214661066054672</v>
      </c>
      <c r="E46" s="43">
        <v>9.7964398319816404</v>
      </c>
      <c r="F46" s="42">
        <v>0.80924569247721023</v>
      </c>
      <c r="G46" s="43">
        <v>1.5290170261724931</v>
      </c>
      <c r="H46" s="42">
        <v>0.1584065743528337</v>
      </c>
      <c r="I46" s="43">
        <v>0.32585967358643264</v>
      </c>
      <c r="J46" s="42">
        <v>0.1753105964396664</v>
      </c>
      <c r="K46" s="43">
        <v>5.083784062546659</v>
      </c>
      <c r="L46" s="43">
        <v>164.33727178319245</v>
      </c>
      <c r="M46" s="44">
        <v>68.18322123059221</v>
      </c>
      <c r="N46" s="44">
        <v>122.45549789977051</v>
      </c>
      <c r="O46" s="45" t="s">
        <v>5074</v>
      </c>
      <c r="P46" s="46">
        <v>1</v>
      </c>
      <c r="Q46" s="43">
        <v>164.33727178319245</v>
      </c>
      <c r="R46" s="43">
        <v>165.86628880936493</v>
      </c>
      <c r="S46" s="47">
        <v>0</v>
      </c>
      <c r="T46" s="48">
        <v>165.86628880936493</v>
      </c>
      <c r="U46" s="48">
        <v>153.29288308238878</v>
      </c>
      <c r="V46" s="48">
        <v>165.02555816255227</v>
      </c>
      <c r="W46" s="48">
        <v>162.41736133682517</v>
      </c>
    </row>
    <row r="47" spans="1:23" ht="13.2" x14ac:dyDescent="0.25">
      <c r="A47" s="41">
        <v>45</v>
      </c>
      <c r="B47" s="42">
        <v>0.34267468161074199</v>
      </c>
      <c r="C47" s="14" t="s">
        <v>5077</v>
      </c>
      <c r="D47" s="42">
        <v>4.6544066186316339E-2</v>
      </c>
      <c r="E47" s="43">
        <v>40.418896595676848</v>
      </c>
      <c r="F47" s="42">
        <v>0.23390472411825541</v>
      </c>
      <c r="G47" s="43">
        <v>3.2322742675767628</v>
      </c>
      <c r="H47" s="42">
        <v>0.73304888500508336</v>
      </c>
      <c r="I47" s="43">
        <v>1.3534051331197872</v>
      </c>
      <c r="J47" s="42">
        <v>0.66744903226729901</v>
      </c>
      <c r="K47" s="43">
        <v>1.1804153219762661</v>
      </c>
      <c r="L47" s="43">
        <v>165.5176871051687</v>
      </c>
      <c r="M47" s="44">
        <v>281.31552030591087</v>
      </c>
      <c r="N47" s="44">
        <v>505.23620744596059</v>
      </c>
      <c r="O47" s="45" t="s">
        <v>5074</v>
      </c>
      <c r="P47" s="46">
        <v>2</v>
      </c>
      <c r="Q47" s="43">
        <v>165.5176871051687</v>
      </c>
      <c r="R47" s="43">
        <v>168.74996137274547</v>
      </c>
      <c r="S47" s="47">
        <v>0</v>
      </c>
      <c r="T47" s="48">
        <v>165.86628880936493</v>
      </c>
      <c r="U47" s="48">
        <v>168.74996137274547</v>
      </c>
      <c r="V47" s="48">
        <v>165.02555816255227</v>
      </c>
      <c r="W47" s="48">
        <v>162.41736133682517</v>
      </c>
    </row>
    <row r="48" spans="1:23" ht="13.2" x14ac:dyDescent="0.25">
      <c r="A48" s="41">
        <v>46</v>
      </c>
      <c r="B48" s="42">
        <v>7.2570671826866773E-2</v>
      </c>
      <c r="C48" s="14" t="s">
        <v>5073</v>
      </c>
      <c r="D48" s="42">
        <v>0.16965856131615981</v>
      </c>
      <c r="E48" s="43">
        <v>300.35902735793917</v>
      </c>
      <c r="F48" s="42">
        <v>0.38891072682519945</v>
      </c>
      <c r="G48" s="43">
        <v>9.5972905749628747</v>
      </c>
      <c r="H48" s="42">
        <v>9.9704660987343943E-2</v>
      </c>
      <c r="I48" s="43">
        <v>2.8867259901804068</v>
      </c>
      <c r="J48" s="42">
        <v>0.37296590459205486</v>
      </c>
      <c r="K48" s="43">
        <v>2.8796153930415511</v>
      </c>
      <c r="L48" s="43">
        <v>168.39730249821025</v>
      </c>
      <c r="M48" s="44">
        <v>2090.4988304112567</v>
      </c>
      <c r="N48" s="44">
        <v>3754.4878419742395</v>
      </c>
      <c r="O48" s="45" t="s">
        <v>5074</v>
      </c>
      <c r="P48" s="46">
        <v>4</v>
      </c>
      <c r="Q48" s="43">
        <v>168.39730249821025</v>
      </c>
      <c r="R48" s="43">
        <v>177.99459307317312</v>
      </c>
      <c r="S48" s="47">
        <v>0</v>
      </c>
      <c r="T48" s="48">
        <v>165.86628880936493</v>
      </c>
      <c r="U48" s="48">
        <v>168.74996137274547</v>
      </c>
      <c r="V48" s="48">
        <v>165.02555816255227</v>
      </c>
      <c r="W48" s="48">
        <v>177.99459307317312</v>
      </c>
    </row>
    <row r="49" spans="1:23" ht="13.2" x14ac:dyDescent="0.25">
      <c r="A49" s="41">
        <v>47</v>
      </c>
      <c r="B49" s="42">
        <v>0.54447703601069608</v>
      </c>
      <c r="C49" s="14" t="s">
        <v>5076</v>
      </c>
      <c r="D49" s="42">
        <v>0.1105016498409685</v>
      </c>
      <c r="E49" s="43">
        <v>36.105016498409682</v>
      </c>
      <c r="F49" s="42">
        <v>0.2308374839978467</v>
      </c>
      <c r="G49" s="43">
        <v>3.1461852426390093</v>
      </c>
      <c r="H49" s="42">
        <v>0.2351874617092253</v>
      </c>
      <c r="I49" s="43">
        <v>0.7222371862648943</v>
      </c>
      <c r="J49" s="42">
        <v>0.88183749415065982</v>
      </c>
      <c r="K49" s="43">
        <v>0.36714594728649697</v>
      </c>
      <c r="L49" s="43">
        <v>168.76444844549675</v>
      </c>
      <c r="M49" s="44">
        <v>251.29091482893139</v>
      </c>
      <c r="N49" s="44">
        <v>451.31270623012102</v>
      </c>
      <c r="O49" s="45" t="s">
        <v>5074</v>
      </c>
      <c r="P49" s="46">
        <v>3</v>
      </c>
      <c r="Q49" s="43">
        <v>168.76444844549675</v>
      </c>
      <c r="R49" s="43">
        <v>171.91063368813576</v>
      </c>
      <c r="S49" s="47">
        <v>0</v>
      </c>
      <c r="T49" s="48">
        <v>165.86628880936493</v>
      </c>
      <c r="U49" s="48">
        <v>168.74996137274547</v>
      </c>
      <c r="V49" s="48">
        <v>171.91063368813576</v>
      </c>
      <c r="W49" s="48">
        <v>177.99459307317312</v>
      </c>
    </row>
    <row r="50" spans="1:23" ht="13.2" x14ac:dyDescent="0.25">
      <c r="A50" s="41">
        <v>48</v>
      </c>
      <c r="B50" s="42">
        <v>2.7087072854436501E-2</v>
      </c>
      <c r="C50" s="14" t="s">
        <v>5073</v>
      </c>
      <c r="D50" s="42">
        <v>0.58207897682771037</v>
      </c>
      <c r="E50" s="43">
        <v>349.84947721932525</v>
      </c>
      <c r="F50" s="42">
        <v>0.48104009054649627</v>
      </c>
      <c r="G50" s="43">
        <v>9.8856554834105346</v>
      </c>
      <c r="H50" s="42">
        <v>0.7288528525870539</v>
      </c>
      <c r="I50" s="43">
        <v>3.5490450570625605</v>
      </c>
      <c r="J50" s="42">
        <v>0.26658841188372506</v>
      </c>
      <c r="K50" s="43">
        <v>3.8599980685688253</v>
      </c>
      <c r="L50" s="43">
        <v>172.62444651406557</v>
      </c>
      <c r="M50" s="44">
        <v>2434.9523614465038</v>
      </c>
      <c r="N50" s="44">
        <v>4373.1184652415659</v>
      </c>
      <c r="O50" s="45" t="s">
        <v>5074</v>
      </c>
      <c r="P50" s="46">
        <v>1</v>
      </c>
      <c r="Q50" s="43">
        <v>172.62444651406557</v>
      </c>
      <c r="R50" s="43">
        <v>182.51010199747611</v>
      </c>
      <c r="S50" s="47">
        <v>0</v>
      </c>
      <c r="T50" s="48">
        <v>182.51010199747611</v>
      </c>
      <c r="U50" s="48">
        <v>168.74996137274547</v>
      </c>
      <c r="V50" s="48">
        <v>171.91063368813576</v>
      </c>
      <c r="W50" s="48">
        <v>177.99459307317312</v>
      </c>
    </row>
    <row r="51" spans="1:23" ht="13.2" x14ac:dyDescent="0.25">
      <c r="A51" s="41">
        <v>49</v>
      </c>
      <c r="B51" s="42">
        <v>0.54842670333964127</v>
      </c>
      <c r="C51" s="14" t="s">
        <v>5076</v>
      </c>
      <c r="D51" s="42">
        <v>0.43051236236026152</v>
      </c>
      <c r="E51" s="43">
        <v>39.305123623602611</v>
      </c>
      <c r="F51" s="42">
        <v>6.2093660264319582E-2</v>
      </c>
      <c r="G51" s="43">
        <v>3.0685630837215871</v>
      </c>
      <c r="H51" s="42">
        <v>0.92198741246107374</v>
      </c>
      <c r="I51" s="43">
        <v>1.0522044503007639</v>
      </c>
      <c r="J51" s="42">
        <v>0.5698627147683234</v>
      </c>
      <c r="K51" s="43">
        <v>1.6419264188219354</v>
      </c>
      <c r="L51" s="43">
        <v>174.26637293288749</v>
      </c>
      <c r="M51" s="44">
        <v>273.56366042027418</v>
      </c>
      <c r="N51" s="44">
        <v>491.31404529503266</v>
      </c>
      <c r="O51" s="45" t="s">
        <v>5074</v>
      </c>
      <c r="P51" s="46">
        <v>2</v>
      </c>
      <c r="Q51" s="43">
        <v>174.26637293288749</v>
      </c>
      <c r="R51" s="43">
        <v>177.33493601660908</v>
      </c>
      <c r="S51" s="47">
        <v>0</v>
      </c>
      <c r="T51" s="48">
        <v>182.51010199747611</v>
      </c>
      <c r="U51" s="48">
        <v>177.33493601660908</v>
      </c>
      <c r="V51" s="48">
        <v>171.91063368813576</v>
      </c>
      <c r="W51" s="48">
        <v>177.99459307317312</v>
      </c>
    </row>
    <row r="52" spans="1:23" ht="13.2" x14ac:dyDescent="0.25">
      <c r="A52" s="41">
        <v>50</v>
      </c>
      <c r="B52" s="42">
        <v>0.20743568949747629</v>
      </c>
      <c r="C52" s="14" t="s">
        <v>5073</v>
      </c>
      <c r="D52" s="42">
        <v>0.3631967326454803</v>
      </c>
      <c r="E52" s="43">
        <v>323.58360791745764</v>
      </c>
      <c r="F52" s="42">
        <v>0.51354266401079607</v>
      </c>
      <c r="G52" s="43">
        <v>9.987388538353791</v>
      </c>
      <c r="H52" s="42">
        <v>7.4948516243579108E-2</v>
      </c>
      <c r="I52" s="43">
        <v>2.8352950556828547</v>
      </c>
      <c r="J52" s="42">
        <v>0.15113628942106677</v>
      </c>
      <c r="K52" s="43">
        <v>5.5170022490487582</v>
      </c>
      <c r="L52" s="43">
        <v>179.78337518193626</v>
      </c>
      <c r="M52" s="44">
        <v>2252.1419111055052</v>
      </c>
      <c r="N52" s="44">
        <v>4044.7950989682204</v>
      </c>
      <c r="O52" s="45" t="s">
        <v>5074</v>
      </c>
      <c r="P52" s="46">
        <v>3</v>
      </c>
      <c r="Q52" s="43">
        <v>179.78337518193626</v>
      </c>
      <c r="R52" s="43">
        <v>189.77076372029006</v>
      </c>
      <c r="S52" s="47">
        <v>0</v>
      </c>
      <c r="T52" s="48">
        <v>182.51010199747611</v>
      </c>
      <c r="U52" s="48">
        <v>177.33493601660908</v>
      </c>
      <c r="V52" s="48">
        <v>189.77076372029006</v>
      </c>
      <c r="W52" s="48">
        <v>177.99459307317312</v>
      </c>
    </row>
    <row r="53" spans="1:23" ht="13.2" x14ac:dyDescent="0.25">
      <c r="A53" s="41">
        <v>51</v>
      </c>
      <c r="B53" s="42">
        <v>0.60428454708507495</v>
      </c>
      <c r="C53" s="14" t="s">
        <v>5076</v>
      </c>
      <c r="D53" s="42">
        <v>0.20787273031094705</v>
      </c>
      <c r="E53" s="43">
        <v>37.078727303109474</v>
      </c>
      <c r="F53" s="42">
        <v>0.82855677503559588</v>
      </c>
      <c r="G53" s="43">
        <v>3.4211361165163741</v>
      </c>
      <c r="H53" s="42">
        <v>0.93810207114466559</v>
      </c>
      <c r="I53" s="43">
        <v>1.0683511485827026</v>
      </c>
      <c r="J53" s="42">
        <v>0.82210802045748943</v>
      </c>
      <c r="K53" s="43">
        <v>0.57192257171081462</v>
      </c>
      <c r="L53" s="43">
        <v>180.35529775364708</v>
      </c>
      <c r="M53" s="44">
        <v>258.06794202964193</v>
      </c>
      <c r="N53" s="44">
        <v>463.4840912888684</v>
      </c>
      <c r="O53" s="45" t="s">
        <v>5074</v>
      </c>
      <c r="P53" s="46">
        <v>2</v>
      </c>
      <c r="Q53" s="43">
        <v>180.35529775364708</v>
      </c>
      <c r="R53" s="43">
        <v>183.77643387016346</v>
      </c>
      <c r="S53" s="47">
        <v>0</v>
      </c>
      <c r="T53" s="48">
        <v>182.51010199747611</v>
      </c>
      <c r="U53" s="48">
        <v>183.77643387016346</v>
      </c>
      <c r="V53" s="48">
        <v>189.77076372029006</v>
      </c>
      <c r="W53" s="48">
        <v>177.99459307317312</v>
      </c>
    </row>
    <row r="54" spans="1:23" ht="13.2" x14ac:dyDescent="0.25">
      <c r="A54" s="41">
        <v>52</v>
      </c>
      <c r="B54" s="42">
        <v>0.82488794849481806</v>
      </c>
      <c r="C54" s="14" t="s">
        <v>5078</v>
      </c>
      <c r="D54" s="42">
        <v>8.4604282902835073E-2</v>
      </c>
      <c r="E54" s="43">
        <v>173.3841713161134</v>
      </c>
      <c r="F54" s="42">
        <v>0.41613478745153865</v>
      </c>
      <c r="G54" s="43">
        <v>5.7986826565809002</v>
      </c>
      <c r="H54" s="42">
        <v>0.22921871823687978</v>
      </c>
      <c r="I54" s="43">
        <v>2.7569985439828795</v>
      </c>
      <c r="J54" s="42">
        <v>0.75910918822470552</v>
      </c>
      <c r="K54" s="43">
        <v>0.8046997195022273</v>
      </c>
      <c r="L54" s="43">
        <v>181.1599974731493</v>
      </c>
      <c r="M54" s="44">
        <v>1206.7538323601493</v>
      </c>
      <c r="N54" s="44">
        <v>2167.3021414514174</v>
      </c>
      <c r="O54" s="45" t="s">
        <v>5074</v>
      </c>
      <c r="P54" s="46">
        <v>4</v>
      </c>
      <c r="Q54" s="43">
        <v>181.1599974731493</v>
      </c>
      <c r="R54" s="43">
        <v>186.9586801297302</v>
      </c>
      <c r="S54" s="47">
        <v>0</v>
      </c>
      <c r="T54" s="48">
        <v>182.51010199747611</v>
      </c>
      <c r="U54" s="48">
        <v>183.77643387016346</v>
      </c>
      <c r="V54" s="48">
        <v>189.77076372029006</v>
      </c>
      <c r="W54" s="48">
        <v>186.9586801297302</v>
      </c>
    </row>
    <row r="55" spans="1:23" ht="13.2" x14ac:dyDescent="0.25">
      <c r="A55" s="41">
        <v>53</v>
      </c>
      <c r="B55" s="42">
        <v>0.69366567381362698</v>
      </c>
      <c r="C55" s="14" t="s">
        <v>5079</v>
      </c>
      <c r="D55" s="42">
        <v>0.32784057330705252</v>
      </c>
      <c r="E55" s="43">
        <v>7.9835217199211579</v>
      </c>
      <c r="F55" s="42">
        <v>0.30241986750737759</v>
      </c>
      <c r="G55" s="43">
        <v>1.4732661854258116</v>
      </c>
      <c r="H55" s="42">
        <v>0.90209866357133661</v>
      </c>
      <c r="I55" s="43">
        <v>0.57881749109587011</v>
      </c>
      <c r="J55" s="42">
        <v>0.25011702498892185</v>
      </c>
      <c r="K55" s="43">
        <v>4.0462083815731678</v>
      </c>
      <c r="L55" s="43">
        <v>185.20620585472247</v>
      </c>
      <c r="M55" s="44">
        <v>55.565311170651256</v>
      </c>
      <c r="N55" s="44">
        <v>99.794021499014477</v>
      </c>
      <c r="O55" s="45" t="s">
        <v>5074</v>
      </c>
      <c r="P55" s="46">
        <v>1</v>
      </c>
      <c r="Q55" s="43">
        <v>185.20620585472247</v>
      </c>
      <c r="R55" s="43">
        <v>186.67947204014828</v>
      </c>
      <c r="S55" s="47">
        <v>0</v>
      </c>
      <c r="T55" s="48">
        <v>186.67947204014828</v>
      </c>
      <c r="U55" s="48">
        <v>183.77643387016346</v>
      </c>
      <c r="V55" s="48">
        <v>189.77076372029006</v>
      </c>
      <c r="W55" s="48">
        <v>186.9586801297302</v>
      </c>
    </row>
    <row r="56" spans="1:23" ht="13.2" x14ac:dyDescent="0.25">
      <c r="A56" s="41">
        <v>54</v>
      </c>
      <c r="B56" s="42">
        <v>0.51315563102865391</v>
      </c>
      <c r="C56" s="14" t="s">
        <v>5076</v>
      </c>
      <c r="D56" s="42">
        <v>0.84887391601171058</v>
      </c>
      <c r="E56" s="43">
        <v>43.488739160117106</v>
      </c>
      <c r="F56" s="42">
        <v>0.32718533851540899</v>
      </c>
      <c r="G56" s="43">
        <v>3.1905052557170883</v>
      </c>
      <c r="H56" s="42">
        <v>0.64772830700861672</v>
      </c>
      <c r="I56" s="43">
        <v>0.88593619432098303</v>
      </c>
      <c r="J56" s="42">
        <v>0.43235946373658229</v>
      </c>
      <c r="K56" s="43">
        <v>2.4481691817571112</v>
      </c>
      <c r="L56" s="43">
        <v>187.65437503647959</v>
      </c>
      <c r="M56" s="44">
        <v>302.68162455441507</v>
      </c>
      <c r="N56" s="44">
        <v>543.60923950146378</v>
      </c>
      <c r="O56" s="45" t="s">
        <v>5074</v>
      </c>
      <c r="P56" s="46">
        <v>2</v>
      </c>
      <c r="Q56" s="43">
        <v>187.65437503647959</v>
      </c>
      <c r="R56" s="43">
        <v>190.84488029219668</v>
      </c>
      <c r="S56" s="47">
        <v>0</v>
      </c>
      <c r="T56" s="48">
        <v>186.67947204014828</v>
      </c>
      <c r="U56" s="48">
        <v>190.84488029219668</v>
      </c>
      <c r="V56" s="48">
        <v>189.77076372029006</v>
      </c>
      <c r="W56" s="48">
        <v>186.9586801297302</v>
      </c>
    </row>
    <row r="57" spans="1:23" ht="13.2" x14ac:dyDescent="0.25">
      <c r="A57" s="41">
        <v>55</v>
      </c>
      <c r="B57" s="42">
        <v>0.60851208055788286</v>
      </c>
      <c r="C57" s="14" t="s">
        <v>5076</v>
      </c>
      <c r="D57" s="42">
        <v>4.302655581525832E-2</v>
      </c>
      <c r="E57" s="43">
        <v>35.430265558152584</v>
      </c>
      <c r="F57" s="42">
        <v>0.24995433876754453</v>
      </c>
      <c r="G57" s="43">
        <v>3.1549789958330705</v>
      </c>
      <c r="H57" s="42">
        <v>0.71787299295788309</v>
      </c>
      <c r="I57" s="43">
        <v>0.91893850855765968</v>
      </c>
      <c r="J57" s="42">
        <v>1.5739166185138358E-2</v>
      </c>
      <c r="K57" s="43">
        <v>12.12146864717271</v>
      </c>
      <c r="L57" s="43">
        <v>199.77584368365231</v>
      </c>
      <c r="M57" s="44">
        <v>246.59464828474199</v>
      </c>
      <c r="N57" s="44">
        <v>442.87831947690728</v>
      </c>
      <c r="O57" s="45" t="s">
        <v>5074</v>
      </c>
      <c r="P57" s="46">
        <v>1</v>
      </c>
      <c r="Q57" s="43">
        <v>199.77584368365231</v>
      </c>
      <c r="R57" s="43">
        <v>202.93082267948537</v>
      </c>
      <c r="S57" s="47">
        <v>0</v>
      </c>
      <c r="T57" s="48">
        <v>202.93082267948537</v>
      </c>
      <c r="U57" s="48">
        <v>190.84488029219668</v>
      </c>
      <c r="V57" s="48">
        <v>189.77076372029006</v>
      </c>
      <c r="W57" s="48">
        <v>186.9586801297302</v>
      </c>
    </row>
    <row r="58" spans="1:23" ht="13.2" x14ac:dyDescent="0.25">
      <c r="A58" s="41">
        <v>56</v>
      </c>
      <c r="B58" s="42">
        <v>0.70773026333550471</v>
      </c>
      <c r="C58" s="14" t="s">
        <v>5079</v>
      </c>
      <c r="D58" s="42">
        <v>0.18871447685580445</v>
      </c>
      <c r="E58" s="43">
        <v>7.5661434305674131</v>
      </c>
      <c r="F58" s="42">
        <v>0.43672435378503255</v>
      </c>
      <c r="G58" s="43">
        <v>1.4880396789163535</v>
      </c>
      <c r="H58" s="42">
        <v>7.7119977249354113E-2</v>
      </c>
      <c r="I58" s="43">
        <v>0.28781798064710562</v>
      </c>
      <c r="J58" s="42">
        <v>0.60226692706452079</v>
      </c>
      <c r="K58" s="43">
        <v>1.480451186881282</v>
      </c>
      <c r="L58" s="43">
        <v>201.25629487053359</v>
      </c>
      <c r="M58" s="44">
        <v>52.660358276749193</v>
      </c>
      <c r="N58" s="44">
        <v>94.576792882092661</v>
      </c>
      <c r="O58" s="45" t="s">
        <v>5074</v>
      </c>
      <c r="P58" s="46">
        <v>4</v>
      </c>
      <c r="Q58" s="43">
        <v>201.25629487053359</v>
      </c>
      <c r="R58" s="43">
        <v>202.74433454944995</v>
      </c>
      <c r="S58" s="47">
        <v>0</v>
      </c>
      <c r="T58" s="48">
        <v>202.93082267948537</v>
      </c>
      <c r="U58" s="48">
        <v>190.84488029219668</v>
      </c>
      <c r="V58" s="48">
        <v>189.77076372029006</v>
      </c>
      <c r="W58" s="48">
        <v>202.74433454944995</v>
      </c>
    </row>
    <row r="59" spans="1:23" ht="13.2" x14ac:dyDescent="0.25">
      <c r="A59" s="41">
        <v>57</v>
      </c>
      <c r="B59" s="42">
        <v>0.82890801729117891</v>
      </c>
      <c r="C59" s="14" t="s">
        <v>5078</v>
      </c>
      <c r="D59" s="42">
        <v>0.58961754552536527</v>
      </c>
      <c r="E59" s="43">
        <v>193.58470182101462</v>
      </c>
      <c r="F59" s="42">
        <v>0.61710155458054583</v>
      </c>
      <c r="G59" s="43">
        <v>5.9815624146682964</v>
      </c>
      <c r="H59" s="42">
        <v>0.43727412886790656</v>
      </c>
      <c r="I59" s="43">
        <v>3.0473396760614166</v>
      </c>
      <c r="J59" s="42">
        <v>0.19148979810601557</v>
      </c>
      <c r="K59" s="43">
        <v>4.8260459719076048</v>
      </c>
      <c r="L59" s="43">
        <v>206.0823408424412</v>
      </c>
      <c r="M59" s="44">
        <v>1347.3495246742618</v>
      </c>
      <c r="N59" s="44">
        <v>2419.8087727626826</v>
      </c>
      <c r="O59" s="45" t="s">
        <v>5074</v>
      </c>
      <c r="P59" s="46">
        <v>3</v>
      </c>
      <c r="Q59" s="43">
        <v>206.0823408424412</v>
      </c>
      <c r="R59" s="43">
        <v>212.0639032571095</v>
      </c>
      <c r="S59" s="47">
        <v>0</v>
      </c>
      <c r="T59" s="48">
        <v>202.93082267948537</v>
      </c>
      <c r="U59" s="48">
        <v>190.84488029219668</v>
      </c>
      <c r="V59" s="48">
        <v>212.0639032571095</v>
      </c>
      <c r="W59" s="48">
        <v>202.74433454944995</v>
      </c>
    </row>
    <row r="60" spans="1:23" ht="13.2" x14ac:dyDescent="0.25">
      <c r="A60" s="41">
        <v>58</v>
      </c>
      <c r="B60" s="42">
        <v>2.8328361468542534E-2</v>
      </c>
      <c r="C60" s="14" t="s">
        <v>5073</v>
      </c>
      <c r="D60" s="42">
        <v>0.73800937167276137</v>
      </c>
      <c r="E60" s="43">
        <v>368.56112460073138</v>
      </c>
      <c r="F60" s="42">
        <v>0.52151954896818831</v>
      </c>
      <c r="G60" s="43">
        <v>10.012356188270429</v>
      </c>
      <c r="H60" s="42">
        <v>0.79938221946329913</v>
      </c>
      <c r="I60" s="43">
        <v>3.6121039631518186</v>
      </c>
      <c r="J60" s="42">
        <v>0.16098809389443514</v>
      </c>
      <c r="K60" s="43">
        <v>5.3326273509443007</v>
      </c>
      <c r="L60" s="43">
        <v>211.4149681933855</v>
      </c>
      <c r="M60" s="44">
        <v>2565.1854272210903</v>
      </c>
      <c r="N60" s="44">
        <v>4607.0140575091418</v>
      </c>
      <c r="O60" s="45" t="s">
        <v>5074</v>
      </c>
      <c r="P60" s="46">
        <v>2</v>
      </c>
      <c r="Q60" s="43">
        <v>211.4149681933855</v>
      </c>
      <c r="R60" s="43">
        <v>221.42732438165592</v>
      </c>
      <c r="S60" s="47">
        <v>0</v>
      </c>
      <c r="T60" s="48">
        <v>202.93082267948537</v>
      </c>
      <c r="U60" s="48">
        <v>221.42732438165592</v>
      </c>
      <c r="V60" s="48">
        <v>212.0639032571095</v>
      </c>
      <c r="W60" s="48">
        <v>202.74433454944995</v>
      </c>
    </row>
    <row r="61" spans="1:23" ht="13.2" x14ac:dyDescent="0.25">
      <c r="A61" s="41">
        <v>59</v>
      </c>
      <c r="B61" s="42">
        <v>0.17912558055442088</v>
      </c>
      <c r="C61" s="14" t="s">
        <v>5073</v>
      </c>
      <c r="D61" s="42">
        <v>0.47910829329821669</v>
      </c>
      <c r="E61" s="43">
        <v>337.49299519578602</v>
      </c>
      <c r="F61" s="42">
        <v>0.20403816001677799</v>
      </c>
      <c r="G61" s="43">
        <v>9.0186394408525157</v>
      </c>
      <c r="H61" s="42">
        <v>9.0437873308750735E-2</v>
      </c>
      <c r="I61" s="43">
        <v>2.8683161820543948</v>
      </c>
      <c r="J61" s="42">
        <v>0.5732051942372719</v>
      </c>
      <c r="K61" s="43">
        <v>1.6248511569214761</v>
      </c>
      <c r="L61" s="43">
        <v>213.03981935030697</v>
      </c>
      <c r="M61" s="44">
        <v>2348.9512465626708</v>
      </c>
      <c r="N61" s="44">
        <v>4218.6624399473249</v>
      </c>
      <c r="O61" s="45" t="s">
        <v>5074</v>
      </c>
      <c r="P61" s="46">
        <v>4</v>
      </c>
      <c r="Q61" s="43">
        <v>213.03981935030697</v>
      </c>
      <c r="R61" s="43">
        <v>222.0584587911595</v>
      </c>
      <c r="S61" s="47">
        <v>0</v>
      </c>
      <c r="T61" s="48">
        <v>202.93082267948537</v>
      </c>
      <c r="U61" s="48">
        <v>221.42732438165592</v>
      </c>
      <c r="V61" s="48">
        <v>212.0639032571095</v>
      </c>
      <c r="W61" s="48">
        <v>222.0584587911595</v>
      </c>
    </row>
    <row r="62" spans="1:23" ht="13.2" x14ac:dyDescent="0.25">
      <c r="A62" s="41">
        <v>60</v>
      </c>
      <c r="B62" s="42">
        <v>0.848073740884696</v>
      </c>
      <c r="C62" s="14" t="s">
        <v>5081</v>
      </c>
      <c r="D62" s="42">
        <v>0.41568204453945257</v>
      </c>
      <c r="E62" s="43">
        <v>276.62728178157812</v>
      </c>
      <c r="F62" s="42">
        <v>0.62732297816654803</v>
      </c>
      <c r="G62" s="43">
        <v>8.8110497483848818</v>
      </c>
      <c r="H62" s="42">
        <v>0.25236861931736049</v>
      </c>
      <c r="I62" s="43">
        <v>3.7104486178709344</v>
      </c>
      <c r="J62" s="42">
        <v>0.34820517541291435</v>
      </c>
      <c r="K62" s="43">
        <v>3.0801850756918601</v>
      </c>
      <c r="L62" s="43">
        <v>216.12000442599884</v>
      </c>
      <c r="M62" s="44">
        <v>1925.3258811997837</v>
      </c>
      <c r="N62" s="44">
        <v>3457.8410222697266</v>
      </c>
      <c r="O62" s="45" t="s">
        <v>5074</v>
      </c>
      <c r="P62" s="46">
        <v>1</v>
      </c>
      <c r="Q62" s="43">
        <v>216.12000442599884</v>
      </c>
      <c r="R62" s="43">
        <v>224.93105417438372</v>
      </c>
      <c r="S62" s="47">
        <v>0</v>
      </c>
      <c r="T62" s="48">
        <v>224.93105417438372</v>
      </c>
      <c r="U62" s="48">
        <v>221.42732438165592</v>
      </c>
      <c r="V62" s="48">
        <v>212.0639032571095</v>
      </c>
      <c r="W62" s="48">
        <v>222.0584587911595</v>
      </c>
    </row>
    <row r="63" spans="1:23" ht="13.2" x14ac:dyDescent="0.25">
      <c r="A63" s="41">
        <v>61</v>
      </c>
      <c r="B63" s="42">
        <v>0.69174012713680977</v>
      </c>
      <c r="C63" s="14" t="s">
        <v>5079</v>
      </c>
      <c r="D63" s="42">
        <v>0.20725834425876771</v>
      </c>
      <c r="E63" s="43">
        <v>7.621775032776303</v>
      </c>
      <c r="F63" s="42">
        <v>0.16761327123623959</v>
      </c>
      <c r="G63" s="43">
        <v>1.4584374598359864</v>
      </c>
      <c r="H63" s="42">
        <v>0.95244044761752733</v>
      </c>
      <c r="I63" s="43">
        <v>0.61553738781347744</v>
      </c>
      <c r="J63" s="42">
        <v>0.40820651054764467</v>
      </c>
      <c r="K63" s="43">
        <v>2.6160060710286133</v>
      </c>
      <c r="L63" s="43">
        <v>218.73601049702745</v>
      </c>
      <c r="M63" s="44">
        <v>53.047554228123069</v>
      </c>
      <c r="N63" s="44">
        <v>95.272187909703788</v>
      </c>
      <c r="O63" s="45" t="s">
        <v>5074</v>
      </c>
      <c r="P63" s="46">
        <v>3</v>
      </c>
      <c r="Q63" s="43">
        <v>218.73601049702745</v>
      </c>
      <c r="R63" s="43">
        <v>220.19444795686343</v>
      </c>
      <c r="S63" s="47">
        <v>0</v>
      </c>
      <c r="T63" s="48">
        <v>224.93105417438372</v>
      </c>
      <c r="U63" s="48">
        <v>221.42732438165592</v>
      </c>
      <c r="V63" s="48">
        <v>220.19444795686343</v>
      </c>
      <c r="W63" s="48">
        <v>222.0584587911595</v>
      </c>
    </row>
    <row r="64" spans="1:23" ht="13.2" x14ac:dyDescent="0.25">
      <c r="A64" s="41">
        <v>62</v>
      </c>
      <c r="B64" s="42">
        <v>0.41410526419715271</v>
      </c>
      <c r="C64" s="14" t="s">
        <v>5077</v>
      </c>
      <c r="D64" s="42">
        <v>3.7023711501166089E-2</v>
      </c>
      <c r="E64" s="43">
        <v>40.333213403510491</v>
      </c>
      <c r="F64" s="42">
        <v>0.36552242439497373</v>
      </c>
      <c r="G64" s="43">
        <v>3.2954507637095873</v>
      </c>
      <c r="H64" s="42">
        <v>0.68560198959224017</v>
      </c>
      <c r="I64" s="43">
        <v>1.3238629176968961</v>
      </c>
      <c r="J64" s="42">
        <v>0.12386196950630377</v>
      </c>
      <c r="K64" s="43">
        <v>6.098065642424733</v>
      </c>
      <c r="L64" s="43">
        <v>224.83407613945218</v>
      </c>
      <c r="M64" s="44">
        <v>280.71916528843303</v>
      </c>
      <c r="N64" s="44">
        <v>504.16516754388113</v>
      </c>
      <c r="O64" s="45" t="s">
        <v>5074</v>
      </c>
      <c r="P64" s="46">
        <v>3</v>
      </c>
      <c r="Q64" s="43">
        <v>224.83407613945218</v>
      </c>
      <c r="R64" s="43">
        <v>228.12952690316177</v>
      </c>
      <c r="S64" s="47">
        <v>0</v>
      </c>
      <c r="T64" s="48">
        <v>224.93105417438372</v>
      </c>
      <c r="U64" s="48">
        <v>221.42732438165592</v>
      </c>
      <c r="V64" s="48">
        <v>228.12952690316177</v>
      </c>
      <c r="W64" s="48">
        <v>222.0584587911595</v>
      </c>
    </row>
    <row r="65" spans="1:23" ht="13.2" x14ac:dyDescent="0.25">
      <c r="A65" s="41">
        <v>63</v>
      </c>
      <c r="B65" s="42">
        <v>0.81692842618419248</v>
      </c>
      <c r="C65" s="14" t="s">
        <v>5078</v>
      </c>
      <c r="D65" s="42">
        <v>0.26073018892702188</v>
      </c>
      <c r="E65" s="43">
        <v>180.42920755708087</v>
      </c>
      <c r="F65" s="42">
        <v>0.38985969703172318</v>
      </c>
      <c r="G65" s="43">
        <v>5.7747723242988682</v>
      </c>
      <c r="H65" s="42">
        <v>0.68433767495878861</v>
      </c>
      <c r="I65" s="43">
        <v>3.412004724778392</v>
      </c>
      <c r="J65" s="42">
        <v>0.64054672356720399</v>
      </c>
      <c r="K65" s="43">
        <v>1.3005349247395344</v>
      </c>
      <c r="L65" s="43">
        <v>226.13461106419172</v>
      </c>
      <c r="M65" s="44">
        <v>1255.7872845972829</v>
      </c>
      <c r="N65" s="44">
        <v>2255.365094463511</v>
      </c>
      <c r="O65" s="45" t="s">
        <v>5074</v>
      </c>
      <c r="P65" s="46">
        <v>2</v>
      </c>
      <c r="Q65" s="43">
        <v>226.13461106419172</v>
      </c>
      <c r="R65" s="43">
        <v>231.9093833884906</v>
      </c>
      <c r="S65" s="47">
        <v>0</v>
      </c>
      <c r="T65" s="48">
        <v>224.93105417438372</v>
      </c>
      <c r="U65" s="48">
        <v>231.9093833884906</v>
      </c>
      <c r="V65" s="48">
        <v>228.12952690316177</v>
      </c>
      <c r="W65" s="48">
        <v>222.0584587911595</v>
      </c>
    </row>
    <row r="66" spans="1:23" ht="13.2" x14ac:dyDescent="0.25">
      <c r="A66" s="41">
        <v>64</v>
      </c>
      <c r="B66" s="42">
        <v>0.50718164607285598</v>
      </c>
      <c r="C66" s="14" t="s">
        <v>5076</v>
      </c>
      <c r="D66" s="42">
        <v>1.5653665184813396E-3</v>
      </c>
      <c r="E66" s="43">
        <v>35.015653665184814</v>
      </c>
      <c r="F66" s="42">
        <v>6.3840121060535368E-2</v>
      </c>
      <c r="G66" s="43">
        <v>3.0693664556878462</v>
      </c>
      <c r="H66" s="42">
        <v>0.94964423354232885</v>
      </c>
      <c r="I66" s="43">
        <v>1.0812582019331527</v>
      </c>
      <c r="J66" s="42">
        <v>3.9972990769880354E-2</v>
      </c>
      <c r="K66" s="43">
        <v>9.4001497334077371</v>
      </c>
      <c r="L66" s="43">
        <v>235.53476079759946</v>
      </c>
      <c r="M66" s="44">
        <v>243.70894950968631</v>
      </c>
      <c r="N66" s="44">
        <v>437.69567081481017</v>
      </c>
      <c r="O66" s="45" t="s">
        <v>5074</v>
      </c>
      <c r="P66" s="46">
        <v>4</v>
      </c>
      <c r="Q66" s="43">
        <v>235.53476079759946</v>
      </c>
      <c r="R66" s="43">
        <v>238.60412725328732</v>
      </c>
      <c r="S66" s="47">
        <v>0</v>
      </c>
      <c r="T66" s="48">
        <v>224.93105417438372</v>
      </c>
      <c r="U66" s="48">
        <v>231.9093833884906</v>
      </c>
      <c r="V66" s="48">
        <v>228.12952690316177</v>
      </c>
      <c r="W66" s="48">
        <v>238.60412725328732</v>
      </c>
    </row>
    <row r="67" spans="1:23" ht="13.2" x14ac:dyDescent="0.25">
      <c r="A67" s="41">
        <v>65</v>
      </c>
      <c r="B67" s="42">
        <v>0.51459718100475016</v>
      </c>
      <c r="C67" s="14" t="s">
        <v>5076</v>
      </c>
      <c r="D67" s="42">
        <v>0.34484787767047431</v>
      </c>
      <c r="E67" s="43">
        <v>38.448478776704746</v>
      </c>
      <c r="F67" s="42">
        <v>0.38571539213215716</v>
      </c>
      <c r="G67" s="43">
        <v>3.2174290803807923</v>
      </c>
      <c r="H67" s="42">
        <v>0.38522472483349252</v>
      </c>
      <c r="I67" s="43">
        <v>0.78442431720061045</v>
      </c>
      <c r="J67" s="42">
        <v>0.65723941505758066</v>
      </c>
      <c r="K67" s="43">
        <v>1.2254216653930115</v>
      </c>
      <c r="L67" s="43">
        <v>236.76018246299247</v>
      </c>
      <c r="M67" s="44">
        <v>267.60141228586502</v>
      </c>
      <c r="N67" s="44">
        <v>480.60598470880933</v>
      </c>
      <c r="O67" s="45" t="s">
        <v>5074</v>
      </c>
      <c r="P67" s="46">
        <v>1</v>
      </c>
      <c r="Q67" s="43">
        <v>236.76018246299247</v>
      </c>
      <c r="R67" s="43">
        <v>239.97761154337326</v>
      </c>
      <c r="S67" s="47">
        <v>0</v>
      </c>
      <c r="T67" s="48">
        <v>239.97761154337326</v>
      </c>
      <c r="U67" s="48">
        <v>231.9093833884906</v>
      </c>
      <c r="V67" s="48">
        <v>228.12952690316177</v>
      </c>
      <c r="W67" s="48">
        <v>238.60412725328732</v>
      </c>
    </row>
    <row r="68" spans="1:23" ht="13.2" x14ac:dyDescent="0.25">
      <c r="A68" s="41">
        <v>66</v>
      </c>
      <c r="B68" s="42">
        <v>0.90948466533305339</v>
      </c>
      <c r="C68" s="14" t="s">
        <v>5075</v>
      </c>
      <c r="D68" s="42">
        <v>0.43469944663098986</v>
      </c>
      <c r="E68" s="43">
        <v>310.42896126416929</v>
      </c>
      <c r="F68" s="42">
        <v>0.5685393943304845</v>
      </c>
      <c r="G68" s="43">
        <v>9.4813933947176636</v>
      </c>
      <c r="H68" s="42">
        <v>0.50748389563871732</v>
      </c>
      <c r="I68" s="43">
        <v>2.5075121115486771</v>
      </c>
      <c r="J68" s="42">
        <v>0.10352398180566913</v>
      </c>
      <c r="K68" s="43">
        <v>6.6217576199988128</v>
      </c>
      <c r="L68" s="43">
        <v>243.38194008299129</v>
      </c>
      <c r="M68" s="44">
        <v>2160.5855703986181</v>
      </c>
      <c r="N68" s="44">
        <v>3880.3620158021163</v>
      </c>
      <c r="O68" s="45" t="s">
        <v>5074</v>
      </c>
      <c r="P68" s="46">
        <v>3</v>
      </c>
      <c r="Q68" s="43">
        <v>243.38194008299129</v>
      </c>
      <c r="R68" s="43">
        <v>252.86333347770895</v>
      </c>
      <c r="S68" s="47">
        <v>0</v>
      </c>
      <c r="T68" s="48">
        <v>239.97761154337326</v>
      </c>
      <c r="U68" s="48">
        <v>231.9093833884906</v>
      </c>
      <c r="V68" s="48">
        <v>252.86333347770895</v>
      </c>
      <c r="W68" s="48">
        <v>238.60412725328732</v>
      </c>
    </row>
    <row r="69" spans="1:23" ht="13.2" x14ac:dyDescent="0.25">
      <c r="A69" s="41">
        <v>67</v>
      </c>
      <c r="B69" s="42">
        <v>0.72795102732626304</v>
      </c>
      <c r="C69" s="14" t="s">
        <v>5079</v>
      </c>
      <c r="D69" s="42">
        <v>0.15589619388612741</v>
      </c>
      <c r="E69" s="43">
        <v>7.4676885816583827</v>
      </c>
      <c r="F69" s="42">
        <v>0.58426425214124111</v>
      </c>
      <c r="G69" s="43">
        <v>1.5042690677355366</v>
      </c>
      <c r="H69" s="42">
        <v>0.92643134525345239</v>
      </c>
      <c r="I69" s="43">
        <v>0.59495097234156735</v>
      </c>
      <c r="J69" s="42">
        <v>0.6070939486879362</v>
      </c>
      <c r="K69" s="43">
        <v>1.4571437210684586</v>
      </c>
      <c r="L69" s="43">
        <v>244.83908380405975</v>
      </c>
      <c r="M69" s="44">
        <v>51.975112528342343</v>
      </c>
      <c r="N69" s="44">
        <v>93.346107270729789</v>
      </c>
      <c r="O69" s="45" t="s">
        <v>5074</v>
      </c>
      <c r="P69" s="46">
        <v>2</v>
      </c>
      <c r="Q69" s="43">
        <v>244.83908380405975</v>
      </c>
      <c r="R69" s="43">
        <v>246.3433528717953</v>
      </c>
      <c r="S69" s="47">
        <v>0</v>
      </c>
      <c r="T69" s="48">
        <v>239.97761154337326</v>
      </c>
      <c r="U69" s="48">
        <v>246.3433528717953</v>
      </c>
      <c r="V69" s="48">
        <v>252.86333347770895</v>
      </c>
      <c r="W69" s="48">
        <v>238.60412725328732</v>
      </c>
    </row>
    <row r="70" spans="1:23" ht="13.2" x14ac:dyDescent="0.25">
      <c r="A70" s="41">
        <v>68</v>
      </c>
      <c r="B70" s="42">
        <v>0.52707573283793208</v>
      </c>
      <c r="C70" s="14" t="s">
        <v>5076</v>
      </c>
      <c r="D70" s="42">
        <v>0.2063380047708461</v>
      </c>
      <c r="E70" s="43">
        <v>37.063380047708463</v>
      </c>
      <c r="F70" s="42">
        <v>0.23952713852726257</v>
      </c>
      <c r="G70" s="43">
        <v>3.1501824837225407</v>
      </c>
      <c r="H70" s="42">
        <v>0.38239303761273297</v>
      </c>
      <c r="I70" s="43">
        <v>0.78337702429567924</v>
      </c>
      <c r="J70" s="42">
        <v>0.24306828027733987</v>
      </c>
      <c r="K70" s="43">
        <v>4.1296726607763778</v>
      </c>
      <c r="L70" s="43">
        <v>248.96875646483613</v>
      </c>
      <c r="M70" s="44">
        <v>257.96112513205088</v>
      </c>
      <c r="N70" s="44">
        <v>463.29225059635581</v>
      </c>
      <c r="O70" s="45" t="s">
        <v>5074</v>
      </c>
      <c r="P70" s="46">
        <v>4</v>
      </c>
      <c r="Q70" s="43">
        <v>248.96875646483613</v>
      </c>
      <c r="R70" s="43">
        <v>252.11893894855868</v>
      </c>
      <c r="S70" s="47">
        <v>0</v>
      </c>
      <c r="T70" s="48">
        <v>239.97761154337326</v>
      </c>
      <c r="U70" s="48">
        <v>246.3433528717953</v>
      </c>
      <c r="V70" s="48">
        <v>252.86333347770895</v>
      </c>
      <c r="W70" s="48">
        <v>252.11893894855868</v>
      </c>
    </row>
    <row r="71" spans="1:23" ht="13.2" x14ac:dyDescent="0.25">
      <c r="A71" s="41">
        <v>69</v>
      </c>
      <c r="B71" s="42">
        <v>0.70136458505939903</v>
      </c>
      <c r="C71" s="14" t="s">
        <v>5079</v>
      </c>
      <c r="D71" s="42">
        <v>0.35808194212526173</v>
      </c>
      <c r="E71" s="43">
        <v>8.074245826375785</v>
      </c>
      <c r="F71" s="42">
        <v>0.81685199719707113</v>
      </c>
      <c r="G71" s="43">
        <v>1.5298537196916779</v>
      </c>
      <c r="H71" s="42">
        <v>4.2770400663265214E-2</v>
      </c>
      <c r="I71" s="43">
        <v>0.26539908306946303</v>
      </c>
      <c r="J71" s="42">
        <v>0.87329996743858795</v>
      </c>
      <c r="K71" s="43">
        <v>0.39555088130783422</v>
      </c>
      <c r="L71" s="43">
        <v>249.36430734614396</v>
      </c>
      <c r="M71" s="44">
        <v>56.19675095157546</v>
      </c>
      <c r="N71" s="44">
        <v>100.92807282969731</v>
      </c>
      <c r="O71" s="45" t="s">
        <v>5074</v>
      </c>
      <c r="P71" s="46">
        <v>1</v>
      </c>
      <c r="Q71" s="43">
        <v>249.36430734614396</v>
      </c>
      <c r="R71" s="43">
        <v>250.89416106583565</v>
      </c>
      <c r="S71" s="47">
        <v>0</v>
      </c>
      <c r="T71" s="48">
        <v>250.89416106583565</v>
      </c>
      <c r="U71" s="48">
        <v>246.3433528717953</v>
      </c>
      <c r="V71" s="48">
        <v>252.86333347770895</v>
      </c>
      <c r="W71" s="48">
        <v>252.11893894855868</v>
      </c>
    </row>
    <row r="72" spans="1:23" ht="13.2" x14ac:dyDescent="0.25">
      <c r="A72" s="41">
        <v>70</v>
      </c>
      <c r="B72" s="42">
        <v>0.1004366614392198</v>
      </c>
      <c r="C72" s="14" t="s">
        <v>5073</v>
      </c>
      <c r="D72" s="42">
        <v>0.80601806324255565</v>
      </c>
      <c r="E72" s="43">
        <v>376.72216758910668</v>
      </c>
      <c r="F72" s="42">
        <v>0.68885476081113084</v>
      </c>
      <c r="G72" s="43">
        <v>10.53611540133884</v>
      </c>
      <c r="H72" s="42">
        <v>0.4428750935210265</v>
      </c>
      <c r="I72" s="43">
        <v>3.3150537652704513</v>
      </c>
      <c r="J72" s="42">
        <v>0.13717903249765701</v>
      </c>
      <c r="K72" s="43">
        <v>5.7999077364387892</v>
      </c>
      <c r="L72" s="43">
        <v>255.16421508258276</v>
      </c>
      <c r="M72" s="44">
        <v>2621.9862864201823</v>
      </c>
      <c r="N72" s="44">
        <v>4709.0270948638336</v>
      </c>
      <c r="O72" s="45" t="s">
        <v>5074</v>
      </c>
      <c r="P72" s="46">
        <v>2</v>
      </c>
      <c r="Q72" s="43">
        <v>255.16421508258276</v>
      </c>
      <c r="R72" s="43">
        <v>265.70033048392162</v>
      </c>
      <c r="S72" s="47">
        <v>0</v>
      </c>
      <c r="T72" s="48">
        <v>250.89416106583565</v>
      </c>
      <c r="U72" s="48">
        <v>265.70033048392162</v>
      </c>
      <c r="V72" s="48">
        <v>252.86333347770895</v>
      </c>
      <c r="W72" s="48">
        <v>252.11893894855868</v>
      </c>
    </row>
    <row r="73" spans="1:23" ht="13.2" x14ac:dyDescent="0.25">
      <c r="A73" s="41">
        <v>71</v>
      </c>
      <c r="B73" s="42">
        <v>0.40120410844739718</v>
      </c>
      <c r="C73" s="14" t="s">
        <v>5077</v>
      </c>
      <c r="D73" s="42">
        <v>0.74074934969691064</v>
      </c>
      <c r="E73" s="43">
        <v>46.666744147272198</v>
      </c>
      <c r="F73" s="42">
        <v>0.28344019608732324</v>
      </c>
      <c r="G73" s="43">
        <v>3.2560512941219151</v>
      </c>
      <c r="H73" s="42">
        <v>0.76452819759237034</v>
      </c>
      <c r="I73" s="43">
        <v>1.3744814735173536</v>
      </c>
      <c r="J73" s="42">
        <v>0.77023338608920267</v>
      </c>
      <c r="K73" s="43">
        <v>0.76222397443044665</v>
      </c>
      <c r="L73" s="43">
        <v>255.9264390570132</v>
      </c>
      <c r="M73" s="44">
        <v>324.80053926501449</v>
      </c>
      <c r="N73" s="44">
        <v>583.33430184090253</v>
      </c>
      <c r="O73" s="45" t="s">
        <v>5074</v>
      </c>
      <c r="P73" s="46">
        <v>1</v>
      </c>
      <c r="Q73" s="43">
        <v>255.9264390570132</v>
      </c>
      <c r="R73" s="43">
        <v>259.18249035113513</v>
      </c>
      <c r="S73" s="47">
        <v>0</v>
      </c>
      <c r="T73" s="48">
        <v>259.18249035113513</v>
      </c>
      <c r="U73" s="48">
        <v>265.70033048392162</v>
      </c>
      <c r="V73" s="48">
        <v>252.86333347770895</v>
      </c>
      <c r="W73" s="48">
        <v>252.11893894855868</v>
      </c>
    </row>
    <row r="74" spans="1:23" ht="13.2" x14ac:dyDescent="0.25">
      <c r="A74" s="41">
        <v>72</v>
      </c>
      <c r="B74" s="42">
        <v>0.19911607596982087</v>
      </c>
      <c r="C74" s="14" t="s">
        <v>5073</v>
      </c>
      <c r="D74" s="42">
        <v>0.15848961200494766</v>
      </c>
      <c r="E74" s="43">
        <v>299.01875344059374</v>
      </c>
      <c r="F74" s="42">
        <v>0.39355848142577265</v>
      </c>
      <c r="G74" s="43">
        <v>9.611838046862669</v>
      </c>
      <c r="H74" s="42">
        <v>0.40343118012111223</v>
      </c>
      <c r="I74" s="43">
        <v>3.2779118010299548</v>
      </c>
      <c r="J74" s="42">
        <v>0.75722704024856302</v>
      </c>
      <c r="K74" s="43">
        <v>0.81194788158804665</v>
      </c>
      <c r="L74" s="43">
        <v>256.73838693860125</v>
      </c>
      <c r="M74" s="44">
        <v>2081.1705239465323</v>
      </c>
      <c r="N74" s="44">
        <v>3737.7344180074219</v>
      </c>
      <c r="O74" s="45" t="s">
        <v>5074</v>
      </c>
      <c r="P74" s="46">
        <v>4</v>
      </c>
      <c r="Q74" s="43">
        <v>256.73838693860125</v>
      </c>
      <c r="R74" s="43">
        <v>266.35022498546391</v>
      </c>
      <c r="S74" s="47">
        <v>0</v>
      </c>
      <c r="T74" s="48">
        <v>259.18249035113513</v>
      </c>
      <c r="U74" s="48">
        <v>265.70033048392162</v>
      </c>
      <c r="V74" s="48">
        <v>252.86333347770895</v>
      </c>
      <c r="W74" s="48">
        <v>266.35022498546391</v>
      </c>
    </row>
    <row r="75" spans="1:23" ht="13.2" x14ac:dyDescent="0.25">
      <c r="A75" s="41">
        <v>73</v>
      </c>
      <c r="B75" s="42">
        <v>0.81130568534662284</v>
      </c>
      <c r="C75" s="14" t="s">
        <v>5078</v>
      </c>
      <c r="D75" s="42">
        <v>6.8037533232959704E-2</v>
      </c>
      <c r="E75" s="43">
        <v>172.72150132931839</v>
      </c>
      <c r="F75" s="42">
        <v>0.64714053815563233</v>
      </c>
      <c r="G75" s="43">
        <v>6.0088978897216254</v>
      </c>
      <c r="H75" s="42">
        <v>7.6409449836429888E-2</v>
      </c>
      <c r="I75" s="43">
        <v>2.4370624950634348</v>
      </c>
      <c r="J75" s="42">
        <v>0.91162492936087069</v>
      </c>
      <c r="K75" s="43">
        <v>0.27015075960522633</v>
      </c>
      <c r="L75" s="43">
        <v>257.00853769820645</v>
      </c>
      <c r="M75" s="44">
        <v>1202.1416492520559</v>
      </c>
      <c r="N75" s="44">
        <v>2159.0187666164798</v>
      </c>
      <c r="O75" s="45" t="s">
        <v>5074</v>
      </c>
      <c r="P75" s="46">
        <v>3</v>
      </c>
      <c r="Q75" s="43">
        <v>257.00853769820645</v>
      </c>
      <c r="R75" s="43">
        <v>263.01743558792811</v>
      </c>
      <c r="S75" s="47">
        <v>0</v>
      </c>
      <c r="T75" s="48">
        <v>259.18249035113513</v>
      </c>
      <c r="U75" s="48">
        <v>265.70033048392162</v>
      </c>
      <c r="V75" s="48">
        <v>263.01743558792811</v>
      </c>
      <c r="W75" s="48">
        <v>266.35022498546391</v>
      </c>
    </row>
    <row r="76" spans="1:23" ht="13.2" x14ac:dyDescent="0.25">
      <c r="A76" s="41">
        <v>74</v>
      </c>
      <c r="B76" s="42">
        <v>0.95768034921851031</v>
      </c>
      <c r="C76" s="14" t="s">
        <v>5080</v>
      </c>
      <c r="D76" s="42">
        <v>0.35541888668919863</v>
      </c>
      <c r="E76" s="43">
        <v>93.885472167229963</v>
      </c>
      <c r="F76" s="42">
        <v>9.4502284235554873E-2</v>
      </c>
      <c r="G76" s="43">
        <v>4.2610312334871994</v>
      </c>
      <c r="H76" s="42">
        <v>0.88680313289482293</v>
      </c>
      <c r="I76" s="43">
        <v>2.5486084174585013</v>
      </c>
      <c r="J76" s="42">
        <v>0.4569177010361653</v>
      </c>
      <c r="K76" s="43">
        <v>2.2868671228182831</v>
      </c>
      <c r="L76" s="43">
        <v>259.29540482102476</v>
      </c>
      <c r="M76" s="44">
        <v>653.44288628392053</v>
      </c>
      <c r="N76" s="44">
        <v>1173.5684020903745</v>
      </c>
      <c r="O76" s="45" t="s">
        <v>5074</v>
      </c>
      <c r="P76" s="46">
        <v>1</v>
      </c>
      <c r="Q76" s="43">
        <v>259.29540482102476</v>
      </c>
      <c r="R76" s="43">
        <v>263.55643605451195</v>
      </c>
      <c r="S76" s="47">
        <v>0</v>
      </c>
      <c r="T76" s="48">
        <v>263.55643605451195</v>
      </c>
      <c r="U76" s="48">
        <v>265.70033048392162</v>
      </c>
      <c r="V76" s="48">
        <v>263.01743558792811</v>
      </c>
      <c r="W76" s="48">
        <v>266.35022498546391</v>
      </c>
    </row>
    <row r="77" spans="1:23" ht="13.2" x14ac:dyDescent="0.25">
      <c r="A77" s="41">
        <v>75</v>
      </c>
      <c r="B77" s="42">
        <v>0.40845316900334006</v>
      </c>
      <c r="C77" s="14" t="s">
        <v>5077</v>
      </c>
      <c r="D77" s="42">
        <v>0.98327123047004972</v>
      </c>
      <c r="E77" s="43">
        <v>48.849441074230448</v>
      </c>
      <c r="F77" s="42">
        <v>1.7034105498825249E-2</v>
      </c>
      <c r="G77" s="43">
        <v>3.1281763706394363</v>
      </c>
      <c r="H77" s="42">
        <v>0.1665913780064282</v>
      </c>
      <c r="I77" s="43">
        <v>1.0448936423885156</v>
      </c>
      <c r="J77" s="42">
        <v>0.98561209579259723</v>
      </c>
      <c r="K77" s="43">
        <v>4.2313616821456103E-2</v>
      </c>
      <c r="L77" s="43">
        <v>259.33771843784621</v>
      </c>
      <c r="M77" s="44">
        <v>343.83702293255249</v>
      </c>
      <c r="N77" s="44">
        <v>610.61801342788056</v>
      </c>
      <c r="O77" s="45" t="s">
        <v>5074</v>
      </c>
      <c r="P77" s="46">
        <v>3</v>
      </c>
      <c r="Q77" s="43">
        <v>263.01743558792811</v>
      </c>
      <c r="R77" s="43">
        <v>266.14561195856754</v>
      </c>
      <c r="S77" s="43">
        <v>3.679717150081899</v>
      </c>
      <c r="T77" s="48">
        <v>263.55643605451195</v>
      </c>
      <c r="U77" s="48">
        <v>265.70033048392162</v>
      </c>
      <c r="V77" s="48">
        <v>266.14561195856754</v>
      </c>
      <c r="W77" s="48">
        <v>266.35022498546391</v>
      </c>
    </row>
    <row r="78" spans="1:23" ht="13.2" x14ac:dyDescent="0.25">
      <c r="A78" s="41">
        <v>76</v>
      </c>
      <c r="B78" s="42">
        <v>0.44588511877035958</v>
      </c>
      <c r="C78" s="14" t="s">
        <v>5077</v>
      </c>
      <c r="D78" s="42">
        <v>0.39945717873026487</v>
      </c>
      <c r="E78" s="43">
        <v>43.595114608572381</v>
      </c>
      <c r="F78" s="42">
        <v>0.93256194001648662</v>
      </c>
      <c r="G78" s="43">
        <v>3.5676297312079135</v>
      </c>
      <c r="H78" s="42">
        <v>0.1353418883566474</v>
      </c>
      <c r="I78" s="43">
        <v>1.0207330510104753</v>
      </c>
      <c r="J78" s="42">
        <v>0.42885279442595914</v>
      </c>
      <c r="K78" s="43">
        <v>2.4719461473727238</v>
      </c>
      <c r="L78" s="43">
        <v>261.80966458521891</v>
      </c>
      <c r="M78" s="44">
        <v>305.2049850469333</v>
      </c>
      <c r="N78" s="44">
        <v>544.93893260715481</v>
      </c>
      <c r="O78" s="45" t="s">
        <v>5074</v>
      </c>
      <c r="P78" s="46">
        <v>1</v>
      </c>
      <c r="Q78" s="43">
        <v>263.55643605451195</v>
      </c>
      <c r="R78" s="43">
        <v>267.12406578571984</v>
      </c>
      <c r="S78" s="43">
        <v>1.7467714692930372</v>
      </c>
      <c r="T78" s="48">
        <v>267.12406578571984</v>
      </c>
      <c r="U78" s="48">
        <v>265.70033048392162</v>
      </c>
      <c r="V78" s="48">
        <v>266.14561195856754</v>
      </c>
      <c r="W78" s="48">
        <v>266.35022498546391</v>
      </c>
    </row>
    <row r="79" spans="1:23" ht="13.2" x14ac:dyDescent="0.25">
      <c r="A79" s="41">
        <v>77</v>
      </c>
      <c r="B79" s="42">
        <v>0.66977781554208038</v>
      </c>
      <c r="C79" s="14" t="s">
        <v>5079</v>
      </c>
      <c r="D79" s="42">
        <v>0.39055112720958474</v>
      </c>
      <c r="E79" s="43">
        <v>8.1716533816287544</v>
      </c>
      <c r="F79" s="42">
        <v>0.58715447997076176</v>
      </c>
      <c r="G79" s="43">
        <v>1.5045869927967839</v>
      </c>
      <c r="H79" s="42">
        <v>0.78290927819111822</v>
      </c>
      <c r="I79" s="43">
        <v>0.51954610485962827</v>
      </c>
      <c r="J79" s="42">
        <v>0.53841701687239907</v>
      </c>
      <c r="K79" s="43">
        <v>1.8076551672289225</v>
      </c>
      <c r="L79" s="43">
        <v>263.61731975244783</v>
      </c>
      <c r="M79" s="44">
        <v>57.95692764805414</v>
      </c>
      <c r="N79" s="44">
        <v>102.14566727035943</v>
      </c>
      <c r="O79" s="45" t="s">
        <v>5074</v>
      </c>
      <c r="P79" s="46">
        <v>2</v>
      </c>
      <c r="Q79" s="43">
        <v>265.70033048392162</v>
      </c>
      <c r="R79" s="43">
        <v>267.20491747671838</v>
      </c>
      <c r="S79" s="43">
        <v>2.0830107314737916</v>
      </c>
      <c r="T79" s="48">
        <v>267.12406578571984</v>
      </c>
      <c r="U79" s="48">
        <v>267.20491747671838</v>
      </c>
      <c r="V79" s="48">
        <v>266.14561195856754</v>
      </c>
      <c r="W79" s="48">
        <v>266.35022498546391</v>
      </c>
    </row>
    <row r="80" spans="1:23" ht="13.2" x14ac:dyDescent="0.25">
      <c r="A80" s="41">
        <v>78</v>
      </c>
      <c r="B80" s="42">
        <v>5.7145475902196707E-2</v>
      </c>
      <c r="C80" s="14" t="s">
        <v>5073</v>
      </c>
      <c r="D80" s="42">
        <v>0.54541204988277148</v>
      </c>
      <c r="E80" s="43">
        <v>345.44944598593258</v>
      </c>
      <c r="F80" s="42">
        <v>0.46446706609077149</v>
      </c>
      <c r="G80" s="43">
        <v>9.8337819168641154</v>
      </c>
      <c r="H80" s="42">
        <v>0.51532068732908032</v>
      </c>
      <c r="I80" s="43">
        <v>3.3791933979470161</v>
      </c>
      <c r="J80" s="42">
        <v>0.63921238325499574</v>
      </c>
      <c r="K80" s="43">
        <v>1.3066233917240324</v>
      </c>
      <c r="L80" s="43">
        <v>264.92394314417186</v>
      </c>
      <c r="M80" s="44">
        <v>2408.4563992541744</v>
      </c>
      <c r="N80" s="44">
        <v>4318.1180748241577</v>
      </c>
      <c r="O80" s="45" t="s">
        <v>5074</v>
      </c>
      <c r="P80" s="46">
        <v>3</v>
      </c>
      <c r="Q80" s="43">
        <v>266.14561195856754</v>
      </c>
      <c r="R80" s="43">
        <v>275.97939387543164</v>
      </c>
      <c r="S80" s="43">
        <v>1.2216688143956844</v>
      </c>
      <c r="T80" s="48">
        <v>267.12406578571984</v>
      </c>
      <c r="U80" s="48">
        <v>267.20491747671838</v>
      </c>
      <c r="V80" s="48">
        <v>275.97939387543164</v>
      </c>
      <c r="W80" s="48">
        <v>266.35022498546391</v>
      </c>
    </row>
    <row r="81" spans="1:23" ht="13.2" x14ac:dyDescent="0.25">
      <c r="A81" s="41">
        <v>79</v>
      </c>
      <c r="B81" s="42">
        <v>0.46437346770631777</v>
      </c>
      <c r="C81" s="14" t="s">
        <v>5077</v>
      </c>
      <c r="D81" s="42">
        <v>0.71846980448740994</v>
      </c>
      <c r="E81" s="43">
        <v>46.466228240386691</v>
      </c>
      <c r="F81" s="42">
        <v>0.42345035188992058</v>
      </c>
      <c r="G81" s="43">
        <v>3.3232561689071618</v>
      </c>
      <c r="H81" s="42">
        <v>0.16911551597021313</v>
      </c>
      <c r="I81" s="43">
        <v>1.0467419416096031</v>
      </c>
      <c r="J81" s="42">
        <v>0.47635626489126881</v>
      </c>
      <c r="K81" s="43">
        <v>2.1652240848176474</v>
      </c>
      <c r="L81" s="43">
        <v>267.08916722898948</v>
      </c>
      <c r="M81" s="44">
        <v>323.40494855309134</v>
      </c>
      <c r="N81" s="44">
        <v>580.82785300483363</v>
      </c>
      <c r="O81" s="45" t="s">
        <v>5074</v>
      </c>
      <c r="P81" s="46">
        <v>4</v>
      </c>
      <c r="Q81" s="43">
        <v>267.08916722898948</v>
      </c>
      <c r="R81" s="43">
        <v>270.41242339789665</v>
      </c>
      <c r="S81" s="47">
        <v>0</v>
      </c>
      <c r="T81" s="48">
        <v>267.12406578571984</v>
      </c>
      <c r="U81" s="48">
        <v>267.20491747671838</v>
      </c>
      <c r="V81" s="48">
        <v>275.97939387543164</v>
      </c>
      <c r="W81" s="48">
        <v>270.41242339789665</v>
      </c>
    </row>
    <row r="82" spans="1:23" ht="13.2" x14ac:dyDescent="0.25">
      <c r="A82" s="41">
        <v>80</v>
      </c>
      <c r="B82" s="42">
        <v>0.38395408512277251</v>
      </c>
      <c r="C82" s="14" t="s">
        <v>5077</v>
      </c>
      <c r="D82" s="42">
        <v>0.64567492885779354</v>
      </c>
      <c r="E82" s="43">
        <v>45.811074359720145</v>
      </c>
      <c r="F82" s="42">
        <v>0.53309296468882494</v>
      </c>
      <c r="G82" s="43">
        <v>3.3758846230506361</v>
      </c>
      <c r="H82" s="42">
        <v>3.9184612240262616E-2</v>
      </c>
      <c r="I82" s="43">
        <v>0.91877062097376838</v>
      </c>
      <c r="J82" s="42">
        <v>0.23882516903748044</v>
      </c>
      <c r="K82" s="43">
        <v>4.1810905256591768</v>
      </c>
      <c r="L82" s="43">
        <v>271.27025775464864</v>
      </c>
      <c r="M82" s="44">
        <v>318.84507754365222</v>
      </c>
      <c r="N82" s="44">
        <v>572.63842949650177</v>
      </c>
      <c r="O82" s="45" t="s">
        <v>5074</v>
      </c>
      <c r="P82" s="46">
        <v>1</v>
      </c>
      <c r="Q82" s="43">
        <v>271.27025775464864</v>
      </c>
      <c r="R82" s="43">
        <v>274.64614237769928</v>
      </c>
      <c r="S82" s="47">
        <v>0</v>
      </c>
      <c r="T82" s="48">
        <v>274.64614237769928</v>
      </c>
      <c r="U82" s="48">
        <v>267.20491747671838</v>
      </c>
      <c r="V82" s="48">
        <v>275.97939387543164</v>
      </c>
      <c r="W82" s="48">
        <v>270.41242339789665</v>
      </c>
    </row>
    <row r="83" spans="1:23" ht="13.2" x14ac:dyDescent="0.25">
      <c r="A83" s="41">
        <v>81</v>
      </c>
      <c r="B83" s="42">
        <v>0.93662805805757088</v>
      </c>
      <c r="C83" s="14" t="s">
        <v>5080</v>
      </c>
      <c r="D83" s="42">
        <v>0.29047422403957424</v>
      </c>
      <c r="E83" s="43">
        <v>92.26185560098935</v>
      </c>
      <c r="F83" s="42">
        <v>7.990541825066573E-2</v>
      </c>
      <c r="G83" s="43">
        <v>4.2531489258553599</v>
      </c>
      <c r="H83" s="42">
        <v>3.8449635281436904E-2</v>
      </c>
      <c r="I83" s="43">
        <v>1.435302942619231</v>
      </c>
      <c r="J83" s="42">
        <v>0.85130277967606804</v>
      </c>
      <c r="K83" s="43">
        <v>0.47003626535525028</v>
      </c>
      <c r="L83" s="43">
        <v>271.74029402000389</v>
      </c>
      <c r="M83" s="44">
        <v>642.14251498288581</v>
      </c>
      <c r="N83" s="44">
        <v>1153.2731950123668</v>
      </c>
      <c r="O83" s="45" t="s">
        <v>5074</v>
      </c>
      <c r="P83" s="46">
        <v>2</v>
      </c>
      <c r="Q83" s="43">
        <v>271.74029402000389</v>
      </c>
      <c r="R83" s="43">
        <v>275.99344294585927</v>
      </c>
      <c r="S83" s="47">
        <v>0</v>
      </c>
      <c r="T83" s="48">
        <v>274.64614237769928</v>
      </c>
      <c r="U83" s="48">
        <v>275.99344294585927</v>
      </c>
      <c r="V83" s="48">
        <v>275.97939387543164</v>
      </c>
      <c r="W83" s="48">
        <v>270.41242339789665</v>
      </c>
    </row>
    <row r="84" spans="1:23" ht="13.2" x14ac:dyDescent="0.25">
      <c r="A84" s="41">
        <v>82</v>
      </c>
      <c r="B84" s="42">
        <v>0.2314762530063634</v>
      </c>
      <c r="C84" s="14" t="s">
        <v>5073</v>
      </c>
      <c r="D84" s="42">
        <v>0.48217136295613433</v>
      </c>
      <c r="E84" s="43">
        <v>337.86056355473613</v>
      </c>
      <c r="F84" s="42">
        <v>0.7600605053641184</v>
      </c>
      <c r="G84" s="43">
        <v>10.758989381789691</v>
      </c>
      <c r="H84" s="42">
        <v>0.18482715505400074</v>
      </c>
      <c r="I84" s="43">
        <v>3.0265365443926955</v>
      </c>
      <c r="J84" s="42">
        <v>0.89240220649745416</v>
      </c>
      <c r="K84" s="43">
        <v>0.33237472666781198</v>
      </c>
      <c r="L84" s="43">
        <v>272.0726687466717</v>
      </c>
      <c r="M84" s="44">
        <v>2351.5095223409635</v>
      </c>
      <c r="N84" s="44">
        <v>4223.2570444342018</v>
      </c>
      <c r="O84" s="45" t="s">
        <v>5074</v>
      </c>
      <c r="P84" s="46">
        <v>4</v>
      </c>
      <c r="Q84" s="43">
        <v>272.0726687466717</v>
      </c>
      <c r="R84" s="43">
        <v>282.83165812846141</v>
      </c>
      <c r="S84" s="47">
        <v>0</v>
      </c>
      <c r="T84" s="48">
        <v>274.64614237769928</v>
      </c>
      <c r="U84" s="48">
        <v>275.99344294585927</v>
      </c>
      <c r="V84" s="48">
        <v>275.97939387543164</v>
      </c>
      <c r="W84" s="48">
        <v>282.83165812846141</v>
      </c>
    </row>
    <row r="85" spans="1:23" ht="13.2" x14ac:dyDescent="0.25">
      <c r="A85" s="41">
        <v>83</v>
      </c>
      <c r="B85" s="42">
        <v>0.25490612082877484</v>
      </c>
      <c r="C85" s="14" t="s">
        <v>5077</v>
      </c>
      <c r="D85" s="42">
        <v>8.2908462305976288E-2</v>
      </c>
      <c r="E85" s="43">
        <v>40.746176160753784</v>
      </c>
      <c r="F85" s="42">
        <v>0.68035580109821436</v>
      </c>
      <c r="G85" s="43">
        <v>3.4465707845271432</v>
      </c>
      <c r="H85" s="42">
        <v>0.7119589511826443</v>
      </c>
      <c r="I85" s="43">
        <v>1.3399743454032613</v>
      </c>
      <c r="J85" s="42">
        <v>0.94535323695528939</v>
      </c>
      <c r="K85" s="43">
        <v>0.16407773901526135</v>
      </c>
      <c r="L85" s="43">
        <v>272.23674648568698</v>
      </c>
      <c r="M85" s="44">
        <v>286.82191476206282</v>
      </c>
      <c r="N85" s="44">
        <v>509.32720200942231</v>
      </c>
      <c r="O85" s="45" t="s">
        <v>5074</v>
      </c>
      <c r="P85" s="46">
        <v>1</v>
      </c>
      <c r="Q85" s="43">
        <v>274.64614237769928</v>
      </c>
      <c r="R85" s="43">
        <v>278.0927131622264</v>
      </c>
      <c r="S85" s="43">
        <v>2.4093958920122986</v>
      </c>
      <c r="T85" s="48">
        <v>278.0927131622264</v>
      </c>
      <c r="U85" s="48">
        <v>275.99344294585927</v>
      </c>
      <c r="V85" s="48">
        <v>275.97939387543164</v>
      </c>
      <c r="W85" s="48">
        <v>282.83165812846141</v>
      </c>
    </row>
    <row r="86" spans="1:23" ht="13.2" x14ac:dyDescent="0.25">
      <c r="A86" s="41">
        <v>84</v>
      </c>
      <c r="B86" s="42">
        <v>0.56887894895341196</v>
      </c>
      <c r="C86" s="14" t="s">
        <v>5076</v>
      </c>
      <c r="D86" s="42">
        <v>0.70464262399107336</v>
      </c>
      <c r="E86" s="43">
        <v>42.04642623991073</v>
      </c>
      <c r="F86" s="42">
        <v>0.73583468735955404</v>
      </c>
      <c r="G86" s="43">
        <v>3.378483956185395</v>
      </c>
      <c r="H86" s="42">
        <v>0.70511310766689161</v>
      </c>
      <c r="I86" s="43">
        <v>0.91265294528519991</v>
      </c>
      <c r="J86" s="42">
        <v>0.86767517862267562</v>
      </c>
      <c r="K86" s="43">
        <v>0.41441708769495778</v>
      </c>
      <c r="L86" s="43">
        <v>272.65116357338195</v>
      </c>
      <c r="M86" s="44">
        <v>295.6806458175318</v>
      </c>
      <c r="N86" s="44">
        <v>525.58032799888417</v>
      </c>
      <c r="O86" s="45" t="s">
        <v>5074</v>
      </c>
      <c r="P86" s="46">
        <v>3</v>
      </c>
      <c r="Q86" s="43">
        <v>275.97939387543164</v>
      </c>
      <c r="R86" s="43">
        <v>279.35787783161703</v>
      </c>
      <c r="S86" s="43">
        <v>3.3282303020496897</v>
      </c>
      <c r="T86" s="48">
        <v>278.0927131622264</v>
      </c>
      <c r="U86" s="48">
        <v>275.99344294585927</v>
      </c>
      <c r="V86" s="48">
        <v>279.35787783161703</v>
      </c>
      <c r="W86" s="48">
        <v>282.83165812846141</v>
      </c>
    </row>
    <row r="87" spans="1:23" ht="13.2" x14ac:dyDescent="0.25">
      <c r="A87" s="41">
        <v>85</v>
      </c>
      <c r="B87" s="42">
        <v>0.49883285514024683</v>
      </c>
      <c r="C87" s="14" t="s">
        <v>5076</v>
      </c>
      <c r="D87" s="42">
        <v>0.23033826529529797</v>
      </c>
      <c r="E87" s="43">
        <v>37.303382652952976</v>
      </c>
      <c r="F87" s="42">
        <v>0.2731766017494614</v>
      </c>
      <c r="G87" s="43">
        <v>3.1656612368047523</v>
      </c>
      <c r="H87" s="42">
        <v>0.75516296818627182</v>
      </c>
      <c r="I87" s="43">
        <v>0.9381711075762571</v>
      </c>
      <c r="J87" s="42">
        <v>0.11175620002288195</v>
      </c>
      <c r="K87" s="43">
        <v>6.3983520170463741</v>
      </c>
      <c r="L87" s="43">
        <v>279.04951559042831</v>
      </c>
      <c r="M87" s="44">
        <v>259.6315432645527</v>
      </c>
      <c r="N87" s="44">
        <v>466.29228316191222</v>
      </c>
      <c r="O87" s="45" t="s">
        <v>5074</v>
      </c>
      <c r="P87" s="46">
        <v>2</v>
      </c>
      <c r="Q87" s="43">
        <v>279.04951559042831</v>
      </c>
      <c r="R87" s="43">
        <v>282.21517682723305</v>
      </c>
      <c r="S87" s="47">
        <v>0</v>
      </c>
      <c r="T87" s="48">
        <v>278.0927131622264</v>
      </c>
      <c r="U87" s="48">
        <v>282.21517682723305</v>
      </c>
      <c r="V87" s="48">
        <v>279.35787783161703</v>
      </c>
      <c r="W87" s="48">
        <v>282.83165812846141</v>
      </c>
    </row>
    <row r="88" spans="1:23" ht="13.2" x14ac:dyDescent="0.25">
      <c r="A88" s="41">
        <v>86</v>
      </c>
      <c r="B88" s="42">
        <v>0.46097903347619762</v>
      </c>
      <c r="C88" s="14" t="s">
        <v>5077</v>
      </c>
      <c r="D88" s="42">
        <v>0.59783291378888903</v>
      </c>
      <c r="E88" s="43">
        <v>45.3804962241</v>
      </c>
      <c r="F88" s="42">
        <v>0.3029603964197265</v>
      </c>
      <c r="G88" s="43">
        <v>3.265420990281469</v>
      </c>
      <c r="H88" s="42">
        <v>0.6259864911558044</v>
      </c>
      <c r="I88" s="43">
        <v>1.2897487611476499</v>
      </c>
      <c r="J88" s="42">
        <v>0.63632706116713911</v>
      </c>
      <c r="K88" s="43">
        <v>1.3198324108134525</v>
      </c>
      <c r="L88" s="43">
        <v>280.36934800124175</v>
      </c>
      <c r="M88" s="44">
        <v>315.84825371973602</v>
      </c>
      <c r="N88" s="44">
        <v>567.25620280124997</v>
      </c>
      <c r="O88" s="45" t="s">
        <v>5074</v>
      </c>
      <c r="P88" s="46">
        <v>1</v>
      </c>
      <c r="Q88" s="43">
        <v>280.36934800124175</v>
      </c>
      <c r="R88" s="43">
        <v>283.63476899152323</v>
      </c>
      <c r="S88" s="47">
        <v>0</v>
      </c>
      <c r="T88" s="48">
        <v>283.63476899152323</v>
      </c>
      <c r="U88" s="48">
        <v>282.21517682723305</v>
      </c>
      <c r="V88" s="48">
        <v>279.35787783161703</v>
      </c>
      <c r="W88" s="48">
        <v>282.83165812846141</v>
      </c>
    </row>
    <row r="89" spans="1:23" ht="13.2" x14ac:dyDescent="0.25">
      <c r="A89" s="41">
        <v>87</v>
      </c>
      <c r="B89" s="42">
        <v>0.77362517815717735</v>
      </c>
      <c r="C89" s="14" t="s">
        <v>5078</v>
      </c>
      <c r="D89" s="42">
        <v>0.92180802157232911</v>
      </c>
      <c r="E89" s="43">
        <v>206.87232086289316</v>
      </c>
      <c r="F89" s="42">
        <v>0.96924362702725619</v>
      </c>
      <c r="G89" s="43">
        <v>6.3020117005948029</v>
      </c>
      <c r="H89" s="42">
        <v>0.72041348960269869</v>
      </c>
      <c r="I89" s="43">
        <v>3.4760618114408075</v>
      </c>
      <c r="J89" s="42">
        <v>0.73591687797378602</v>
      </c>
      <c r="K89" s="43">
        <v>0.89529373479358043</v>
      </c>
      <c r="L89" s="43">
        <v>281.26464173603534</v>
      </c>
      <c r="M89" s="44">
        <v>1439.8313532057364</v>
      </c>
      <c r="N89" s="44">
        <v>2585.9040107861647</v>
      </c>
      <c r="O89" s="45" t="s">
        <v>5074</v>
      </c>
      <c r="P89" s="46">
        <v>3</v>
      </c>
      <c r="Q89" s="43">
        <v>281.26464173603534</v>
      </c>
      <c r="R89" s="43">
        <v>287.56665343663013</v>
      </c>
      <c r="S89" s="47">
        <v>0</v>
      </c>
      <c r="T89" s="48">
        <v>283.63476899152323</v>
      </c>
      <c r="U89" s="48">
        <v>282.21517682723305</v>
      </c>
      <c r="V89" s="48">
        <v>287.56665343663013</v>
      </c>
      <c r="W89" s="48">
        <v>282.83165812846141</v>
      </c>
    </row>
    <row r="90" spans="1:23" ht="13.2" x14ac:dyDescent="0.25">
      <c r="A90" s="41">
        <v>88</v>
      </c>
      <c r="B90" s="42">
        <v>0.5134452621049459</v>
      </c>
      <c r="C90" s="14" t="s">
        <v>5076</v>
      </c>
      <c r="D90" s="42">
        <v>0.94704118089146971</v>
      </c>
      <c r="E90" s="43">
        <v>44.470411808914697</v>
      </c>
      <c r="F90" s="42">
        <v>0.19375931946270136</v>
      </c>
      <c r="G90" s="43">
        <v>3.1291292869528426</v>
      </c>
      <c r="H90" s="42">
        <v>0.70336459889233327</v>
      </c>
      <c r="I90" s="43">
        <v>0.91180230342671598</v>
      </c>
      <c r="J90" s="42">
        <v>0.43110720693650989</v>
      </c>
      <c r="K90" s="43">
        <v>2.4566378972763498</v>
      </c>
      <c r="L90" s="43">
        <v>283.72127963331167</v>
      </c>
      <c r="M90" s="44">
        <v>309.51406619004626</v>
      </c>
      <c r="N90" s="44">
        <v>555.8801476114337</v>
      </c>
      <c r="O90" s="45" t="s">
        <v>5074</v>
      </c>
      <c r="P90" s="46">
        <v>2</v>
      </c>
      <c r="Q90" s="43">
        <v>283.72127963331167</v>
      </c>
      <c r="R90" s="43">
        <v>286.8504089202645</v>
      </c>
      <c r="S90" s="47">
        <v>0</v>
      </c>
      <c r="T90" s="48">
        <v>283.63476899152323</v>
      </c>
      <c r="U90" s="48">
        <v>286.8504089202645</v>
      </c>
      <c r="V90" s="48">
        <v>287.56665343663013</v>
      </c>
      <c r="W90" s="48">
        <v>282.83165812846141</v>
      </c>
    </row>
    <row r="91" spans="1:23" ht="13.2" x14ac:dyDescent="0.25">
      <c r="A91" s="41">
        <v>89</v>
      </c>
      <c r="B91" s="42">
        <v>0.19576194006752312</v>
      </c>
      <c r="C91" s="14" t="s">
        <v>5073</v>
      </c>
      <c r="D91" s="42">
        <v>0.11542683984871341</v>
      </c>
      <c r="E91" s="43">
        <v>293.8512207818456</v>
      </c>
      <c r="F91" s="42">
        <v>0.33273512559604607</v>
      </c>
      <c r="G91" s="43">
        <v>9.4214609431156244</v>
      </c>
      <c r="H91" s="42">
        <v>0.4070687044444814</v>
      </c>
      <c r="I91" s="43">
        <v>3.2814109396896884</v>
      </c>
      <c r="J91" s="42">
        <v>0.50740139629105174</v>
      </c>
      <c r="K91" s="43">
        <v>1.980884321068868</v>
      </c>
      <c r="L91" s="43">
        <v>285.70216395438052</v>
      </c>
      <c r="M91" s="44">
        <v>2045.2044966416454</v>
      </c>
      <c r="N91" s="44">
        <v>3673.1402597730698</v>
      </c>
      <c r="O91" s="45" t="s">
        <v>5074</v>
      </c>
      <c r="P91" s="46">
        <v>4</v>
      </c>
      <c r="Q91" s="43">
        <v>285.70216395438052</v>
      </c>
      <c r="R91" s="43">
        <v>295.12362489749614</v>
      </c>
      <c r="S91" s="47">
        <v>0</v>
      </c>
      <c r="T91" s="48">
        <v>283.63476899152323</v>
      </c>
      <c r="U91" s="48">
        <v>286.8504089202645</v>
      </c>
      <c r="V91" s="48">
        <v>287.56665343663013</v>
      </c>
      <c r="W91" s="48">
        <v>295.12362489749614</v>
      </c>
    </row>
    <row r="92" spans="1:23" ht="13.2" x14ac:dyDescent="0.25">
      <c r="A92" s="41">
        <v>90</v>
      </c>
      <c r="B92" s="42">
        <v>0.78129730875664261</v>
      </c>
      <c r="C92" s="14" t="s">
        <v>5078</v>
      </c>
      <c r="D92" s="42">
        <v>0.37499409652081972</v>
      </c>
      <c r="E92" s="43">
        <v>184.99976386083279</v>
      </c>
      <c r="F92" s="42">
        <v>0.52064726339683276</v>
      </c>
      <c r="G92" s="43">
        <v>5.8937890096911181</v>
      </c>
      <c r="H92" s="42">
        <v>0.85824155894026233</v>
      </c>
      <c r="I92" s="43">
        <v>3.7708949636890332</v>
      </c>
      <c r="J92" s="42">
        <v>3.0309860608684768E-3</v>
      </c>
      <c r="K92" s="43">
        <v>16.930999357000616</v>
      </c>
      <c r="L92" s="43">
        <v>302.63316331138117</v>
      </c>
      <c r="M92" s="44">
        <v>1287.5983564713961</v>
      </c>
      <c r="N92" s="44">
        <v>2312.4970482604099</v>
      </c>
      <c r="O92" s="45" t="s">
        <v>5074</v>
      </c>
      <c r="P92" s="46">
        <v>1</v>
      </c>
      <c r="Q92" s="43">
        <v>302.63316331138117</v>
      </c>
      <c r="R92" s="43">
        <v>308.52695232107226</v>
      </c>
      <c r="S92" s="47">
        <v>0</v>
      </c>
      <c r="T92" s="48">
        <v>308.52695232107226</v>
      </c>
      <c r="U92" s="48">
        <v>286.8504089202645</v>
      </c>
      <c r="V92" s="48">
        <v>287.56665343663013</v>
      </c>
      <c r="W92" s="48">
        <v>295.12362489749614</v>
      </c>
    </row>
    <row r="93" spans="1:23" ht="13.2" x14ac:dyDescent="0.25">
      <c r="A93" s="41">
        <v>91</v>
      </c>
      <c r="B93" s="42">
        <v>0.62420891300971104</v>
      </c>
      <c r="C93" s="14" t="s">
        <v>5076</v>
      </c>
      <c r="D93" s="42">
        <v>0.81306343516943202</v>
      </c>
      <c r="E93" s="43">
        <v>43.130634351694319</v>
      </c>
      <c r="F93" s="42">
        <v>0.88656134479053383</v>
      </c>
      <c r="G93" s="43">
        <v>3.4478182186036457</v>
      </c>
      <c r="H93" s="42">
        <v>0.99457340920091297</v>
      </c>
      <c r="I93" s="43">
        <v>1.1610199355600279</v>
      </c>
      <c r="J93" s="42">
        <v>0.77608609561626152</v>
      </c>
      <c r="K93" s="43">
        <v>0.74012209341339563</v>
      </c>
      <c r="L93" s="43">
        <v>303.37328540479456</v>
      </c>
      <c r="M93" s="44">
        <v>300.18921508779243</v>
      </c>
      <c r="N93" s="44">
        <v>539.13292939617895</v>
      </c>
      <c r="O93" s="45" t="s">
        <v>5074</v>
      </c>
      <c r="P93" s="46">
        <v>2</v>
      </c>
      <c r="Q93" s="43">
        <v>303.37328540479456</v>
      </c>
      <c r="R93" s="43">
        <v>306.82110362339819</v>
      </c>
      <c r="S93" s="47">
        <v>0</v>
      </c>
      <c r="T93" s="48">
        <v>308.52695232107226</v>
      </c>
      <c r="U93" s="48">
        <v>306.82110362339819</v>
      </c>
      <c r="V93" s="48">
        <v>287.56665343663013</v>
      </c>
      <c r="W93" s="48">
        <v>295.12362489749614</v>
      </c>
    </row>
    <row r="94" spans="1:23" ht="13.2" x14ac:dyDescent="0.25">
      <c r="A94" s="41">
        <v>92</v>
      </c>
      <c r="B94" s="42">
        <v>0.18044160361422301</v>
      </c>
      <c r="C94" s="14" t="s">
        <v>5073</v>
      </c>
      <c r="D94" s="42">
        <v>3.2391910456303463E-2</v>
      </c>
      <c r="E94" s="43">
        <v>283.88702925475644</v>
      </c>
      <c r="F94" s="42">
        <v>0.61688822443452118</v>
      </c>
      <c r="G94" s="43">
        <v>10.310860142480051</v>
      </c>
      <c r="H94" s="42">
        <v>0.34391281723227018</v>
      </c>
      <c r="I94" s="43">
        <v>3.2182403677379914</v>
      </c>
      <c r="J94" s="42">
        <v>0.95423949042066913</v>
      </c>
      <c r="K94" s="43">
        <v>0.1367608784287857</v>
      </c>
      <c r="L94" s="43">
        <v>303.51004628322335</v>
      </c>
      <c r="M94" s="44">
        <v>1975.8537236131049</v>
      </c>
      <c r="N94" s="44">
        <v>3548.5878656844557</v>
      </c>
      <c r="O94" s="45" t="s">
        <v>5074</v>
      </c>
      <c r="P94" s="46">
        <v>3</v>
      </c>
      <c r="Q94" s="43">
        <v>303.51004628322335</v>
      </c>
      <c r="R94" s="43">
        <v>313.82090642570341</v>
      </c>
      <c r="S94" s="47">
        <v>0</v>
      </c>
      <c r="T94" s="48">
        <v>308.52695232107226</v>
      </c>
      <c r="U94" s="48">
        <v>306.82110362339819</v>
      </c>
      <c r="V94" s="48">
        <v>313.82090642570341</v>
      </c>
      <c r="W94" s="48">
        <v>295.12362489749614</v>
      </c>
    </row>
    <row r="95" spans="1:23" ht="13.2" x14ac:dyDescent="0.25">
      <c r="A95" s="41">
        <v>93</v>
      </c>
      <c r="B95" s="42">
        <v>0.95992841010909924</v>
      </c>
      <c r="C95" s="14" t="s">
        <v>5080</v>
      </c>
      <c r="D95" s="42">
        <v>0.3089727942407936</v>
      </c>
      <c r="E95" s="43">
        <v>92.724319856019846</v>
      </c>
      <c r="F95" s="42">
        <v>0.41246960284769052</v>
      </c>
      <c r="G95" s="43">
        <v>4.4327335855377532</v>
      </c>
      <c r="H95" s="42">
        <v>0.43781599795344101</v>
      </c>
      <c r="I95" s="43">
        <v>1.9940119879781131</v>
      </c>
      <c r="J95" s="42">
        <v>0.14612939727778052</v>
      </c>
      <c r="K95" s="43">
        <v>5.6153657432581223</v>
      </c>
      <c r="L95" s="43">
        <v>309.12541202648146</v>
      </c>
      <c r="M95" s="44">
        <v>645.36126619789809</v>
      </c>
      <c r="N95" s="44">
        <v>1159.0539982002481</v>
      </c>
      <c r="O95" s="45" t="s">
        <v>5074</v>
      </c>
      <c r="P95" s="46">
        <v>4</v>
      </c>
      <c r="Q95" s="43">
        <v>309.12541202648146</v>
      </c>
      <c r="R95" s="43">
        <v>313.55814561201919</v>
      </c>
      <c r="S95" s="47">
        <v>0</v>
      </c>
      <c r="T95" s="48">
        <v>308.52695232107226</v>
      </c>
      <c r="U95" s="48">
        <v>306.82110362339819</v>
      </c>
      <c r="V95" s="48">
        <v>313.82090642570341</v>
      </c>
      <c r="W95" s="48">
        <v>313.55814561201919</v>
      </c>
    </row>
    <row r="96" spans="1:23" ht="13.2" x14ac:dyDescent="0.25">
      <c r="A96" s="41">
        <v>94</v>
      </c>
      <c r="B96" s="42">
        <v>0.50713974354189806</v>
      </c>
      <c r="C96" s="14" t="s">
        <v>5076</v>
      </c>
      <c r="D96" s="42">
        <v>0.25375502382114296</v>
      </c>
      <c r="E96" s="43">
        <v>37.537550238211431</v>
      </c>
      <c r="F96" s="42">
        <v>5.3161833925713706E-2</v>
      </c>
      <c r="G96" s="43">
        <v>3.0644544436058285</v>
      </c>
      <c r="H96" s="42">
        <v>0.67375114451802853</v>
      </c>
      <c r="I96" s="43">
        <v>0.89775890495342625</v>
      </c>
      <c r="J96" s="42">
        <v>9.5964817374928305E-2</v>
      </c>
      <c r="K96" s="43">
        <v>6.8431347163924654</v>
      </c>
      <c r="L96" s="43">
        <v>315.96854674287391</v>
      </c>
      <c r="M96" s="44">
        <v>261.26134965795154</v>
      </c>
      <c r="N96" s="44">
        <v>469.21937797764286</v>
      </c>
      <c r="O96" s="45" t="s">
        <v>5074</v>
      </c>
      <c r="P96" s="46">
        <v>2</v>
      </c>
      <c r="Q96" s="43">
        <v>315.96854674287391</v>
      </c>
      <c r="R96" s="43">
        <v>319.03300118647974</v>
      </c>
      <c r="S96" s="47">
        <v>0</v>
      </c>
      <c r="T96" s="48">
        <v>308.52695232107226</v>
      </c>
      <c r="U96" s="48">
        <v>319.03300118647974</v>
      </c>
      <c r="V96" s="48">
        <v>313.82090642570341</v>
      </c>
      <c r="W96" s="48">
        <v>313.55814561201919</v>
      </c>
    </row>
    <row r="97" spans="1:23" ht="13.2" x14ac:dyDescent="0.25">
      <c r="A97" s="41">
        <v>95</v>
      </c>
      <c r="B97" s="42">
        <v>0.30977694844351006</v>
      </c>
      <c r="C97" s="14" t="s">
        <v>5077</v>
      </c>
      <c r="D97" s="42">
        <v>0.94724387952463884</v>
      </c>
      <c r="E97" s="43">
        <v>48.525194915721748</v>
      </c>
      <c r="F97" s="42">
        <v>0.59070169534101225</v>
      </c>
      <c r="G97" s="43">
        <v>3.4035368137636861</v>
      </c>
      <c r="H97" s="42">
        <v>0.21157344440537199</v>
      </c>
      <c r="I97" s="43">
        <v>1.075982680590529</v>
      </c>
      <c r="J97" s="42">
        <v>0.75968479773015007</v>
      </c>
      <c r="K97" s="43">
        <v>0.80248663228864248</v>
      </c>
      <c r="L97" s="43">
        <v>316.77103337516257</v>
      </c>
      <c r="M97" s="44">
        <v>337.73535661342339</v>
      </c>
      <c r="N97" s="44">
        <v>606.56493644652187</v>
      </c>
      <c r="O97" s="45" t="s">
        <v>5074</v>
      </c>
      <c r="P97" s="46">
        <v>1</v>
      </c>
      <c r="Q97" s="43">
        <v>316.77103337516257</v>
      </c>
      <c r="R97" s="43">
        <v>320.17457018892628</v>
      </c>
      <c r="S97" s="47">
        <v>0</v>
      </c>
      <c r="T97" s="48">
        <v>320.17457018892628</v>
      </c>
      <c r="U97" s="48">
        <v>319.03300118647974</v>
      </c>
      <c r="V97" s="48">
        <v>313.82090642570341</v>
      </c>
      <c r="W97" s="48">
        <v>313.55814561201919</v>
      </c>
    </row>
    <row r="98" spans="1:23" ht="13.2" x14ac:dyDescent="0.25">
      <c r="A98" s="41">
        <v>96</v>
      </c>
      <c r="B98" s="42">
        <v>0.8100777239585657</v>
      </c>
      <c r="C98" s="14" t="s">
        <v>5078</v>
      </c>
      <c r="D98" s="42">
        <v>9.560807752218474E-2</v>
      </c>
      <c r="E98" s="43">
        <v>173.8243231008874</v>
      </c>
      <c r="F98" s="42">
        <v>0.50737356045626736</v>
      </c>
      <c r="G98" s="43">
        <v>5.8817099400152033</v>
      </c>
      <c r="H98" s="42">
        <v>0.44785441432513967</v>
      </c>
      <c r="I98" s="43">
        <v>3.0610608260663952</v>
      </c>
      <c r="J98" s="42">
        <v>0.34114049903170229</v>
      </c>
      <c r="K98" s="43">
        <v>3.1400317253576078</v>
      </c>
      <c r="L98" s="43">
        <v>319.9110651005202</v>
      </c>
      <c r="M98" s="44">
        <v>1209.8172887821763</v>
      </c>
      <c r="N98" s="44">
        <v>2172.8040387610927</v>
      </c>
      <c r="O98" s="45" t="s">
        <v>5074</v>
      </c>
      <c r="P98" s="46">
        <v>4</v>
      </c>
      <c r="Q98" s="43">
        <v>319.9110651005202</v>
      </c>
      <c r="R98" s="43">
        <v>325.79277504053539</v>
      </c>
      <c r="S98" s="47">
        <v>0</v>
      </c>
      <c r="T98" s="48">
        <v>320.17457018892628</v>
      </c>
      <c r="U98" s="48">
        <v>319.03300118647974</v>
      </c>
      <c r="V98" s="48">
        <v>313.82090642570341</v>
      </c>
      <c r="W98" s="48">
        <v>325.79277504053539</v>
      </c>
    </row>
    <row r="99" spans="1:23" ht="13.2" x14ac:dyDescent="0.25">
      <c r="A99" s="41">
        <v>97</v>
      </c>
      <c r="B99" s="42">
        <v>0.36128669016123127</v>
      </c>
      <c r="C99" s="14" t="s">
        <v>5077</v>
      </c>
      <c r="D99" s="42">
        <v>0.20007656943056573</v>
      </c>
      <c r="E99" s="43">
        <v>41.800689124875092</v>
      </c>
      <c r="F99" s="42">
        <v>0.92386735832498756</v>
      </c>
      <c r="G99" s="43">
        <v>3.5634563319959942</v>
      </c>
      <c r="H99" s="42">
        <v>0.78675184575223911</v>
      </c>
      <c r="I99" s="43">
        <v>1.3902231942002559</v>
      </c>
      <c r="J99" s="42">
        <v>0.58818669178904348</v>
      </c>
      <c r="K99" s="43">
        <v>1.5495208129469891</v>
      </c>
      <c r="L99" s="43">
        <v>321.46058591346718</v>
      </c>
      <c r="M99" s="44">
        <v>290.93279630913065</v>
      </c>
      <c r="N99" s="44">
        <v>522.50861406093861</v>
      </c>
      <c r="O99" s="45" t="s">
        <v>5074</v>
      </c>
      <c r="P99" s="46">
        <v>3</v>
      </c>
      <c r="Q99" s="43">
        <v>321.46058591346718</v>
      </c>
      <c r="R99" s="43">
        <v>325.02404224546319</v>
      </c>
      <c r="S99" s="47">
        <v>0</v>
      </c>
      <c r="T99" s="48">
        <v>320.17457018892628</v>
      </c>
      <c r="U99" s="48">
        <v>319.03300118647974</v>
      </c>
      <c r="V99" s="48">
        <v>325.02404224546319</v>
      </c>
      <c r="W99" s="48">
        <v>325.79277504053539</v>
      </c>
    </row>
    <row r="100" spans="1:23" ht="13.2" x14ac:dyDescent="0.25">
      <c r="A100" s="41">
        <v>98</v>
      </c>
      <c r="B100" s="42">
        <v>0.92528610347084983</v>
      </c>
      <c r="C100" s="14" t="s">
        <v>5075</v>
      </c>
      <c r="D100" s="42">
        <v>0.32351576225995821</v>
      </c>
      <c r="E100" s="43">
        <v>302.64610335819708</v>
      </c>
      <c r="F100" s="42">
        <v>0.54631170283365604</v>
      </c>
      <c r="G100" s="43">
        <v>9.4371602886389745</v>
      </c>
      <c r="H100" s="42">
        <v>0.9592951373007591</v>
      </c>
      <c r="I100" s="43">
        <v>3.2146761044032908</v>
      </c>
      <c r="J100" s="42">
        <v>0.21055149203657708</v>
      </c>
      <c r="K100" s="43">
        <v>4.5489782132052108</v>
      </c>
      <c r="L100" s="43">
        <v>326.00956412667239</v>
      </c>
      <c r="M100" s="44">
        <v>2106.4168793730519</v>
      </c>
      <c r="N100" s="44">
        <v>3783.0762919774634</v>
      </c>
      <c r="O100" s="45" t="s">
        <v>5074</v>
      </c>
      <c r="P100" s="46">
        <v>2</v>
      </c>
      <c r="Q100" s="43">
        <v>326.00956412667239</v>
      </c>
      <c r="R100" s="43">
        <v>335.44672441531134</v>
      </c>
      <c r="S100" s="47">
        <v>0</v>
      </c>
      <c r="T100" s="48">
        <v>320.17457018892628</v>
      </c>
      <c r="U100" s="48">
        <v>335.44672441531134</v>
      </c>
      <c r="V100" s="48">
        <v>325.02404224546319</v>
      </c>
      <c r="W100" s="48">
        <v>325.79277504053539</v>
      </c>
    </row>
    <row r="101" spans="1:23" ht="13.2" x14ac:dyDescent="0.25">
      <c r="A101" s="41">
        <v>99</v>
      </c>
      <c r="B101" s="42">
        <v>0.69441812936887992</v>
      </c>
      <c r="C101" s="14" t="s">
        <v>5079</v>
      </c>
      <c r="D101" s="42">
        <v>0.80892368071196774</v>
      </c>
      <c r="E101" s="43">
        <v>9.4267710421359041</v>
      </c>
      <c r="F101" s="42">
        <v>0.16177303398110579</v>
      </c>
      <c r="G101" s="43">
        <v>1.4577950337379215</v>
      </c>
      <c r="H101" s="42">
        <v>0.73152334603086266</v>
      </c>
      <c r="I101" s="43">
        <v>0.49932240260714056</v>
      </c>
      <c r="J101" s="42">
        <v>0.36968796764020245</v>
      </c>
      <c r="K101" s="43">
        <v>2.905389663793907</v>
      </c>
      <c r="L101" s="43">
        <v>328.91495379046631</v>
      </c>
      <c r="M101" s="44">
        <v>65.610326453265898</v>
      </c>
      <c r="N101" s="44">
        <v>117.8346380266988</v>
      </c>
      <c r="O101" s="45" t="s">
        <v>5074</v>
      </c>
      <c r="P101" s="46">
        <v>1</v>
      </c>
      <c r="Q101" s="43">
        <v>328.91495379046631</v>
      </c>
      <c r="R101" s="43">
        <v>330.37274882420422</v>
      </c>
      <c r="S101" s="47">
        <v>0</v>
      </c>
      <c r="T101" s="48">
        <v>330.37274882420422</v>
      </c>
      <c r="U101" s="48">
        <v>335.44672441531134</v>
      </c>
      <c r="V101" s="48">
        <v>325.02404224546319</v>
      </c>
      <c r="W101" s="48">
        <v>325.79277504053539</v>
      </c>
    </row>
    <row r="102" spans="1:23" ht="13.2" x14ac:dyDescent="0.25">
      <c r="A102" s="41">
        <v>100</v>
      </c>
      <c r="B102" s="42">
        <v>0.33647225393749414</v>
      </c>
      <c r="C102" s="14" t="s">
        <v>5077</v>
      </c>
      <c r="D102" s="42">
        <v>0.95062125332216796</v>
      </c>
      <c r="E102" s="43">
        <v>48.55559127989951</v>
      </c>
      <c r="F102" s="42">
        <v>0.31382202744196264</v>
      </c>
      <c r="G102" s="43">
        <v>3.270634573172142</v>
      </c>
      <c r="H102" s="42">
        <v>8.2363778763620082E-2</v>
      </c>
      <c r="I102" s="43">
        <v>0.97219454217513179</v>
      </c>
      <c r="J102" s="42">
        <v>4.0982460622201886E-2</v>
      </c>
      <c r="K102" s="43">
        <v>9.327331659878368</v>
      </c>
      <c r="L102" s="43">
        <v>338.2422854503447</v>
      </c>
      <c r="M102" s="44">
        <v>337.94691530810059</v>
      </c>
      <c r="N102" s="44">
        <v>606.94489099874386</v>
      </c>
      <c r="O102" s="45" t="s">
        <v>5074</v>
      </c>
      <c r="P102" s="46">
        <v>3</v>
      </c>
      <c r="Q102" s="43">
        <v>338.2422854503447</v>
      </c>
      <c r="R102" s="43">
        <v>341.51292002351681</v>
      </c>
      <c r="S102" s="47">
        <v>0</v>
      </c>
      <c r="T102" s="48">
        <v>330.37274882420422</v>
      </c>
      <c r="U102" s="48">
        <v>335.44672441531134</v>
      </c>
      <c r="V102" s="48">
        <v>341.51292002351681</v>
      </c>
      <c r="W102" s="48">
        <v>325.79277504053539</v>
      </c>
    </row>
    <row r="103" spans="1:23" ht="13.2" x14ac:dyDescent="0.25">
      <c r="A103" s="41">
        <v>101</v>
      </c>
      <c r="B103" s="42">
        <v>0.80240311650671214</v>
      </c>
      <c r="C103" s="14" t="s">
        <v>5078</v>
      </c>
      <c r="D103" s="42">
        <v>0.51963928086666356</v>
      </c>
      <c r="E103" s="43">
        <v>190.78557123466655</v>
      </c>
      <c r="F103" s="42">
        <v>4.6120529084522521E-2</v>
      </c>
      <c r="G103" s="43">
        <v>5.4619696814669156</v>
      </c>
      <c r="H103" s="42">
        <v>0.24581036076220236</v>
      </c>
      <c r="I103" s="43">
        <v>2.7839170248856098</v>
      </c>
      <c r="J103" s="42">
        <v>0.96288365077361637</v>
      </c>
      <c r="K103" s="43">
        <v>0.1104312234540281</v>
      </c>
      <c r="L103" s="43">
        <v>338.35271667379874</v>
      </c>
      <c r="M103" s="44">
        <v>1327.8675757932792</v>
      </c>
      <c r="N103" s="44">
        <v>2384.8196404333316</v>
      </c>
      <c r="O103" s="45" t="s">
        <v>5074</v>
      </c>
      <c r="P103" s="46">
        <v>4</v>
      </c>
      <c r="Q103" s="43">
        <v>338.35271667379874</v>
      </c>
      <c r="R103" s="43">
        <v>343.81468635526568</v>
      </c>
      <c r="S103" s="47">
        <v>0</v>
      </c>
      <c r="T103" s="48">
        <v>330.37274882420422</v>
      </c>
      <c r="U103" s="48">
        <v>335.44672441531134</v>
      </c>
      <c r="V103" s="48">
        <v>341.51292002351681</v>
      </c>
      <c r="W103" s="48">
        <v>343.81468635526568</v>
      </c>
    </row>
    <row r="104" spans="1:23" ht="13.2" x14ac:dyDescent="0.25">
      <c r="A104" s="41">
        <v>102</v>
      </c>
      <c r="B104" s="42">
        <v>0.38093989965549663</v>
      </c>
      <c r="C104" s="14" t="s">
        <v>5077</v>
      </c>
      <c r="D104" s="42">
        <v>0.45861001147823877</v>
      </c>
      <c r="E104" s="43">
        <v>44.127490103304147</v>
      </c>
      <c r="F104" s="42">
        <v>0.30149176125484134</v>
      </c>
      <c r="G104" s="43">
        <v>3.2647160454023241</v>
      </c>
      <c r="H104" s="42">
        <v>4.6038660707901538E-2</v>
      </c>
      <c r="I104" s="43">
        <v>0.92873972912370351</v>
      </c>
      <c r="J104" s="42">
        <v>0.97385076571900897</v>
      </c>
      <c r="K104" s="43">
        <v>7.7364102266569895E-2</v>
      </c>
      <c r="L104" s="43">
        <v>338.43008077606532</v>
      </c>
      <c r="M104" s="44">
        <v>307.12733111899689</v>
      </c>
      <c r="N104" s="44">
        <v>551.5936262913018</v>
      </c>
      <c r="O104" s="45" t="s">
        <v>5074</v>
      </c>
      <c r="P104" s="46">
        <v>1</v>
      </c>
      <c r="Q104" s="43">
        <v>338.43008077606532</v>
      </c>
      <c r="R104" s="43">
        <v>341.69479682146766</v>
      </c>
      <c r="S104" s="47">
        <v>0</v>
      </c>
      <c r="T104" s="48">
        <v>341.69479682146766</v>
      </c>
      <c r="U104" s="48">
        <v>335.44672441531134</v>
      </c>
      <c r="V104" s="48">
        <v>341.51292002351681</v>
      </c>
      <c r="W104" s="48">
        <v>343.81468635526568</v>
      </c>
    </row>
    <row r="105" spans="1:23" ht="13.2" x14ac:dyDescent="0.25">
      <c r="A105" s="41">
        <v>103</v>
      </c>
      <c r="B105" s="42">
        <v>0.417944379345488</v>
      </c>
      <c r="C105" s="14" t="s">
        <v>5077</v>
      </c>
      <c r="D105" s="42">
        <v>0.3401659942884771</v>
      </c>
      <c r="E105" s="43">
        <v>43.061493948596294</v>
      </c>
      <c r="F105" s="42">
        <v>0.27377897327476131</v>
      </c>
      <c r="G105" s="43">
        <v>3.2514139071718855</v>
      </c>
      <c r="H105" s="42">
        <v>0.41762611801625515</v>
      </c>
      <c r="I105" s="43">
        <v>1.187743990908759</v>
      </c>
      <c r="J105" s="42">
        <v>0.58622695300086725</v>
      </c>
      <c r="K105" s="43">
        <v>1.5592650294098851</v>
      </c>
      <c r="L105" s="43">
        <v>339.98934580547518</v>
      </c>
      <c r="M105" s="44">
        <v>299.70799788223019</v>
      </c>
      <c r="N105" s="44">
        <v>538.26867435745362</v>
      </c>
      <c r="O105" s="45" t="s">
        <v>5074</v>
      </c>
      <c r="P105" s="46">
        <v>2</v>
      </c>
      <c r="Q105" s="43">
        <v>339.98934580547518</v>
      </c>
      <c r="R105" s="43">
        <v>343.24075971264705</v>
      </c>
      <c r="S105" s="47">
        <v>0</v>
      </c>
      <c r="T105" s="48">
        <v>341.69479682146766</v>
      </c>
      <c r="U105" s="48">
        <v>343.24075971264705</v>
      </c>
      <c r="V105" s="48">
        <v>341.51292002351681</v>
      </c>
      <c r="W105" s="48">
        <v>343.81468635526568</v>
      </c>
    </row>
    <row r="106" spans="1:23" ht="13.2" x14ac:dyDescent="0.25">
      <c r="A106" s="41">
        <v>104</v>
      </c>
      <c r="B106" s="42">
        <v>0.89107971447104573</v>
      </c>
      <c r="C106" s="14" t="s">
        <v>5075</v>
      </c>
      <c r="D106" s="42">
        <v>0.93386586333339372</v>
      </c>
      <c r="E106" s="43">
        <v>345.37061043333756</v>
      </c>
      <c r="F106" s="42">
        <v>0.54830096315047749</v>
      </c>
      <c r="G106" s="43">
        <v>9.4411189166694491</v>
      </c>
      <c r="H106" s="42">
        <v>0.1328239944450669</v>
      </c>
      <c r="I106" s="43">
        <v>2.0154105052190281</v>
      </c>
      <c r="J106" s="42">
        <v>0.33148962088464273</v>
      </c>
      <c r="K106" s="43">
        <v>3.2238212537079209</v>
      </c>
      <c r="L106" s="43">
        <v>343.21316705918309</v>
      </c>
      <c r="M106" s="44">
        <v>2403.7794486160292</v>
      </c>
      <c r="N106" s="44">
        <v>4317.1326304167196</v>
      </c>
      <c r="O106" s="45" t="s">
        <v>5074</v>
      </c>
      <c r="P106" s="46">
        <v>3</v>
      </c>
      <c r="Q106" s="43">
        <v>343.21316705918309</v>
      </c>
      <c r="R106" s="43">
        <v>352.65428597585253</v>
      </c>
      <c r="S106" s="47">
        <v>0</v>
      </c>
      <c r="T106" s="48">
        <v>341.69479682146766</v>
      </c>
      <c r="U106" s="48">
        <v>343.24075971264705</v>
      </c>
      <c r="V106" s="48">
        <v>352.65428597585253</v>
      </c>
      <c r="W106" s="48">
        <v>343.81468635526568</v>
      </c>
    </row>
    <row r="107" spans="1:23" ht="13.2" x14ac:dyDescent="0.25">
      <c r="A107" s="41">
        <v>105</v>
      </c>
      <c r="B107" s="42">
        <v>0.23333895589846138</v>
      </c>
      <c r="C107" s="14" t="s">
        <v>5073</v>
      </c>
      <c r="D107" s="42">
        <v>0.99770283233267387</v>
      </c>
      <c r="E107" s="43">
        <v>399.72433987992088</v>
      </c>
      <c r="F107" s="42">
        <v>0.77912448988255323</v>
      </c>
      <c r="G107" s="43">
        <v>10.818659653332391</v>
      </c>
      <c r="H107" s="42">
        <v>0.66365770281462821</v>
      </c>
      <c r="I107" s="43">
        <v>3.4977407249490935</v>
      </c>
      <c r="J107" s="42">
        <v>0.30991346496618982</v>
      </c>
      <c r="K107" s="43">
        <v>3.4203274912163315</v>
      </c>
      <c r="L107" s="43">
        <v>346.6334945503994</v>
      </c>
      <c r="M107" s="44">
        <v>2782.0814055642495</v>
      </c>
      <c r="N107" s="44">
        <v>4996.554248499011</v>
      </c>
      <c r="O107" s="45" t="s">
        <v>5074</v>
      </c>
      <c r="P107" s="46">
        <v>1</v>
      </c>
      <c r="Q107" s="43">
        <v>346.6334945503994</v>
      </c>
      <c r="R107" s="43">
        <v>357.45215420373182</v>
      </c>
      <c r="S107" s="47">
        <v>0</v>
      </c>
      <c r="T107" s="48">
        <v>357.45215420373182</v>
      </c>
      <c r="U107" s="48">
        <v>343.24075971264705</v>
      </c>
      <c r="V107" s="48">
        <v>352.65428597585253</v>
      </c>
      <c r="W107" s="48">
        <v>343.81468635526568</v>
      </c>
    </row>
    <row r="108" spans="1:23" ht="13.2" x14ac:dyDescent="0.25">
      <c r="A108" s="41">
        <v>106</v>
      </c>
      <c r="B108" s="42">
        <v>0.18240879298299961</v>
      </c>
      <c r="C108" s="14" t="s">
        <v>5073</v>
      </c>
      <c r="D108" s="42">
        <v>0.46827597332572379</v>
      </c>
      <c r="E108" s="43">
        <v>336.19311679908685</v>
      </c>
      <c r="F108" s="42">
        <v>0.53663594626664923</v>
      </c>
      <c r="G108" s="43">
        <v>10.059670511814613</v>
      </c>
      <c r="H108" s="42">
        <v>0.42059544027810702</v>
      </c>
      <c r="I108" s="43">
        <v>3.2942878322227784</v>
      </c>
      <c r="J108" s="42">
        <v>9.7364862029144947E-2</v>
      </c>
      <c r="K108" s="43">
        <v>6.8008464025616302</v>
      </c>
      <c r="L108" s="43">
        <v>353.43434095296101</v>
      </c>
      <c r="M108" s="44">
        <v>2339.9040929216444</v>
      </c>
      <c r="N108" s="44">
        <v>4202.4139599885857</v>
      </c>
      <c r="O108" s="45" t="s">
        <v>5074</v>
      </c>
      <c r="P108" s="46">
        <v>2</v>
      </c>
      <c r="Q108" s="43">
        <v>353.43434095296101</v>
      </c>
      <c r="R108" s="43">
        <v>363.49401146477561</v>
      </c>
      <c r="S108" s="47">
        <v>0</v>
      </c>
      <c r="T108" s="48">
        <v>357.45215420373182</v>
      </c>
      <c r="U108" s="48">
        <v>363.49401146477561</v>
      </c>
      <c r="V108" s="48">
        <v>352.65428597585253</v>
      </c>
      <c r="W108" s="48">
        <v>343.81468635526568</v>
      </c>
    </row>
    <row r="109" spans="1:23" ht="13.2" x14ac:dyDescent="0.25">
      <c r="A109" s="41">
        <v>107</v>
      </c>
      <c r="B109" s="42">
        <v>0.71910500839310931</v>
      </c>
      <c r="C109" s="14" t="s">
        <v>5079</v>
      </c>
      <c r="D109" s="42">
        <v>0.73623148619021828</v>
      </c>
      <c r="E109" s="43">
        <v>9.2086944585706547</v>
      </c>
      <c r="F109" s="42">
        <v>0.1866867189233595</v>
      </c>
      <c r="G109" s="43">
        <v>1.4605355390815695</v>
      </c>
      <c r="H109" s="42">
        <v>0.18295185090180108</v>
      </c>
      <c r="I109" s="43">
        <v>0.33525969499514668</v>
      </c>
      <c r="J109" s="42">
        <v>0.40175826633430939</v>
      </c>
      <c r="K109" s="43">
        <v>2.6624954708310025</v>
      </c>
      <c r="L109" s="43">
        <v>356.09683642379201</v>
      </c>
      <c r="M109" s="44">
        <v>64.092513431651753</v>
      </c>
      <c r="N109" s="44">
        <v>115.10868073213318</v>
      </c>
      <c r="O109" s="45" t="s">
        <v>5074</v>
      </c>
      <c r="P109" s="46">
        <v>4</v>
      </c>
      <c r="Q109" s="43">
        <v>356.09683642379201</v>
      </c>
      <c r="R109" s="43">
        <v>357.55737196287356</v>
      </c>
      <c r="S109" s="47">
        <v>0</v>
      </c>
      <c r="T109" s="48">
        <v>357.45215420373182</v>
      </c>
      <c r="U109" s="48">
        <v>363.49401146477561</v>
      </c>
      <c r="V109" s="48">
        <v>352.65428597585253</v>
      </c>
      <c r="W109" s="48">
        <v>357.55737196287356</v>
      </c>
    </row>
    <row r="110" spans="1:23" ht="13.2" x14ac:dyDescent="0.25">
      <c r="A110" s="41">
        <v>108</v>
      </c>
      <c r="B110" s="42">
        <v>0.15040606220737382</v>
      </c>
      <c r="C110" s="14" t="s">
        <v>5073</v>
      </c>
      <c r="D110" s="42">
        <v>0.12283167481554284</v>
      </c>
      <c r="E110" s="43">
        <v>294.73980097786512</v>
      </c>
      <c r="F110" s="42">
        <v>0.86565828736203643</v>
      </c>
      <c r="G110" s="43">
        <v>11.089510439443174</v>
      </c>
      <c r="H110" s="42">
        <v>0.33290723959585056</v>
      </c>
      <c r="I110" s="43">
        <v>3.2066546960105593</v>
      </c>
      <c r="J110" s="42">
        <v>0.89512422908801781</v>
      </c>
      <c r="K110" s="43">
        <v>0.32348253106362057</v>
      </c>
      <c r="L110" s="43">
        <v>356.42031895485565</v>
      </c>
      <c r="M110" s="44">
        <v>2051.3890148059413</v>
      </c>
      <c r="N110" s="44">
        <v>3684.2475122233141</v>
      </c>
      <c r="O110" s="45" t="s">
        <v>5074</v>
      </c>
      <c r="P110" s="46">
        <v>3</v>
      </c>
      <c r="Q110" s="43">
        <v>356.42031895485565</v>
      </c>
      <c r="R110" s="43">
        <v>367.50982939429883</v>
      </c>
      <c r="S110" s="47">
        <v>0</v>
      </c>
      <c r="T110" s="48">
        <v>357.45215420373182</v>
      </c>
      <c r="U110" s="48">
        <v>363.49401146477561</v>
      </c>
      <c r="V110" s="48">
        <v>367.50982939429883</v>
      </c>
      <c r="W110" s="48">
        <v>357.55737196287356</v>
      </c>
    </row>
    <row r="111" spans="1:23" ht="13.2" x14ac:dyDescent="0.25">
      <c r="A111" s="41">
        <v>109</v>
      </c>
      <c r="B111" s="42">
        <v>0.12955867877675159</v>
      </c>
      <c r="C111" s="14" t="s">
        <v>5073</v>
      </c>
      <c r="D111" s="42">
        <v>0.13192681834657063</v>
      </c>
      <c r="E111" s="43">
        <v>295.83121820158846</v>
      </c>
      <c r="F111" s="42">
        <v>0.95944427138168564</v>
      </c>
      <c r="G111" s="43">
        <v>11.383060569424675</v>
      </c>
      <c r="H111" s="42">
        <v>0.44795754619313288</v>
      </c>
      <c r="I111" s="43">
        <v>3.3197172191004038</v>
      </c>
      <c r="J111" s="42">
        <v>6.7130704441634333E-3</v>
      </c>
      <c r="K111" s="43">
        <v>14.609339679962728</v>
      </c>
      <c r="L111" s="43">
        <v>371.02965863481836</v>
      </c>
      <c r="M111" s="44">
        <v>2058.9852786830556</v>
      </c>
      <c r="N111" s="44">
        <v>3697.8902275198557</v>
      </c>
      <c r="O111" s="45" t="s">
        <v>5074</v>
      </c>
      <c r="P111" s="46">
        <v>1</v>
      </c>
      <c r="Q111" s="43">
        <v>371.02965863481836</v>
      </c>
      <c r="R111" s="43">
        <v>382.41271920424305</v>
      </c>
      <c r="S111" s="47">
        <v>0</v>
      </c>
      <c r="T111" s="48">
        <v>382.41271920424305</v>
      </c>
      <c r="U111" s="48">
        <v>363.49401146477561</v>
      </c>
      <c r="V111" s="48">
        <v>367.50982939429883</v>
      </c>
      <c r="W111" s="48">
        <v>357.55737196287356</v>
      </c>
    </row>
    <row r="112" spans="1:23" ht="13.2" x14ac:dyDescent="0.25">
      <c r="A112" s="41">
        <v>110</v>
      </c>
      <c r="B112" s="42">
        <v>0.54571701704790676</v>
      </c>
      <c r="C112" s="14" t="s">
        <v>5076</v>
      </c>
      <c r="D112" s="42">
        <v>8.9937612921901805E-2</v>
      </c>
      <c r="E112" s="43">
        <v>35.899376129219021</v>
      </c>
      <c r="F112" s="42">
        <v>0.87728477449961229</v>
      </c>
      <c r="G112" s="43">
        <v>3.4435509962698214</v>
      </c>
      <c r="H112" s="42">
        <v>0.91140991305532393</v>
      </c>
      <c r="I112" s="43">
        <v>1.0425032560828342</v>
      </c>
      <c r="J112" s="42">
        <v>5.7664359015256336E-2</v>
      </c>
      <c r="K112" s="43">
        <v>8.3302656672398605</v>
      </c>
      <c r="L112" s="43">
        <v>379.35992430205823</v>
      </c>
      <c r="M112" s="44">
        <v>249.85965785936438</v>
      </c>
      <c r="N112" s="44">
        <v>448.74220161523778</v>
      </c>
      <c r="O112" s="45" t="s">
        <v>5074</v>
      </c>
      <c r="P112" s="46">
        <v>4</v>
      </c>
      <c r="Q112" s="43">
        <v>379.35992430205823</v>
      </c>
      <c r="R112" s="43">
        <v>382.80347529832807</v>
      </c>
      <c r="S112" s="47">
        <v>0</v>
      </c>
      <c r="T112" s="48">
        <v>382.41271920424305</v>
      </c>
      <c r="U112" s="48">
        <v>363.49401146477561</v>
      </c>
      <c r="V112" s="48">
        <v>367.50982939429883</v>
      </c>
      <c r="W112" s="48">
        <v>382.80347529832807</v>
      </c>
    </row>
    <row r="113" spans="1:23" ht="13.2" x14ac:dyDescent="0.25">
      <c r="A113" s="41">
        <v>111</v>
      </c>
      <c r="B113" s="42">
        <v>0.23932581545753676</v>
      </c>
      <c r="C113" s="14" t="s">
        <v>5077</v>
      </c>
      <c r="D113" s="42">
        <v>0.27511040227259992</v>
      </c>
      <c r="E113" s="43">
        <v>42.475993620453401</v>
      </c>
      <c r="F113" s="42">
        <v>0.61447874531824087</v>
      </c>
      <c r="G113" s="43">
        <v>3.4149497977527559</v>
      </c>
      <c r="H113" s="42">
        <v>0.70568679073158969</v>
      </c>
      <c r="I113" s="43">
        <v>1.3360756339968638</v>
      </c>
      <c r="J113" s="42">
        <v>0.77747844521770182</v>
      </c>
      <c r="K113" s="43">
        <v>0.7348886379728734</v>
      </c>
      <c r="L113" s="43">
        <v>380.09481294003109</v>
      </c>
      <c r="M113" s="44">
        <v>295.63291559835568</v>
      </c>
      <c r="N113" s="44">
        <v>530.94992025566751</v>
      </c>
      <c r="O113" s="45" t="s">
        <v>5074</v>
      </c>
      <c r="P113" s="46">
        <v>2</v>
      </c>
      <c r="Q113" s="43">
        <v>380.09481294003109</v>
      </c>
      <c r="R113" s="43">
        <v>383.50976273778383</v>
      </c>
      <c r="S113" s="47">
        <v>0</v>
      </c>
      <c r="T113" s="48">
        <v>382.41271920424305</v>
      </c>
      <c r="U113" s="48">
        <v>383.50976273778383</v>
      </c>
      <c r="V113" s="48">
        <v>367.50982939429883</v>
      </c>
      <c r="W113" s="48">
        <v>382.80347529832807</v>
      </c>
    </row>
    <row r="114" spans="1:23" ht="13.2" x14ac:dyDescent="0.25">
      <c r="A114" s="41">
        <v>112</v>
      </c>
      <c r="B114" s="42">
        <v>0.7811619410203593</v>
      </c>
      <c r="C114" s="14" t="s">
        <v>5078</v>
      </c>
      <c r="D114" s="42">
        <v>5.201285940223041E-2</v>
      </c>
      <c r="E114" s="43">
        <v>172.08051437608921</v>
      </c>
      <c r="F114" s="42">
        <v>0.17693244348137288</v>
      </c>
      <c r="G114" s="43">
        <v>5.5810085235680491</v>
      </c>
      <c r="H114" s="42">
        <v>0.94762177809496495</v>
      </c>
      <c r="I114" s="43">
        <v>4.0568089214076153</v>
      </c>
      <c r="J114" s="42">
        <v>0.61231946740873133</v>
      </c>
      <c r="K114" s="43">
        <v>1.4321200791167907</v>
      </c>
      <c r="L114" s="43">
        <v>381.52693301914786</v>
      </c>
      <c r="M114" s="44">
        <v>1197.6803800575808</v>
      </c>
      <c r="N114" s="44">
        <v>2151.0064297011149</v>
      </c>
      <c r="O114" s="45" t="s">
        <v>5074</v>
      </c>
      <c r="P114" s="46">
        <v>3</v>
      </c>
      <c r="Q114" s="43">
        <v>381.52693301914786</v>
      </c>
      <c r="R114" s="43">
        <v>387.10794154271593</v>
      </c>
      <c r="S114" s="47">
        <v>0</v>
      </c>
      <c r="T114" s="48">
        <v>382.41271920424305</v>
      </c>
      <c r="U114" s="48">
        <v>383.50976273778383</v>
      </c>
      <c r="V114" s="48">
        <v>387.10794154271593</v>
      </c>
      <c r="W114" s="48">
        <v>382.80347529832807</v>
      </c>
    </row>
    <row r="115" spans="1:23" ht="13.2" x14ac:dyDescent="0.25">
      <c r="A115" s="41">
        <v>113</v>
      </c>
      <c r="B115" s="42">
        <v>0.53362446442880873</v>
      </c>
      <c r="C115" s="14" t="s">
        <v>5076</v>
      </c>
      <c r="D115" s="42">
        <v>0.73378930880398918</v>
      </c>
      <c r="E115" s="43">
        <v>42.337893088039891</v>
      </c>
      <c r="F115" s="42">
        <v>0.12137290608201777</v>
      </c>
      <c r="G115" s="43">
        <v>3.095831536797728</v>
      </c>
      <c r="H115" s="42">
        <v>0.70863211653597291</v>
      </c>
      <c r="I115" s="43">
        <v>0.91437260745872506</v>
      </c>
      <c r="J115" s="42">
        <v>0.3459129861304131</v>
      </c>
      <c r="K115" s="43">
        <v>3.0994686736476726</v>
      </c>
      <c r="L115" s="43">
        <v>384.62640169279553</v>
      </c>
      <c r="M115" s="44">
        <v>294.67173589275762</v>
      </c>
      <c r="N115" s="44">
        <v>529.22366360049864</v>
      </c>
      <c r="O115" s="45" t="s">
        <v>5074</v>
      </c>
      <c r="P115" s="46">
        <v>1</v>
      </c>
      <c r="Q115" s="43">
        <v>384.62640169279553</v>
      </c>
      <c r="R115" s="43">
        <v>387.72223322959326</v>
      </c>
      <c r="S115" s="47">
        <v>0</v>
      </c>
      <c r="T115" s="48">
        <v>387.72223322959326</v>
      </c>
      <c r="U115" s="48">
        <v>383.50976273778383</v>
      </c>
      <c r="V115" s="48">
        <v>387.10794154271593</v>
      </c>
      <c r="W115" s="48">
        <v>382.80347529832807</v>
      </c>
    </row>
    <row r="116" spans="1:23" ht="13.2" x14ac:dyDescent="0.25">
      <c r="A116" s="41">
        <v>114</v>
      </c>
      <c r="B116" s="42">
        <v>0.28537467181932863</v>
      </c>
      <c r="C116" s="14" t="s">
        <v>5077</v>
      </c>
      <c r="D116" s="42">
        <v>0.74774601391877327</v>
      </c>
      <c r="E116" s="43">
        <v>46.729714125268956</v>
      </c>
      <c r="F116" s="42">
        <v>0.40595409199872712</v>
      </c>
      <c r="G116" s="43">
        <v>3.3148579641593892</v>
      </c>
      <c r="H116" s="42">
        <v>0.20712012714106595</v>
      </c>
      <c r="I116" s="43">
        <v>1.0730627139885338</v>
      </c>
      <c r="J116" s="42">
        <v>0.10176542871713891</v>
      </c>
      <c r="K116" s="43">
        <v>6.6717805330539202</v>
      </c>
      <c r="L116" s="43">
        <v>391.29818222584947</v>
      </c>
      <c r="M116" s="44">
        <v>325.23881031187193</v>
      </c>
      <c r="N116" s="44">
        <v>584.12142656586195</v>
      </c>
      <c r="O116" s="45" t="s">
        <v>5074</v>
      </c>
      <c r="P116" s="46">
        <v>4</v>
      </c>
      <c r="Q116" s="43">
        <v>391.29818222584947</v>
      </c>
      <c r="R116" s="43">
        <v>394.61304019000886</v>
      </c>
      <c r="S116" s="47">
        <v>0</v>
      </c>
      <c r="T116" s="48">
        <v>387.72223322959326</v>
      </c>
      <c r="U116" s="48">
        <v>383.50976273778383</v>
      </c>
      <c r="V116" s="48">
        <v>387.10794154271593</v>
      </c>
      <c r="W116" s="48">
        <v>394.61304019000886</v>
      </c>
    </row>
    <row r="117" spans="1:23" ht="13.2" x14ac:dyDescent="0.25">
      <c r="A117" s="41">
        <v>115</v>
      </c>
      <c r="B117" s="42">
        <v>0.57237134155462088</v>
      </c>
      <c r="C117" s="14" t="s">
        <v>5076</v>
      </c>
      <c r="D117" s="42">
        <v>0.8794371513088407</v>
      </c>
      <c r="E117" s="43">
        <v>43.794371513088407</v>
      </c>
      <c r="F117" s="42">
        <v>0.59641829393637291</v>
      </c>
      <c r="G117" s="43">
        <v>3.3143524152107315</v>
      </c>
      <c r="H117" s="42">
        <v>0.63285038696269058</v>
      </c>
      <c r="I117" s="43">
        <v>0.87937265922812102</v>
      </c>
      <c r="J117" s="42">
        <v>0.76249501843121603</v>
      </c>
      <c r="K117" s="43">
        <v>0.79170599628284499</v>
      </c>
      <c r="L117" s="43">
        <v>392.08988822213234</v>
      </c>
      <c r="M117" s="44">
        <v>304.80882573109534</v>
      </c>
      <c r="N117" s="44">
        <v>547.4296439136051</v>
      </c>
      <c r="O117" s="45" t="s">
        <v>5074</v>
      </c>
      <c r="P117" s="46">
        <v>2</v>
      </c>
      <c r="Q117" s="43">
        <v>392.08988822213234</v>
      </c>
      <c r="R117" s="43">
        <v>395.40424063734309</v>
      </c>
      <c r="S117" s="47">
        <v>0</v>
      </c>
      <c r="T117" s="48">
        <v>387.72223322959326</v>
      </c>
      <c r="U117" s="48">
        <v>395.40424063734309</v>
      </c>
      <c r="V117" s="48">
        <v>387.10794154271593</v>
      </c>
      <c r="W117" s="48">
        <v>394.61304019000886</v>
      </c>
    </row>
    <row r="118" spans="1:23" ht="13.2" x14ac:dyDescent="0.25">
      <c r="A118" s="41">
        <v>116</v>
      </c>
      <c r="B118" s="42">
        <v>0.49269016575659169</v>
      </c>
      <c r="C118" s="14" t="s">
        <v>5076</v>
      </c>
      <c r="D118" s="42">
        <v>0.5702919366631154</v>
      </c>
      <c r="E118" s="43">
        <v>40.70291936663115</v>
      </c>
      <c r="F118" s="42">
        <v>0.65801011801604647</v>
      </c>
      <c r="G118" s="43">
        <v>3.3426846542873814</v>
      </c>
      <c r="H118" s="42">
        <v>0.76382660575389238</v>
      </c>
      <c r="I118" s="43">
        <v>0.94284527927936046</v>
      </c>
      <c r="J118" s="42">
        <v>0.95307844362830674</v>
      </c>
      <c r="K118" s="43">
        <v>0.14031552236112196</v>
      </c>
      <c r="L118" s="43">
        <v>392.23020374449345</v>
      </c>
      <c r="M118" s="44">
        <v>283.29231879175279</v>
      </c>
      <c r="N118" s="44">
        <v>508.78649208288937</v>
      </c>
      <c r="O118" s="45" t="s">
        <v>5074</v>
      </c>
      <c r="P118" s="46">
        <v>3</v>
      </c>
      <c r="Q118" s="43">
        <v>392.23020374449345</v>
      </c>
      <c r="R118" s="43">
        <v>395.57288839878083</v>
      </c>
      <c r="S118" s="47">
        <v>0</v>
      </c>
      <c r="T118" s="48">
        <v>387.72223322959326</v>
      </c>
      <c r="U118" s="48">
        <v>395.40424063734309</v>
      </c>
      <c r="V118" s="48">
        <v>395.57288839878083</v>
      </c>
      <c r="W118" s="48">
        <v>394.61304019000886</v>
      </c>
    </row>
    <row r="119" spans="1:23" ht="13.2" x14ac:dyDescent="0.25">
      <c r="A119" s="41">
        <v>117</v>
      </c>
      <c r="B119" s="42">
        <v>0.36851635313058101</v>
      </c>
      <c r="C119" s="14" t="s">
        <v>5077</v>
      </c>
      <c r="D119" s="42">
        <v>0.15483062628415908</v>
      </c>
      <c r="E119" s="43">
        <v>41.393475636557433</v>
      </c>
      <c r="F119" s="42">
        <v>0.9203515858018545</v>
      </c>
      <c r="G119" s="43">
        <v>3.5617687611848901</v>
      </c>
      <c r="H119" s="42">
        <v>0.69549277783161623</v>
      </c>
      <c r="I119" s="43">
        <v>1.329826729792962</v>
      </c>
      <c r="J119" s="42">
        <v>0.58815611693456593</v>
      </c>
      <c r="K119" s="43">
        <v>1.5496725878334723</v>
      </c>
      <c r="L119" s="43">
        <v>393.77987633232692</v>
      </c>
      <c r="M119" s="44">
        <v>288.09859043043974</v>
      </c>
      <c r="N119" s="44">
        <v>517.4184454569679</v>
      </c>
      <c r="O119" s="45" t="s">
        <v>5074</v>
      </c>
      <c r="P119" s="46">
        <v>1</v>
      </c>
      <c r="Q119" s="43">
        <v>393.77987633232692</v>
      </c>
      <c r="R119" s="43">
        <v>397.34164509351183</v>
      </c>
      <c r="S119" s="47">
        <v>0</v>
      </c>
      <c r="T119" s="48">
        <v>397.34164509351183</v>
      </c>
      <c r="U119" s="48">
        <v>395.40424063734309</v>
      </c>
      <c r="V119" s="48">
        <v>395.57288839878083</v>
      </c>
      <c r="W119" s="48">
        <v>394.61304019000886</v>
      </c>
    </row>
    <row r="120" spans="1:23" ht="13.2" x14ac:dyDescent="0.25">
      <c r="A120" s="41">
        <v>118</v>
      </c>
      <c r="B120" s="42">
        <v>3.2676454183029224E-2</v>
      </c>
      <c r="C120" s="14" t="s">
        <v>5073</v>
      </c>
      <c r="D120" s="42">
        <v>0.24703495262518291</v>
      </c>
      <c r="E120" s="43">
        <v>309.64419431502193</v>
      </c>
      <c r="F120" s="42">
        <v>0.32665437847685741</v>
      </c>
      <c r="G120" s="43">
        <v>9.4024282046325638</v>
      </c>
      <c r="H120" s="42">
        <v>0.85147013694582052</v>
      </c>
      <c r="I120" s="43">
        <v>3.6662375136558416</v>
      </c>
      <c r="J120" s="42">
        <v>0.80183568773876679</v>
      </c>
      <c r="K120" s="43">
        <v>0.64482210288241582</v>
      </c>
      <c r="L120" s="43">
        <v>394.42469843520934</v>
      </c>
      <c r="M120" s="44">
        <v>2155.8140980393869</v>
      </c>
      <c r="N120" s="44">
        <v>3870.552428937774</v>
      </c>
      <c r="O120" s="45" t="s">
        <v>5074</v>
      </c>
      <c r="P120" s="46">
        <v>4</v>
      </c>
      <c r="Q120" s="43">
        <v>394.61304019000886</v>
      </c>
      <c r="R120" s="43">
        <v>404.0154683946414</v>
      </c>
      <c r="S120" s="43">
        <v>0.18834175479952364</v>
      </c>
      <c r="T120" s="48">
        <v>397.34164509351183</v>
      </c>
      <c r="U120" s="48">
        <v>395.40424063734309</v>
      </c>
      <c r="V120" s="48">
        <v>395.57288839878083</v>
      </c>
      <c r="W120" s="48">
        <v>404.0154683946414</v>
      </c>
    </row>
    <row r="121" spans="1:23" ht="13.2" x14ac:dyDescent="0.25">
      <c r="A121" s="41">
        <v>119</v>
      </c>
      <c r="B121" s="42">
        <v>2.0269316630563382E-2</v>
      </c>
      <c r="C121" s="14" t="s">
        <v>5073</v>
      </c>
      <c r="D121" s="42">
        <v>0.25640043441969923</v>
      </c>
      <c r="E121" s="43">
        <v>310.76805213036391</v>
      </c>
      <c r="F121" s="42">
        <v>0.40523839574551135</v>
      </c>
      <c r="G121" s="43">
        <v>9.6483961786834502</v>
      </c>
      <c r="H121" s="42">
        <v>0.91281424319036963</v>
      </c>
      <c r="I121" s="43">
        <v>3.7442866495326794</v>
      </c>
      <c r="J121" s="42">
        <v>0.60028239600373545</v>
      </c>
      <c r="K121" s="43">
        <v>1.4900878087166256</v>
      </c>
      <c r="L121" s="43">
        <v>395.91478624392596</v>
      </c>
      <c r="M121" s="44">
        <v>2162.9456428273329</v>
      </c>
      <c r="N121" s="44">
        <v>3884.6006516295488</v>
      </c>
      <c r="O121" s="45" t="s">
        <v>5074</v>
      </c>
      <c r="P121" s="46">
        <v>2</v>
      </c>
      <c r="Q121" s="43">
        <v>395.91478624392596</v>
      </c>
      <c r="R121" s="43">
        <v>405.56318242260943</v>
      </c>
      <c r="S121" s="47">
        <v>0</v>
      </c>
      <c r="T121" s="48">
        <v>397.34164509351183</v>
      </c>
      <c r="U121" s="48">
        <v>405.56318242260943</v>
      </c>
      <c r="V121" s="48">
        <v>395.57288839878083</v>
      </c>
      <c r="W121" s="48">
        <v>404.0154683946414</v>
      </c>
    </row>
    <row r="122" spans="1:23" ht="13.2" x14ac:dyDescent="0.25">
      <c r="A122" s="41">
        <v>120</v>
      </c>
      <c r="B122" s="42">
        <v>0.52734406363561004</v>
      </c>
      <c r="C122" s="14" t="s">
        <v>5076</v>
      </c>
      <c r="D122" s="42">
        <v>0.84965900976660613</v>
      </c>
      <c r="E122" s="43">
        <v>43.496590097666058</v>
      </c>
      <c r="F122" s="42">
        <v>0.13536770601541162</v>
      </c>
      <c r="G122" s="43">
        <v>3.1022691447670896</v>
      </c>
      <c r="H122" s="42">
        <v>0.40299124894802985</v>
      </c>
      <c r="I122" s="43">
        <v>0.79090919937170479</v>
      </c>
      <c r="J122" s="42">
        <v>0.48079116525165327</v>
      </c>
      <c r="K122" s="43">
        <v>2.1381672146876443</v>
      </c>
      <c r="L122" s="43">
        <v>398.05295345861362</v>
      </c>
      <c r="M122" s="44">
        <v>302.73626707975575</v>
      </c>
      <c r="N122" s="44">
        <v>543.70737622082572</v>
      </c>
      <c r="O122" s="45" t="s">
        <v>5074</v>
      </c>
      <c r="P122" s="46">
        <v>3</v>
      </c>
      <c r="Q122" s="43">
        <v>398.05295345861362</v>
      </c>
      <c r="R122" s="43">
        <v>401.15522260338071</v>
      </c>
      <c r="S122" s="47">
        <v>0</v>
      </c>
      <c r="T122" s="48">
        <v>397.34164509351183</v>
      </c>
      <c r="U122" s="48">
        <v>405.56318242260943</v>
      </c>
      <c r="V122" s="48">
        <v>401.15522260338071</v>
      </c>
      <c r="W122" s="48">
        <v>404.0154683946414</v>
      </c>
    </row>
    <row r="123" spans="1:23" ht="13.2" x14ac:dyDescent="0.25">
      <c r="A123" s="41">
        <v>121</v>
      </c>
      <c r="B123" s="42">
        <v>0.38647645403932612</v>
      </c>
      <c r="C123" s="14" t="s">
        <v>5077</v>
      </c>
      <c r="D123" s="42">
        <v>0.19179575526704815</v>
      </c>
      <c r="E123" s="43">
        <v>41.726161797403435</v>
      </c>
      <c r="F123" s="42">
        <v>0.30167182921509811</v>
      </c>
      <c r="G123" s="43">
        <v>3.2648024780232472</v>
      </c>
      <c r="H123" s="42">
        <v>0.77366020706187011</v>
      </c>
      <c r="I123" s="43">
        <v>1.3808559779313445</v>
      </c>
      <c r="J123" s="42">
        <v>0.22829560527032969</v>
      </c>
      <c r="K123" s="43">
        <v>4.3127415341112814</v>
      </c>
      <c r="L123" s="43">
        <v>402.36569499272491</v>
      </c>
      <c r="M123" s="44">
        <v>290.41408610992789</v>
      </c>
      <c r="N123" s="44">
        <v>521.57702246754297</v>
      </c>
      <c r="O123" s="45" t="s">
        <v>5074</v>
      </c>
      <c r="P123" s="46">
        <v>1</v>
      </c>
      <c r="Q123" s="43">
        <v>402.36569499272491</v>
      </c>
      <c r="R123" s="43">
        <v>405.63049747074814</v>
      </c>
      <c r="S123" s="47">
        <v>0</v>
      </c>
      <c r="T123" s="48">
        <v>405.63049747074814</v>
      </c>
      <c r="U123" s="48">
        <v>405.56318242260943</v>
      </c>
      <c r="V123" s="48">
        <v>401.15522260338071</v>
      </c>
      <c r="W123" s="48">
        <v>404.0154683946414</v>
      </c>
    </row>
    <row r="124" spans="1:23" ht="13.2" x14ac:dyDescent="0.25">
      <c r="A124" s="41">
        <v>122</v>
      </c>
      <c r="B124" s="42">
        <v>0.21449854141776381</v>
      </c>
      <c r="C124" s="14" t="s">
        <v>5073</v>
      </c>
      <c r="D124" s="42">
        <v>0.65678934923223653</v>
      </c>
      <c r="E124" s="43">
        <v>358.81472190786837</v>
      </c>
      <c r="F124" s="42">
        <v>0.76366673445499811</v>
      </c>
      <c r="G124" s="43">
        <v>10.770276878844143</v>
      </c>
      <c r="H124" s="42">
        <v>0.84330465171640023</v>
      </c>
      <c r="I124" s="43">
        <v>3.657185894087335</v>
      </c>
      <c r="J124" s="42">
        <v>0.14753418702051704</v>
      </c>
      <c r="K124" s="43">
        <v>5.5874316894831528</v>
      </c>
      <c r="L124" s="43">
        <v>407.95312668220805</v>
      </c>
      <c r="M124" s="44">
        <v>2497.350464478764</v>
      </c>
      <c r="N124" s="44">
        <v>4485.1840238483546</v>
      </c>
      <c r="O124" s="45" t="s">
        <v>5074</v>
      </c>
      <c r="P124" s="46">
        <v>3</v>
      </c>
      <c r="Q124" s="43">
        <v>407.95312668220805</v>
      </c>
      <c r="R124" s="43">
        <v>418.72340356105218</v>
      </c>
      <c r="S124" s="47">
        <v>0</v>
      </c>
      <c r="T124" s="48">
        <v>405.63049747074814</v>
      </c>
      <c r="U124" s="48">
        <v>405.56318242260943</v>
      </c>
      <c r="V124" s="48">
        <v>418.72340356105218</v>
      </c>
      <c r="W124" s="48">
        <v>404.0154683946414</v>
      </c>
    </row>
    <row r="125" spans="1:23" ht="13.2" x14ac:dyDescent="0.25">
      <c r="A125" s="41">
        <v>123</v>
      </c>
      <c r="B125" s="42">
        <v>0.8147862720372091</v>
      </c>
      <c r="C125" s="14" t="s">
        <v>5078</v>
      </c>
      <c r="D125" s="42">
        <v>0.59159868144970329</v>
      </c>
      <c r="E125" s="43">
        <v>193.66394725798813</v>
      </c>
      <c r="F125" s="42">
        <v>0.26737601322465393</v>
      </c>
      <c r="G125" s="43">
        <v>5.663312172034435</v>
      </c>
      <c r="H125" s="42">
        <v>0.53054871295138673</v>
      </c>
      <c r="I125" s="43">
        <v>3.1731833862841858</v>
      </c>
      <c r="J125" s="42">
        <v>6.8561352821328372E-2</v>
      </c>
      <c r="K125" s="43">
        <v>7.8248942276036706</v>
      </c>
      <c r="L125" s="43">
        <v>415.77802090981174</v>
      </c>
      <c r="M125" s="44">
        <v>1347.9010729155973</v>
      </c>
      <c r="N125" s="44">
        <v>2420.7993407248514</v>
      </c>
      <c r="O125" s="45" t="s">
        <v>5074</v>
      </c>
      <c r="P125" s="46">
        <v>4</v>
      </c>
      <c r="Q125" s="43">
        <v>415.77802090981174</v>
      </c>
      <c r="R125" s="43">
        <v>421.44133308184615</v>
      </c>
      <c r="S125" s="47">
        <v>0</v>
      </c>
      <c r="T125" s="48">
        <v>405.63049747074814</v>
      </c>
      <c r="U125" s="48">
        <v>405.56318242260943</v>
      </c>
      <c r="V125" s="48">
        <v>418.72340356105218</v>
      </c>
      <c r="W125" s="48">
        <v>421.44133308184615</v>
      </c>
    </row>
    <row r="126" spans="1:23" ht="13.2" x14ac:dyDescent="0.25">
      <c r="A126" s="41">
        <v>124</v>
      </c>
      <c r="B126" s="42">
        <v>0.55794086752363525</v>
      </c>
      <c r="C126" s="14" t="s">
        <v>5076</v>
      </c>
      <c r="D126" s="42">
        <v>0.99465072480712591</v>
      </c>
      <c r="E126" s="43">
        <v>44.946507248071256</v>
      </c>
      <c r="F126" s="42">
        <v>0.46984552707050253</v>
      </c>
      <c r="G126" s="43">
        <v>3.2561289424524311</v>
      </c>
      <c r="H126" s="42">
        <v>9.8082974133120365E-2</v>
      </c>
      <c r="I126" s="43">
        <v>0.64351802872097741</v>
      </c>
      <c r="J126" s="42">
        <v>3.4654878096028643E-2</v>
      </c>
      <c r="K126" s="43">
        <v>9.8169833029574036</v>
      </c>
      <c r="L126" s="43">
        <v>425.59500421276914</v>
      </c>
      <c r="M126" s="44">
        <v>312.82769044657596</v>
      </c>
      <c r="N126" s="44">
        <v>561.83134060089071</v>
      </c>
      <c r="O126" s="45" t="s">
        <v>5074</v>
      </c>
      <c r="P126" s="46">
        <v>2</v>
      </c>
      <c r="Q126" s="43">
        <v>425.59500421276914</v>
      </c>
      <c r="R126" s="43">
        <v>428.85113315522159</v>
      </c>
      <c r="S126" s="47">
        <v>0</v>
      </c>
      <c r="T126" s="48">
        <v>405.63049747074814</v>
      </c>
      <c r="U126" s="48">
        <v>428.85113315522159</v>
      </c>
      <c r="V126" s="48">
        <v>418.72340356105218</v>
      </c>
      <c r="W126" s="48">
        <v>421.44133308184615</v>
      </c>
    </row>
    <row r="127" spans="1:23" ht="13.2" x14ac:dyDescent="0.25">
      <c r="A127" s="41">
        <v>125</v>
      </c>
      <c r="B127" s="42">
        <v>0.38309873798075073</v>
      </c>
      <c r="C127" s="14" t="s">
        <v>5077</v>
      </c>
      <c r="D127" s="42">
        <v>0.89897335502271236</v>
      </c>
      <c r="E127" s="43">
        <v>48.09076019520441</v>
      </c>
      <c r="F127" s="42">
        <v>9.5905126117125677E-2</v>
      </c>
      <c r="G127" s="43">
        <v>3.1660344605362205</v>
      </c>
      <c r="H127" s="42">
        <v>0.95218605452784622</v>
      </c>
      <c r="I127" s="43">
        <v>1.5533157286466295</v>
      </c>
      <c r="J127" s="42">
        <v>0.96454890908885227</v>
      </c>
      <c r="K127" s="43">
        <v>0.10538609826033109</v>
      </c>
      <c r="L127" s="43">
        <v>425.70039031102948</v>
      </c>
      <c r="M127" s="44">
        <v>334.71169095862268</v>
      </c>
      <c r="N127" s="44">
        <v>601.13450244005514</v>
      </c>
      <c r="O127" s="45" t="s">
        <v>5074</v>
      </c>
      <c r="P127" s="46">
        <v>1</v>
      </c>
      <c r="Q127" s="43">
        <v>425.70039031102948</v>
      </c>
      <c r="R127" s="43">
        <v>428.86642477156568</v>
      </c>
      <c r="S127" s="47">
        <v>0</v>
      </c>
      <c r="T127" s="48">
        <v>428.86642477156568</v>
      </c>
      <c r="U127" s="48">
        <v>428.85113315522159</v>
      </c>
      <c r="V127" s="48">
        <v>418.72340356105218</v>
      </c>
      <c r="W127" s="48">
        <v>421.44133308184615</v>
      </c>
    </row>
    <row r="128" spans="1:23" ht="13.2" x14ac:dyDescent="0.25">
      <c r="A128" s="41">
        <v>126</v>
      </c>
      <c r="B128" s="42">
        <v>0.24503706779565526</v>
      </c>
      <c r="C128" s="14" t="s">
        <v>5077</v>
      </c>
      <c r="D128" s="42">
        <v>0.79740850897385207</v>
      </c>
      <c r="E128" s="43">
        <v>47.176676580764671</v>
      </c>
      <c r="F128" s="42">
        <v>0.87053564697063324</v>
      </c>
      <c r="G128" s="43">
        <v>3.5378571105459042</v>
      </c>
      <c r="H128" s="42">
        <v>0.81990973922419819</v>
      </c>
      <c r="I128" s="43">
        <v>1.4153236621193976</v>
      </c>
      <c r="J128" s="42">
        <v>0.73081810433921313</v>
      </c>
      <c r="K128" s="43">
        <v>0.91559323056730713</v>
      </c>
      <c r="L128" s="43">
        <v>426.61598354159679</v>
      </c>
      <c r="M128" s="44">
        <v>328.34966900212208</v>
      </c>
      <c r="N128" s="44">
        <v>589.70845725955837</v>
      </c>
      <c r="O128" s="45" t="s">
        <v>5074</v>
      </c>
      <c r="P128" s="46">
        <v>3</v>
      </c>
      <c r="Q128" s="43">
        <v>426.61598354159679</v>
      </c>
      <c r="R128" s="43">
        <v>430.15384065214272</v>
      </c>
      <c r="S128" s="47">
        <v>0</v>
      </c>
      <c r="T128" s="48">
        <v>428.86642477156568</v>
      </c>
      <c r="U128" s="48">
        <v>428.85113315522159</v>
      </c>
      <c r="V128" s="48">
        <v>430.15384065214272</v>
      </c>
      <c r="W128" s="48">
        <v>421.44133308184615</v>
      </c>
    </row>
    <row r="129" spans="1:23" ht="13.2" x14ac:dyDescent="0.25">
      <c r="A129" s="41">
        <v>127</v>
      </c>
      <c r="B129" s="42">
        <v>0.47726117469242829</v>
      </c>
      <c r="C129" s="14" t="s">
        <v>5077</v>
      </c>
      <c r="D129" s="42">
        <v>0.62894086010239125</v>
      </c>
      <c r="E129" s="43">
        <v>45.660467740921518</v>
      </c>
      <c r="F129" s="42">
        <v>0.2572978787390971</v>
      </c>
      <c r="G129" s="43">
        <v>3.2435029817947667</v>
      </c>
      <c r="H129" s="42">
        <v>0.22374414150777466</v>
      </c>
      <c r="I129" s="43">
        <v>1.0838096033308227</v>
      </c>
      <c r="J129" s="42">
        <v>0.18927917452029847</v>
      </c>
      <c r="K129" s="43">
        <v>4.8599481457461788</v>
      </c>
      <c r="L129" s="43">
        <v>431.47593168734295</v>
      </c>
      <c r="M129" s="44">
        <v>317.79685547681379</v>
      </c>
      <c r="N129" s="44">
        <v>570.75584676151902</v>
      </c>
      <c r="O129" s="45" t="s">
        <v>5074</v>
      </c>
      <c r="P129" s="46">
        <v>4</v>
      </c>
      <c r="Q129" s="43">
        <v>431.47593168734295</v>
      </c>
      <c r="R129" s="43">
        <v>434.71943466913774</v>
      </c>
      <c r="S129" s="47">
        <v>0</v>
      </c>
      <c r="T129" s="48">
        <v>428.86642477156568</v>
      </c>
      <c r="U129" s="48">
        <v>428.85113315522159</v>
      </c>
      <c r="V129" s="48">
        <v>430.15384065214272</v>
      </c>
      <c r="W129" s="48">
        <v>434.71943466913774</v>
      </c>
    </row>
    <row r="130" spans="1:23" ht="13.2" x14ac:dyDescent="0.25">
      <c r="A130" s="41">
        <v>128</v>
      </c>
      <c r="B130" s="42">
        <v>0.39010434569330155</v>
      </c>
      <c r="C130" s="14" t="s">
        <v>5077</v>
      </c>
      <c r="D130" s="42">
        <v>0.90815108870535677</v>
      </c>
      <c r="E130" s="43">
        <v>48.173359798348208</v>
      </c>
      <c r="F130" s="42">
        <v>0.66306322983608734</v>
      </c>
      <c r="G130" s="43">
        <v>3.4382703503213219</v>
      </c>
      <c r="H130" s="42">
        <v>0.79477885914723334</v>
      </c>
      <c r="I130" s="43">
        <v>1.3961093726622273</v>
      </c>
      <c r="J130" s="42">
        <v>0.75265799451277493</v>
      </c>
      <c r="K130" s="43">
        <v>0.82961852529080027</v>
      </c>
      <c r="L130" s="43">
        <v>432.30555021263376</v>
      </c>
      <c r="M130" s="44">
        <v>335.28658419650355</v>
      </c>
      <c r="N130" s="44">
        <v>602.16699747935263</v>
      </c>
      <c r="O130" s="45" t="s">
        <v>5074</v>
      </c>
      <c r="P130" s="46">
        <v>2</v>
      </c>
      <c r="Q130" s="43">
        <v>432.30555021263376</v>
      </c>
      <c r="R130" s="43">
        <v>435.74382056295508</v>
      </c>
      <c r="S130" s="47">
        <v>0</v>
      </c>
      <c r="T130" s="48">
        <v>428.86642477156568</v>
      </c>
      <c r="U130" s="48">
        <v>435.74382056295508</v>
      </c>
      <c r="V130" s="48">
        <v>430.15384065214272</v>
      </c>
      <c r="W130" s="48">
        <v>434.71943466913774</v>
      </c>
    </row>
    <row r="131" spans="1:23" ht="13.2" x14ac:dyDescent="0.25">
      <c r="A131" s="41">
        <v>129</v>
      </c>
      <c r="B131" s="42">
        <v>0.52045232268071373</v>
      </c>
      <c r="C131" s="14" t="s">
        <v>5076</v>
      </c>
      <c r="D131" s="42">
        <v>0.37454606097868925</v>
      </c>
      <c r="E131" s="43">
        <v>38.745460609786889</v>
      </c>
      <c r="F131" s="42">
        <v>0.75428649864824793</v>
      </c>
      <c r="G131" s="43">
        <v>3.3869717893781939</v>
      </c>
      <c r="H131" s="42">
        <v>0.20629842076743879</v>
      </c>
      <c r="I131" s="43">
        <v>0.7081409819357114</v>
      </c>
      <c r="J131" s="42">
        <v>0.35096386696722537</v>
      </c>
      <c r="K131" s="43">
        <v>3.0571445370177961</v>
      </c>
      <c r="L131" s="43">
        <v>435.36269474965155</v>
      </c>
      <c r="M131" s="44">
        <v>269.66840584411676</v>
      </c>
      <c r="N131" s="44">
        <v>484.31825762233609</v>
      </c>
      <c r="O131" s="45" t="s">
        <v>5074</v>
      </c>
      <c r="P131" s="46">
        <v>1</v>
      </c>
      <c r="Q131" s="43">
        <v>435.36269474965155</v>
      </c>
      <c r="R131" s="43">
        <v>438.74966653902976</v>
      </c>
      <c r="S131" s="47">
        <v>0</v>
      </c>
      <c r="T131" s="48">
        <v>438.74966653902976</v>
      </c>
      <c r="U131" s="48">
        <v>435.74382056295508</v>
      </c>
      <c r="V131" s="48">
        <v>430.15384065214272</v>
      </c>
      <c r="W131" s="48">
        <v>434.71943466913774</v>
      </c>
    </row>
    <row r="132" spans="1:23" ht="13.2" x14ac:dyDescent="0.25">
      <c r="A132" s="41">
        <v>130</v>
      </c>
      <c r="B132" s="42">
        <v>0.60279956674333646</v>
      </c>
      <c r="C132" s="14" t="s">
        <v>5076</v>
      </c>
      <c r="D132" s="42">
        <v>0.42096939795695681</v>
      </c>
      <c r="E132" s="43">
        <v>39.209693979569565</v>
      </c>
      <c r="F132" s="42">
        <v>0.55927024947445381</v>
      </c>
      <c r="G132" s="43">
        <v>3.297264314758249</v>
      </c>
      <c r="H132" s="42">
        <v>0.78414241121343453</v>
      </c>
      <c r="I132" s="43">
        <v>0.95415426613374321</v>
      </c>
      <c r="J132" s="42">
        <v>0.11916098795792134</v>
      </c>
      <c r="K132" s="43">
        <v>6.2110360880338957</v>
      </c>
      <c r="L132" s="43">
        <v>441.57373083768545</v>
      </c>
      <c r="M132" s="44">
        <v>272.89947009780417</v>
      </c>
      <c r="N132" s="44">
        <v>490.12117474461957</v>
      </c>
      <c r="O132" s="45" t="s">
        <v>5074</v>
      </c>
      <c r="P132" s="46">
        <v>3</v>
      </c>
      <c r="Q132" s="43">
        <v>441.57373083768545</v>
      </c>
      <c r="R132" s="43">
        <v>444.8709951524437</v>
      </c>
      <c r="S132" s="47">
        <v>0</v>
      </c>
      <c r="T132" s="48">
        <v>438.74966653902976</v>
      </c>
      <c r="U132" s="48">
        <v>435.74382056295508</v>
      </c>
      <c r="V132" s="48">
        <v>444.8709951524437</v>
      </c>
      <c r="W132" s="48">
        <v>434.71943466913774</v>
      </c>
    </row>
    <row r="133" spans="1:23" ht="13.2" x14ac:dyDescent="0.25">
      <c r="A133" s="41">
        <v>131</v>
      </c>
      <c r="B133" s="42">
        <v>0.91561660492588604</v>
      </c>
      <c r="C133" s="14" t="s">
        <v>5075</v>
      </c>
      <c r="D133" s="42">
        <v>0.20145020643316686</v>
      </c>
      <c r="E133" s="43">
        <v>294.1015144503217</v>
      </c>
      <c r="F133" s="42">
        <v>0.37699911295296584</v>
      </c>
      <c r="G133" s="43">
        <v>9.1002282347764023</v>
      </c>
      <c r="H133" s="42">
        <v>0.92062398135691137</v>
      </c>
      <c r="I133" s="43">
        <v>3.1015630071313947</v>
      </c>
      <c r="J133" s="42">
        <v>0.10470405877786877</v>
      </c>
      <c r="K133" s="43">
        <v>6.5886639301322845</v>
      </c>
      <c r="L133" s="43">
        <v>448.16239476781772</v>
      </c>
      <c r="M133" s="44">
        <v>2046.946540574239</v>
      </c>
      <c r="N133" s="44">
        <v>3676.2689306290213</v>
      </c>
      <c r="O133" s="45" t="s">
        <v>5074</v>
      </c>
      <c r="P133" s="46">
        <v>4</v>
      </c>
      <c r="Q133" s="43">
        <v>448.16239476781772</v>
      </c>
      <c r="R133" s="43">
        <v>457.26262300259413</v>
      </c>
      <c r="S133" s="47">
        <v>0</v>
      </c>
      <c r="T133" s="48">
        <v>438.74966653902976</v>
      </c>
      <c r="U133" s="48">
        <v>435.74382056295508</v>
      </c>
      <c r="V133" s="48">
        <v>444.8709951524437</v>
      </c>
      <c r="W133" s="48">
        <v>457.26262300259413</v>
      </c>
    </row>
    <row r="134" spans="1:23" ht="13.2" x14ac:dyDescent="0.25">
      <c r="A134" s="41">
        <v>132</v>
      </c>
      <c r="B134" s="42">
        <v>0.99557317793163158</v>
      </c>
      <c r="C134" s="14" t="s">
        <v>5080</v>
      </c>
      <c r="D134" s="42">
        <v>0.91613259488536636</v>
      </c>
      <c r="E134" s="43">
        <v>107.90331487213416</v>
      </c>
      <c r="F134" s="42">
        <v>7.9637510273436782E-2</v>
      </c>
      <c r="G134" s="43">
        <v>4.2530042555476557</v>
      </c>
      <c r="H134" s="42">
        <v>9.8923838277777579E-2</v>
      </c>
      <c r="I134" s="43">
        <v>1.5774259226921221</v>
      </c>
      <c r="J134" s="42">
        <v>0.6740452636378097</v>
      </c>
      <c r="K134" s="43">
        <v>1.1517022294659478</v>
      </c>
      <c r="L134" s="43">
        <v>449.31409699728368</v>
      </c>
      <c r="M134" s="44">
        <v>751.00707151005372</v>
      </c>
      <c r="N134" s="44">
        <v>1348.791435901677</v>
      </c>
      <c r="O134" s="45" t="s">
        <v>5074</v>
      </c>
      <c r="P134" s="46">
        <v>2</v>
      </c>
      <c r="Q134" s="43">
        <v>449.31409699728368</v>
      </c>
      <c r="R134" s="43">
        <v>453.56710125283132</v>
      </c>
      <c r="S134" s="47">
        <v>0</v>
      </c>
      <c r="T134" s="48">
        <v>438.74966653902976</v>
      </c>
      <c r="U134" s="48">
        <v>453.56710125283132</v>
      </c>
      <c r="V134" s="48">
        <v>444.8709951524437</v>
      </c>
      <c r="W134" s="48">
        <v>457.26262300259413</v>
      </c>
    </row>
    <row r="135" spans="1:23" ht="13.2" x14ac:dyDescent="0.25">
      <c r="A135" s="41">
        <v>133</v>
      </c>
      <c r="B135" s="42">
        <v>0.66459267105189745</v>
      </c>
      <c r="C135" s="14" t="s">
        <v>5079</v>
      </c>
      <c r="D135" s="42">
        <v>0.58791860546354135</v>
      </c>
      <c r="E135" s="43">
        <v>8.7637558163906242</v>
      </c>
      <c r="F135" s="42">
        <v>0.68889514714893663</v>
      </c>
      <c r="G135" s="43">
        <v>1.5157784661863831</v>
      </c>
      <c r="H135" s="42">
        <v>0.66694402958589794</v>
      </c>
      <c r="I135" s="43">
        <v>0.47648625196172983</v>
      </c>
      <c r="J135" s="42">
        <v>0.48298241267119646</v>
      </c>
      <c r="K135" s="43">
        <v>2.1248906238877567</v>
      </c>
      <c r="L135" s="43">
        <v>451.43898762117146</v>
      </c>
      <c r="M135" s="44">
        <v>60.995740482078745</v>
      </c>
      <c r="N135" s="44">
        <v>109.5469477048828</v>
      </c>
      <c r="O135" s="45" t="s">
        <v>5074</v>
      </c>
      <c r="P135" s="46">
        <v>1</v>
      </c>
      <c r="Q135" s="43">
        <v>451.43898762117146</v>
      </c>
      <c r="R135" s="43">
        <v>452.95476608735783</v>
      </c>
      <c r="S135" s="47">
        <v>0</v>
      </c>
      <c r="T135" s="48">
        <v>452.95476608735783</v>
      </c>
      <c r="U135" s="48">
        <v>453.56710125283132</v>
      </c>
      <c r="V135" s="48">
        <v>444.8709951524437</v>
      </c>
      <c r="W135" s="48">
        <v>457.26262300259413</v>
      </c>
    </row>
    <row r="136" spans="1:23" ht="13.2" x14ac:dyDescent="0.25">
      <c r="A136" s="41">
        <v>134</v>
      </c>
      <c r="B136" s="42">
        <v>0.77258746920739652</v>
      </c>
      <c r="C136" s="14" t="s">
        <v>5078</v>
      </c>
      <c r="D136" s="42">
        <v>0.62931838754067126</v>
      </c>
      <c r="E136" s="43">
        <v>195.17273550162685</v>
      </c>
      <c r="F136" s="42">
        <v>0.6611570816771859</v>
      </c>
      <c r="G136" s="43">
        <v>6.021652944326239</v>
      </c>
      <c r="H136" s="42">
        <v>0.96351466372772798</v>
      </c>
      <c r="I136" s="43">
        <v>4.1301081090088347</v>
      </c>
      <c r="J136" s="42">
        <v>0.71777734240413515</v>
      </c>
      <c r="K136" s="43">
        <v>0.96816311269956001</v>
      </c>
      <c r="L136" s="43">
        <v>452.40715073387105</v>
      </c>
      <c r="M136" s="44">
        <v>1358.4022390913228</v>
      </c>
      <c r="N136" s="44">
        <v>2439.6591937703356</v>
      </c>
      <c r="O136" s="45" t="s">
        <v>5074</v>
      </c>
      <c r="P136" s="46">
        <v>3</v>
      </c>
      <c r="Q136" s="43">
        <v>452.40715073387105</v>
      </c>
      <c r="R136" s="43">
        <v>458.42880367819731</v>
      </c>
      <c r="S136" s="47">
        <v>0</v>
      </c>
      <c r="T136" s="48">
        <v>452.95476608735783</v>
      </c>
      <c r="U136" s="48">
        <v>453.56710125283132</v>
      </c>
      <c r="V136" s="48">
        <v>458.42880367819731</v>
      </c>
      <c r="W136" s="48">
        <v>457.26262300259413</v>
      </c>
    </row>
    <row r="137" spans="1:23" ht="13.2" x14ac:dyDescent="0.25">
      <c r="A137" s="41">
        <v>135</v>
      </c>
      <c r="B137" s="42">
        <v>0.80300118904700557</v>
      </c>
      <c r="C137" s="14" t="s">
        <v>5078</v>
      </c>
      <c r="D137" s="42">
        <v>2.6334412873878336E-2</v>
      </c>
      <c r="E137" s="43">
        <v>171.05337651495515</v>
      </c>
      <c r="F137" s="42">
        <v>0.76072483824599757</v>
      </c>
      <c r="G137" s="43">
        <v>6.1122596028038583</v>
      </c>
      <c r="H137" s="42">
        <v>0.98351736505679666</v>
      </c>
      <c r="I137" s="43">
        <v>4.2513840692211931</v>
      </c>
      <c r="J137" s="42">
        <v>0.71420711032776496</v>
      </c>
      <c r="K137" s="43">
        <v>0.98272200939502707</v>
      </c>
      <c r="L137" s="43">
        <v>453.3898727432661</v>
      </c>
      <c r="M137" s="44">
        <v>1190.5315005440877</v>
      </c>
      <c r="N137" s="44">
        <v>2138.1672064369395</v>
      </c>
      <c r="O137" s="45" t="s">
        <v>5074</v>
      </c>
      <c r="P137" s="46">
        <v>1</v>
      </c>
      <c r="Q137" s="43">
        <v>453.3898727432661</v>
      </c>
      <c r="R137" s="43">
        <v>459.50213234606997</v>
      </c>
      <c r="S137" s="47">
        <v>0</v>
      </c>
      <c r="T137" s="48">
        <v>459.50213234606997</v>
      </c>
      <c r="U137" s="48">
        <v>453.56710125283132</v>
      </c>
      <c r="V137" s="48">
        <v>458.42880367819731</v>
      </c>
      <c r="W137" s="48">
        <v>457.26262300259413</v>
      </c>
    </row>
    <row r="138" spans="1:23" ht="13.2" x14ac:dyDescent="0.25">
      <c r="A138" s="41">
        <v>136</v>
      </c>
      <c r="B138" s="42">
        <v>6.2454268831039904E-2</v>
      </c>
      <c r="C138" s="14" t="s">
        <v>5073</v>
      </c>
      <c r="D138" s="42">
        <v>0.16396193260511474</v>
      </c>
      <c r="E138" s="43">
        <v>299.67543191261376</v>
      </c>
      <c r="F138" s="42">
        <v>0.20800547451153653</v>
      </c>
      <c r="G138" s="43">
        <v>9.0310571352211095</v>
      </c>
      <c r="H138" s="42">
        <v>0.78459726124284657</v>
      </c>
      <c r="I138" s="43">
        <v>3.5980646145611646</v>
      </c>
      <c r="J138" s="42">
        <v>0.22840619516950389</v>
      </c>
      <c r="K138" s="43">
        <v>4.311327525134014</v>
      </c>
      <c r="L138" s="43">
        <v>457.7012002684001</v>
      </c>
      <c r="M138" s="44">
        <v>2085.7410061117916</v>
      </c>
      <c r="N138" s="44">
        <v>3745.9428989076719</v>
      </c>
      <c r="O138" s="45" t="s">
        <v>5074</v>
      </c>
      <c r="P138" s="46">
        <v>2</v>
      </c>
      <c r="Q138" s="43">
        <v>457.7012002684001</v>
      </c>
      <c r="R138" s="43">
        <v>466.73225740362119</v>
      </c>
      <c r="S138" s="47">
        <v>0</v>
      </c>
      <c r="T138" s="48">
        <v>459.50213234606997</v>
      </c>
      <c r="U138" s="48">
        <v>466.73225740362119</v>
      </c>
      <c r="V138" s="48">
        <v>458.42880367819731</v>
      </c>
      <c r="W138" s="48">
        <v>457.26262300259413</v>
      </c>
    </row>
    <row r="139" spans="1:23" ht="13.2" x14ac:dyDescent="0.25">
      <c r="A139" s="41">
        <v>137</v>
      </c>
      <c r="B139" s="42">
        <v>0.29415046437371078</v>
      </c>
      <c r="C139" s="14" t="s">
        <v>5077</v>
      </c>
      <c r="D139" s="42">
        <v>0.27384759684738125</v>
      </c>
      <c r="E139" s="43">
        <v>42.464628371626432</v>
      </c>
      <c r="F139" s="42">
        <v>0.64327833319235517</v>
      </c>
      <c r="G139" s="43">
        <v>3.4287735999323306</v>
      </c>
      <c r="H139" s="42">
        <v>0.33969295087256141</v>
      </c>
      <c r="I139" s="43">
        <v>1.1496991025354828</v>
      </c>
      <c r="J139" s="42">
        <v>0.88118709618280977</v>
      </c>
      <c r="K139" s="43">
        <v>0.36930016823776884</v>
      </c>
      <c r="L139" s="43">
        <v>458.07050043663787</v>
      </c>
      <c r="M139" s="44">
        <v>295.55381346651995</v>
      </c>
      <c r="N139" s="44">
        <v>530.80785464533039</v>
      </c>
      <c r="O139" s="45" t="s">
        <v>5074</v>
      </c>
      <c r="P139" s="46">
        <v>4</v>
      </c>
      <c r="Q139" s="43">
        <v>458.07050043663787</v>
      </c>
      <c r="R139" s="43">
        <v>461.49927403657023</v>
      </c>
      <c r="S139" s="47">
        <v>0</v>
      </c>
      <c r="T139" s="48">
        <v>459.50213234606997</v>
      </c>
      <c r="U139" s="48">
        <v>466.73225740362119</v>
      </c>
      <c r="V139" s="48">
        <v>458.42880367819731</v>
      </c>
      <c r="W139" s="48">
        <v>461.49927403657023</v>
      </c>
    </row>
    <row r="140" spans="1:23" ht="13.2" x14ac:dyDescent="0.25">
      <c r="A140" s="41">
        <v>138</v>
      </c>
      <c r="B140" s="42">
        <v>0.42340963726090713</v>
      </c>
      <c r="C140" s="14" t="s">
        <v>5077</v>
      </c>
      <c r="D140" s="42">
        <v>0.39859765740046166</v>
      </c>
      <c r="E140" s="43">
        <v>43.587378916604152</v>
      </c>
      <c r="F140" s="42">
        <v>0.23782044939595295</v>
      </c>
      <c r="G140" s="43">
        <v>3.2341538157100573</v>
      </c>
      <c r="H140" s="42">
        <v>0.55566674450210607</v>
      </c>
      <c r="I140" s="43">
        <v>1.2528423488588702</v>
      </c>
      <c r="J140" s="42">
        <v>0.66002831405961337</v>
      </c>
      <c r="K140" s="43">
        <v>1.2130585249387593</v>
      </c>
      <c r="L140" s="43">
        <v>459.28355896157666</v>
      </c>
      <c r="M140" s="44">
        <v>303.3681572595649</v>
      </c>
      <c r="N140" s="44">
        <v>544.84223645755185</v>
      </c>
      <c r="O140" s="45" t="s">
        <v>5074</v>
      </c>
      <c r="P140" s="46">
        <v>3</v>
      </c>
      <c r="Q140" s="43">
        <v>459.28355896157666</v>
      </c>
      <c r="R140" s="43">
        <v>462.5177127772867</v>
      </c>
      <c r="S140" s="47">
        <v>0</v>
      </c>
      <c r="T140" s="48">
        <v>459.50213234606997</v>
      </c>
      <c r="U140" s="48">
        <v>466.73225740362119</v>
      </c>
      <c r="V140" s="48">
        <v>462.5177127772867</v>
      </c>
      <c r="W140" s="48">
        <v>461.49927403657023</v>
      </c>
    </row>
    <row r="141" spans="1:23" ht="13.2" x14ac:dyDescent="0.25">
      <c r="A141" s="41">
        <v>139</v>
      </c>
      <c r="B141" s="42">
        <v>0.1015960239347052</v>
      </c>
      <c r="C141" s="14" t="s">
        <v>5073</v>
      </c>
      <c r="D141" s="42">
        <v>0.59387586107192369</v>
      </c>
      <c r="E141" s="43">
        <v>351.26510332863086</v>
      </c>
      <c r="F141" s="42">
        <v>0.68978668967717638</v>
      </c>
      <c r="G141" s="43">
        <v>10.539032338689562</v>
      </c>
      <c r="H141" s="42">
        <v>0.6617708479341915</v>
      </c>
      <c r="I141" s="43">
        <v>3.4963213697905346</v>
      </c>
      <c r="J141" s="42">
        <v>0.59279360603205566</v>
      </c>
      <c r="K141" s="43">
        <v>1.5267415798663351</v>
      </c>
      <c r="L141" s="43">
        <v>460.81030054144298</v>
      </c>
      <c r="M141" s="44">
        <v>2444.8051191672707</v>
      </c>
      <c r="N141" s="44">
        <v>4390.8137916078858</v>
      </c>
      <c r="O141" s="45" t="s">
        <v>5074</v>
      </c>
      <c r="P141" s="46">
        <v>1</v>
      </c>
      <c r="Q141" s="43">
        <v>460.81030054144298</v>
      </c>
      <c r="R141" s="43">
        <v>471.34933288013252</v>
      </c>
      <c r="S141" s="47">
        <v>0</v>
      </c>
      <c r="T141" s="48">
        <v>471.34933288013252</v>
      </c>
      <c r="U141" s="48">
        <v>466.73225740362119</v>
      </c>
      <c r="V141" s="48">
        <v>462.5177127772867</v>
      </c>
      <c r="W141" s="48">
        <v>461.49927403657023</v>
      </c>
    </row>
    <row r="142" spans="1:23" ht="13.2" x14ac:dyDescent="0.25">
      <c r="A142" s="41">
        <v>140</v>
      </c>
      <c r="B142" s="42">
        <v>0.24921645328831693</v>
      </c>
      <c r="C142" s="14" t="s">
        <v>5077</v>
      </c>
      <c r="D142" s="42">
        <v>0.4890456816596192</v>
      </c>
      <c r="E142" s="43">
        <v>44.401411134936573</v>
      </c>
      <c r="F142" s="42">
        <v>0.2354004235171715</v>
      </c>
      <c r="G142" s="43">
        <v>3.2329922032882425</v>
      </c>
      <c r="H142" s="42">
        <v>0.362090865784367</v>
      </c>
      <c r="I142" s="43">
        <v>1.1610439193261286</v>
      </c>
      <c r="J142" s="42">
        <v>0.77050566941988918</v>
      </c>
      <c r="K142" s="43">
        <v>0.76119201793884561</v>
      </c>
      <c r="L142" s="43">
        <v>461.57149255938185</v>
      </c>
      <c r="M142" s="44">
        <v>309.03382149915853</v>
      </c>
      <c r="N142" s="44">
        <v>555.01763918670713</v>
      </c>
      <c r="O142" s="45" t="s">
        <v>5074</v>
      </c>
      <c r="P142" s="46">
        <v>4</v>
      </c>
      <c r="Q142" s="43">
        <v>461.57149255938185</v>
      </c>
      <c r="R142" s="43">
        <v>464.80448476267009</v>
      </c>
      <c r="S142" s="47">
        <v>0</v>
      </c>
      <c r="T142" s="48">
        <v>471.34933288013252</v>
      </c>
      <c r="U142" s="48">
        <v>466.73225740362119</v>
      </c>
      <c r="V142" s="48">
        <v>462.5177127772867</v>
      </c>
      <c r="W142" s="48">
        <v>464.80448476267009</v>
      </c>
    </row>
    <row r="143" spans="1:23" ht="13.2" x14ac:dyDescent="0.25">
      <c r="A143" s="41">
        <v>141</v>
      </c>
      <c r="B143" s="42">
        <v>0.42152708695341229</v>
      </c>
      <c r="C143" s="14" t="s">
        <v>5077</v>
      </c>
      <c r="D143" s="42">
        <v>0.84654707454449829</v>
      </c>
      <c r="E143" s="43">
        <v>47.618923670900486</v>
      </c>
      <c r="F143" s="42">
        <v>0.2413921268849597</v>
      </c>
      <c r="G143" s="43">
        <v>3.2358682209047807</v>
      </c>
      <c r="H143" s="42">
        <v>0.70213913344877732</v>
      </c>
      <c r="I143" s="43">
        <v>1.3338888284304202</v>
      </c>
      <c r="J143" s="42">
        <v>0.61323977197205637</v>
      </c>
      <c r="K143" s="43">
        <v>1.4277351076824172</v>
      </c>
      <c r="L143" s="43">
        <v>462.99922766706425</v>
      </c>
      <c r="M143" s="44">
        <v>331.4277087494674</v>
      </c>
      <c r="N143" s="44">
        <v>595.23654588625607</v>
      </c>
      <c r="O143" s="45" t="s">
        <v>5074</v>
      </c>
      <c r="P143" s="46">
        <v>3</v>
      </c>
      <c r="Q143" s="43">
        <v>462.99922766706425</v>
      </c>
      <c r="R143" s="43">
        <v>466.23509588796901</v>
      </c>
      <c r="S143" s="47">
        <v>0</v>
      </c>
      <c r="T143" s="48">
        <v>471.34933288013252</v>
      </c>
      <c r="U143" s="48">
        <v>466.73225740362119</v>
      </c>
      <c r="V143" s="48">
        <v>466.23509588796901</v>
      </c>
      <c r="W143" s="48">
        <v>464.80448476267009</v>
      </c>
    </row>
    <row r="144" spans="1:23" ht="13.2" x14ac:dyDescent="0.25">
      <c r="A144" s="41">
        <v>142</v>
      </c>
      <c r="B144" s="42">
        <v>0.40357773304152195</v>
      </c>
      <c r="C144" s="14" t="s">
        <v>5077</v>
      </c>
      <c r="D144" s="42">
        <v>0.69822688526391374</v>
      </c>
      <c r="E144" s="43">
        <v>46.284041967375224</v>
      </c>
      <c r="F144" s="42">
        <v>0.5783298618990601</v>
      </c>
      <c r="G144" s="43">
        <v>3.397598333711549</v>
      </c>
      <c r="H144" s="42">
        <v>0.98551347897644781</v>
      </c>
      <c r="I144" s="43">
        <v>1.6192600813686409</v>
      </c>
      <c r="J144" s="42">
        <v>0.29572921772288585</v>
      </c>
      <c r="K144" s="43">
        <v>3.5571125498913223</v>
      </c>
      <c r="L144" s="43">
        <v>466.55634021695556</v>
      </c>
      <c r="M144" s="44">
        <v>322.13693209293154</v>
      </c>
      <c r="N144" s="44">
        <v>578.5505245921903</v>
      </c>
      <c r="O144" s="45" t="s">
        <v>5074</v>
      </c>
      <c r="P144" s="46">
        <v>4</v>
      </c>
      <c r="Q144" s="43">
        <v>466.55634021695556</v>
      </c>
      <c r="R144" s="43">
        <v>469.95393855066709</v>
      </c>
      <c r="S144" s="47">
        <v>0</v>
      </c>
      <c r="T144" s="48">
        <v>471.34933288013252</v>
      </c>
      <c r="U144" s="48">
        <v>466.73225740362119</v>
      </c>
      <c r="V144" s="48">
        <v>466.23509588796901</v>
      </c>
      <c r="W144" s="48">
        <v>469.95393855066709</v>
      </c>
    </row>
    <row r="145" spans="1:23" ht="13.2" x14ac:dyDescent="0.25">
      <c r="A145" s="41">
        <v>143</v>
      </c>
      <c r="B145" s="42">
        <v>0.14826613252436097</v>
      </c>
      <c r="C145" s="14" t="s">
        <v>5073</v>
      </c>
      <c r="D145" s="42">
        <v>0.1563760578429215</v>
      </c>
      <c r="E145" s="43">
        <v>298.76512694115058</v>
      </c>
      <c r="F145" s="42">
        <v>0.32981693480620949</v>
      </c>
      <c r="G145" s="43">
        <v>9.4123270059434354</v>
      </c>
      <c r="H145" s="42">
        <v>5.5442517649122759E-3</v>
      </c>
      <c r="I145" s="43">
        <v>2.5911941755123014</v>
      </c>
      <c r="J145" s="42">
        <v>1.7804936514145199E-2</v>
      </c>
      <c r="K145" s="43">
        <v>11.761400081396292</v>
      </c>
      <c r="L145" s="43">
        <v>478.31774029835185</v>
      </c>
      <c r="M145" s="44">
        <v>2079.405283510408</v>
      </c>
      <c r="N145" s="44">
        <v>3734.5640867643824</v>
      </c>
      <c r="O145" s="45" t="s">
        <v>5074</v>
      </c>
      <c r="P145" s="46">
        <v>3</v>
      </c>
      <c r="Q145" s="43">
        <v>478.31774029835185</v>
      </c>
      <c r="R145" s="43">
        <v>487.73006730429529</v>
      </c>
      <c r="S145" s="47">
        <v>0</v>
      </c>
      <c r="T145" s="48">
        <v>471.34933288013252</v>
      </c>
      <c r="U145" s="48">
        <v>466.73225740362119</v>
      </c>
      <c r="V145" s="48">
        <v>487.73006730429529</v>
      </c>
      <c r="W145" s="48">
        <v>469.95393855066709</v>
      </c>
    </row>
    <row r="146" spans="1:23" ht="13.2" x14ac:dyDescent="0.25">
      <c r="A146" s="41">
        <v>144</v>
      </c>
      <c r="B146" s="42">
        <v>0.2340871534469012</v>
      </c>
      <c r="C146" s="14" t="s">
        <v>5077</v>
      </c>
      <c r="D146" s="42">
        <v>0.3912271491211034</v>
      </c>
      <c r="E146" s="43">
        <v>43.52104434208993</v>
      </c>
      <c r="F146" s="42">
        <v>0.84252675056575177</v>
      </c>
      <c r="G146" s="43">
        <v>3.5244128402715611</v>
      </c>
      <c r="H146" s="42">
        <v>0.31162140393239512</v>
      </c>
      <c r="I146" s="43">
        <v>1.1349383606212675</v>
      </c>
      <c r="J146" s="42">
        <v>8.9516515885254611E-2</v>
      </c>
      <c r="K146" s="43">
        <v>7.0462252137081576</v>
      </c>
      <c r="L146" s="43">
        <v>485.36396551206002</v>
      </c>
      <c r="M146" s="44">
        <v>302.90646862094593</v>
      </c>
      <c r="N146" s="44">
        <v>544.01305427612408</v>
      </c>
      <c r="O146" s="45" t="s">
        <v>5074</v>
      </c>
      <c r="P146" s="46">
        <v>2</v>
      </c>
      <c r="Q146" s="43">
        <v>485.36396551206002</v>
      </c>
      <c r="R146" s="43">
        <v>488.88837835233159</v>
      </c>
      <c r="S146" s="47">
        <v>0</v>
      </c>
      <c r="T146" s="48">
        <v>471.34933288013252</v>
      </c>
      <c r="U146" s="48">
        <v>488.88837835233159</v>
      </c>
      <c r="V146" s="48">
        <v>487.73006730429529</v>
      </c>
      <c r="W146" s="48">
        <v>469.95393855066709</v>
      </c>
    </row>
    <row r="147" spans="1:23" ht="13.2" x14ac:dyDescent="0.25">
      <c r="A147" s="41">
        <v>145</v>
      </c>
      <c r="B147" s="42">
        <v>0.95073984933585853</v>
      </c>
      <c r="C147" s="14" t="s">
        <v>5080</v>
      </c>
      <c r="D147" s="42">
        <v>0.71985171582542906</v>
      </c>
      <c r="E147" s="43">
        <v>102.99629289563572</v>
      </c>
      <c r="F147" s="42">
        <v>0.64942026820472454</v>
      </c>
      <c r="G147" s="43">
        <v>4.5606869448305511</v>
      </c>
      <c r="H147" s="42">
        <v>0.74406941502544532</v>
      </c>
      <c r="I147" s="43">
        <v>2.3212695284914648</v>
      </c>
      <c r="J147" s="42">
        <v>0.61518117534703631</v>
      </c>
      <c r="K147" s="43">
        <v>1.4185064540137442</v>
      </c>
      <c r="L147" s="43">
        <v>486.78247196607379</v>
      </c>
      <c r="M147" s="44">
        <v>716.85419855362466</v>
      </c>
      <c r="N147" s="44">
        <v>1287.4536611954466</v>
      </c>
      <c r="O147" s="45" t="s">
        <v>5074</v>
      </c>
      <c r="P147" s="46">
        <v>4</v>
      </c>
      <c r="Q147" s="43">
        <v>486.78247196607379</v>
      </c>
      <c r="R147" s="43">
        <v>491.34315891090432</v>
      </c>
      <c r="S147" s="47">
        <v>0</v>
      </c>
      <c r="T147" s="48">
        <v>471.34933288013252</v>
      </c>
      <c r="U147" s="48">
        <v>488.88837835233159</v>
      </c>
      <c r="V147" s="48">
        <v>487.73006730429529</v>
      </c>
      <c r="W147" s="48">
        <v>491.34315891090432</v>
      </c>
    </row>
    <row r="148" spans="1:23" ht="13.2" x14ac:dyDescent="0.25">
      <c r="A148" s="41">
        <v>146</v>
      </c>
      <c r="B148" s="42">
        <v>0.91803047150281747</v>
      </c>
      <c r="C148" s="14" t="s">
        <v>5075</v>
      </c>
      <c r="D148" s="42">
        <v>0.1427141731338176</v>
      </c>
      <c r="E148" s="43">
        <v>289.98999211936723</v>
      </c>
      <c r="F148" s="42">
        <v>0.78117151361944692</v>
      </c>
      <c r="G148" s="43">
        <v>9.9045313121026997</v>
      </c>
      <c r="H148" s="42">
        <v>0.9858433557608367</v>
      </c>
      <c r="I148" s="43">
        <v>3.3317344703204883</v>
      </c>
      <c r="J148" s="42">
        <v>0.38388375257322738</v>
      </c>
      <c r="K148" s="43">
        <v>2.7953737223345088</v>
      </c>
      <c r="L148" s="43">
        <v>489.57784568840827</v>
      </c>
      <c r="M148" s="44">
        <v>2018.3303451507959</v>
      </c>
      <c r="N148" s="44">
        <v>3624.8749014920904</v>
      </c>
      <c r="O148" s="45" t="s">
        <v>5074</v>
      </c>
      <c r="P148" s="46">
        <v>1</v>
      </c>
      <c r="Q148" s="43">
        <v>489.57784568840827</v>
      </c>
      <c r="R148" s="43">
        <v>499.48237700051095</v>
      </c>
      <c r="S148" s="47">
        <v>0</v>
      </c>
      <c r="T148" s="48">
        <v>499.48237700051095</v>
      </c>
      <c r="U148" s="48">
        <v>488.88837835233159</v>
      </c>
      <c r="V148" s="48">
        <v>487.73006730429529</v>
      </c>
      <c r="W148" s="48">
        <v>491.34315891090432</v>
      </c>
    </row>
    <row r="149" spans="1:23" ht="13.2" x14ac:dyDescent="0.25">
      <c r="A149" s="41">
        <v>147</v>
      </c>
      <c r="B149" s="42">
        <v>0.57538789723785033</v>
      </c>
      <c r="C149" s="14" t="s">
        <v>5076</v>
      </c>
      <c r="D149" s="42">
        <v>1.1785778688167119E-2</v>
      </c>
      <c r="E149" s="43">
        <v>35.117857786881672</v>
      </c>
      <c r="F149" s="42">
        <v>0.1954068672821889</v>
      </c>
      <c r="G149" s="43">
        <v>3.1298871589498067</v>
      </c>
      <c r="H149" s="42">
        <v>8.7898831389797302E-2</v>
      </c>
      <c r="I149" s="43">
        <v>0.63586299934808388</v>
      </c>
      <c r="J149" s="42">
        <v>0.27445504827166678</v>
      </c>
      <c r="K149" s="43">
        <v>3.7750884380017919</v>
      </c>
      <c r="L149" s="43">
        <v>493.35293412641005</v>
      </c>
      <c r="M149" s="44">
        <v>244.42029019669644</v>
      </c>
      <c r="N149" s="44">
        <v>438.97322233602091</v>
      </c>
      <c r="O149" s="45" t="s">
        <v>5074</v>
      </c>
      <c r="P149" s="46">
        <v>3</v>
      </c>
      <c r="Q149" s="43">
        <v>493.35293412641005</v>
      </c>
      <c r="R149" s="43">
        <v>496.48282128535988</v>
      </c>
      <c r="S149" s="47">
        <v>0</v>
      </c>
      <c r="T149" s="48">
        <v>499.48237700051095</v>
      </c>
      <c r="U149" s="48">
        <v>488.88837835233159</v>
      </c>
      <c r="V149" s="48">
        <v>496.48282128535988</v>
      </c>
      <c r="W149" s="48">
        <v>491.34315891090432</v>
      </c>
    </row>
    <row r="150" spans="1:23" ht="13.2" x14ac:dyDescent="0.25">
      <c r="A150" s="41">
        <v>148</v>
      </c>
      <c r="B150" s="42">
        <v>0.7613603420375662</v>
      </c>
      <c r="C150" s="14" t="s">
        <v>5078</v>
      </c>
      <c r="D150" s="42">
        <v>0.7954660257303463</v>
      </c>
      <c r="E150" s="43">
        <v>201.81864102921384</v>
      </c>
      <c r="F150" s="42">
        <v>0.55861475065286026</v>
      </c>
      <c r="G150" s="43">
        <v>5.9283394230941031</v>
      </c>
      <c r="H150" s="42">
        <v>0.68996639814691918</v>
      </c>
      <c r="I150" s="43">
        <v>3.4217486346175798</v>
      </c>
      <c r="J150" s="42">
        <v>0.79101144652395106</v>
      </c>
      <c r="K150" s="43">
        <v>0.68450464340445116</v>
      </c>
      <c r="L150" s="43">
        <v>494.03743876981451</v>
      </c>
      <c r="M150" s="44">
        <v>1404.6577415633283</v>
      </c>
      <c r="N150" s="44">
        <v>2522.7330128651729</v>
      </c>
      <c r="O150" s="45" t="s">
        <v>5074</v>
      </c>
      <c r="P150" s="46">
        <v>2</v>
      </c>
      <c r="Q150" s="43">
        <v>494.03743876981451</v>
      </c>
      <c r="R150" s="43">
        <v>499.9657781929086</v>
      </c>
      <c r="S150" s="47">
        <v>0</v>
      </c>
      <c r="T150" s="48">
        <v>499.48237700051095</v>
      </c>
      <c r="U150" s="48">
        <v>499.9657781929086</v>
      </c>
      <c r="V150" s="48">
        <v>496.48282128535988</v>
      </c>
      <c r="W150" s="48">
        <v>491.34315891090432</v>
      </c>
    </row>
    <row r="151" spans="1:23" ht="13.2" x14ac:dyDescent="0.25">
      <c r="A151" s="41">
        <v>149</v>
      </c>
      <c r="B151" s="42">
        <v>0.80016122562818282</v>
      </c>
      <c r="C151" s="14" t="s">
        <v>5078</v>
      </c>
      <c r="D151" s="42">
        <v>0.83622469698834456</v>
      </c>
      <c r="E151" s="43">
        <v>203.44898787953377</v>
      </c>
      <c r="F151" s="42">
        <v>0.38589047006605681</v>
      </c>
      <c r="G151" s="43">
        <v>5.7711603277601116</v>
      </c>
      <c r="H151" s="42">
        <v>0.80682264911328561</v>
      </c>
      <c r="I151" s="43">
        <v>3.6488742361876367</v>
      </c>
      <c r="J151" s="42">
        <v>0.9421512377179001</v>
      </c>
      <c r="K151" s="43">
        <v>0.17398384729374322</v>
      </c>
      <c r="L151" s="43">
        <v>494.21142261710827</v>
      </c>
      <c r="M151" s="44">
        <v>1416.0049556415552</v>
      </c>
      <c r="N151" s="44">
        <v>2543.1123484941722</v>
      </c>
      <c r="O151" s="45" t="s">
        <v>5074</v>
      </c>
      <c r="P151" s="46">
        <v>4</v>
      </c>
      <c r="Q151" s="43">
        <v>494.21142261710827</v>
      </c>
      <c r="R151" s="43">
        <v>499.9825829448684</v>
      </c>
      <c r="S151" s="47">
        <v>0</v>
      </c>
      <c r="T151" s="48">
        <v>499.48237700051095</v>
      </c>
      <c r="U151" s="48">
        <v>499.9657781929086</v>
      </c>
      <c r="V151" s="48">
        <v>496.48282128535988</v>
      </c>
      <c r="W151" s="48">
        <v>499.9825829448684</v>
      </c>
    </row>
    <row r="152" spans="1:23" ht="13.2" x14ac:dyDescent="0.25">
      <c r="A152" s="41">
        <v>150</v>
      </c>
      <c r="B152" s="42">
        <v>0.7610983335231889</v>
      </c>
      <c r="C152" s="14" t="s">
        <v>5078</v>
      </c>
      <c r="D152" s="42">
        <v>0.67574363186757247</v>
      </c>
      <c r="E152" s="43">
        <v>197.02974527470289</v>
      </c>
      <c r="F152" s="42">
        <v>0.64097031701401352</v>
      </c>
      <c r="G152" s="43">
        <v>6.0032829884827521</v>
      </c>
      <c r="H152" s="42">
        <v>0.589063696837548</v>
      </c>
      <c r="I152" s="43">
        <v>3.2586253036012072</v>
      </c>
      <c r="J152" s="42">
        <v>0.72211446553567171</v>
      </c>
      <c r="K152" s="43">
        <v>0.95057405294096897</v>
      </c>
      <c r="L152" s="43">
        <v>495.16199667004923</v>
      </c>
      <c r="M152" s="44">
        <v>1375.6310996250027</v>
      </c>
      <c r="N152" s="44">
        <v>2462.8718159337859</v>
      </c>
      <c r="O152" s="45" t="s">
        <v>5074</v>
      </c>
      <c r="P152" s="46">
        <v>3</v>
      </c>
      <c r="Q152" s="43">
        <v>496.48282128535988</v>
      </c>
      <c r="R152" s="43">
        <v>502.48610427384261</v>
      </c>
      <c r="S152" s="43">
        <v>1.3208246153106415</v>
      </c>
      <c r="T152" s="48">
        <v>499.48237700051095</v>
      </c>
      <c r="U152" s="48">
        <v>499.9657781929086</v>
      </c>
      <c r="V152" s="48">
        <v>502.48610427384261</v>
      </c>
      <c r="W152" s="48">
        <v>499.9825829448684</v>
      </c>
    </row>
    <row r="153" spans="1:23" ht="13.2" x14ac:dyDescent="0.25">
      <c r="A153" s="41">
        <v>151</v>
      </c>
      <c r="B153" s="42">
        <v>5.2881709790267843E-2</v>
      </c>
      <c r="C153" s="14" t="s">
        <v>5073</v>
      </c>
      <c r="D153" s="42">
        <v>0.40012459149589974</v>
      </c>
      <c r="E153" s="43">
        <v>328.01495097950794</v>
      </c>
      <c r="F153" s="42">
        <v>0.85779565845513517</v>
      </c>
      <c r="G153" s="43">
        <v>11.064900410964572</v>
      </c>
      <c r="H153" s="42">
        <v>0.7905259797305455</v>
      </c>
      <c r="I153" s="43">
        <v>3.60363461906709</v>
      </c>
      <c r="J153" s="42">
        <v>0.72854693221326305</v>
      </c>
      <c r="K153" s="43">
        <v>0.92468097034354613</v>
      </c>
      <c r="L153" s="43">
        <v>496.08667764039279</v>
      </c>
      <c r="M153" s="44">
        <v>2295.2209185874408</v>
      </c>
      <c r="N153" s="44">
        <v>4100.186887243849</v>
      </c>
      <c r="O153" s="45" t="s">
        <v>5074</v>
      </c>
      <c r="P153" s="46">
        <v>1</v>
      </c>
      <c r="Q153" s="43">
        <v>499.48237700051095</v>
      </c>
      <c r="R153" s="43">
        <v>510.54727741147553</v>
      </c>
      <c r="S153" s="43">
        <v>3.395699360118158</v>
      </c>
      <c r="T153" s="48">
        <v>510.54727741147553</v>
      </c>
      <c r="U153" s="48">
        <v>499.9657781929086</v>
      </c>
      <c r="V153" s="48">
        <v>502.48610427384261</v>
      </c>
      <c r="W153" s="48">
        <v>499.9825829448684</v>
      </c>
    </row>
    <row r="154" spans="1:23" ht="13.2" x14ac:dyDescent="0.25">
      <c r="A154" s="41">
        <v>152</v>
      </c>
      <c r="B154" s="42">
        <v>5.4478227651900718E-2</v>
      </c>
      <c r="C154" s="14" t="s">
        <v>5073</v>
      </c>
      <c r="D154" s="42">
        <v>0.84401822595112874</v>
      </c>
      <c r="E154" s="43">
        <v>381.28218711413547</v>
      </c>
      <c r="F154" s="42">
        <v>0.90968724848222327</v>
      </c>
      <c r="G154" s="43">
        <v>11.22732108774936</v>
      </c>
      <c r="H154" s="42">
        <v>0.63941581856432173</v>
      </c>
      <c r="I154" s="43">
        <v>3.4793486242633329</v>
      </c>
      <c r="J154" s="42">
        <v>8.7531723588487001E-2</v>
      </c>
      <c r="K154" s="43">
        <v>7.1116904993543484</v>
      </c>
      <c r="L154" s="43">
        <v>503.19836813974712</v>
      </c>
      <c r="M154" s="44">
        <v>2653.7240223143826</v>
      </c>
      <c r="N154" s="44">
        <v>4766.0273389266931</v>
      </c>
      <c r="O154" s="45" t="s">
        <v>5074</v>
      </c>
      <c r="P154" s="46">
        <v>2</v>
      </c>
      <c r="Q154" s="43">
        <v>503.19836813974712</v>
      </c>
      <c r="R154" s="43">
        <v>514.42568922749649</v>
      </c>
      <c r="S154" s="47">
        <v>0</v>
      </c>
      <c r="T154" s="48">
        <v>510.54727741147553</v>
      </c>
      <c r="U154" s="48">
        <v>514.42568922749649</v>
      </c>
      <c r="V154" s="48">
        <v>502.48610427384261</v>
      </c>
      <c r="W154" s="48">
        <v>499.9825829448684</v>
      </c>
    </row>
    <row r="155" spans="1:23" ht="13.2" x14ac:dyDescent="0.25">
      <c r="A155" s="41">
        <v>153</v>
      </c>
      <c r="B155" s="42">
        <v>0.21434207224023624</v>
      </c>
      <c r="C155" s="14" t="s">
        <v>5073</v>
      </c>
      <c r="D155" s="42">
        <v>0.20993162515104358</v>
      </c>
      <c r="E155" s="43">
        <v>305.19179501812522</v>
      </c>
      <c r="F155" s="42">
        <v>0.9104904867291872</v>
      </c>
      <c r="G155" s="43">
        <v>11.229835223462356</v>
      </c>
      <c r="H155" s="42">
        <v>0.6495588462099241</v>
      </c>
      <c r="I155" s="43">
        <v>3.4870857456750581</v>
      </c>
      <c r="J155" s="42">
        <v>0.41062351987260559</v>
      </c>
      <c r="K155" s="43">
        <v>2.5987693264870066</v>
      </c>
      <c r="L155" s="43">
        <v>505.79713746623412</v>
      </c>
      <c r="M155" s="44">
        <v>2124.1348933261515</v>
      </c>
      <c r="N155" s="44">
        <v>3814.8974377265654</v>
      </c>
      <c r="O155" s="45" t="s">
        <v>5074</v>
      </c>
      <c r="P155" s="46">
        <v>4</v>
      </c>
      <c r="Q155" s="43">
        <v>505.79713746623412</v>
      </c>
      <c r="R155" s="43">
        <v>517.02697268969644</v>
      </c>
      <c r="S155" s="47">
        <v>0</v>
      </c>
      <c r="T155" s="48">
        <v>510.54727741147553</v>
      </c>
      <c r="U155" s="48">
        <v>514.42568922749649</v>
      </c>
      <c r="V155" s="48">
        <v>502.48610427384261</v>
      </c>
      <c r="W155" s="48">
        <v>517.02697268969644</v>
      </c>
    </row>
    <row r="156" spans="1:23" ht="13.2" x14ac:dyDescent="0.25">
      <c r="A156" s="41">
        <v>154</v>
      </c>
      <c r="B156" s="42">
        <v>0.58655189470693092</v>
      </c>
      <c r="C156" s="14" t="s">
        <v>5076</v>
      </c>
      <c r="D156" s="42">
        <v>0.76467300009200023</v>
      </c>
      <c r="E156" s="43">
        <v>42.646730000920002</v>
      </c>
      <c r="F156" s="42">
        <v>0.79761408259981037</v>
      </c>
      <c r="G156" s="43">
        <v>3.4069024779959127</v>
      </c>
      <c r="H156" s="42">
        <v>5.2975395253382344E-2</v>
      </c>
      <c r="I156" s="43">
        <v>0.60547432390496891</v>
      </c>
      <c r="J156" s="42">
        <v>0.34192008215092129</v>
      </c>
      <c r="K156" s="43">
        <v>3.1333671449569467</v>
      </c>
      <c r="L156" s="43">
        <v>508.93050461119105</v>
      </c>
      <c r="M156" s="44">
        <v>296.82124080640318</v>
      </c>
      <c r="N156" s="44">
        <v>533.08412501149996</v>
      </c>
      <c r="O156" s="45" t="s">
        <v>5074</v>
      </c>
      <c r="P156" s="46">
        <v>3</v>
      </c>
      <c r="Q156" s="43">
        <v>508.93050461119105</v>
      </c>
      <c r="R156" s="43">
        <v>512.33740708918697</v>
      </c>
      <c r="S156" s="47">
        <v>0</v>
      </c>
      <c r="T156" s="48">
        <v>510.54727741147553</v>
      </c>
      <c r="U156" s="48">
        <v>514.42568922749649</v>
      </c>
      <c r="V156" s="48">
        <v>512.33740708918697</v>
      </c>
      <c r="W156" s="48">
        <v>517.02697268969644</v>
      </c>
    </row>
    <row r="157" spans="1:23" ht="13.2" x14ac:dyDescent="0.25">
      <c r="A157" s="41">
        <v>155</v>
      </c>
      <c r="B157" s="42">
        <v>0.99687820812541905</v>
      </c>
      <c r="C157" s="14" t="s">
        <v>5080</v>
      </c>
      <c r="D157" s="42">
        <v>0.17151590910345124</v>
      </c>
      <c r="E157" s="43">
        <v>89.287897727586284</v>
      </c>
      <c r="F157" s="42">
        <v>0.9907363681079524</v>
      </c>
      <c r="G157" s="43">
        <v>4.7449976387782939</v>
      </c>
      <c r="H157" s="42">
        <v>0.92526083529240488</v>
      </c>
      <c r="I157" s="43">
        <v>2.6332160084277514</v>
      </c>
      <c r="J157" s="42">
        <v>0.2640010361857717</v>
      </c>
      <c r="K157" s="43">
        <v>3.8884737252479376</v>
      </c>
      <c r="L157" s="43">
        <v>512.81897833643905</v>
      </c>
      <c r="M157" s="44">
        <v>621.44376818400053</v>
      </c>
      <c r="N157" s="44">
        <v>1116.0987215948285</v>
      </c>
      <c r="O157" s="45" t="s">
        <v>5074</v>
      </c>
      <c r="P157" s="46">
        <v>1</v>
      </c>
      <c r="Q157" s="43">
        <v>512.81897833643905</v>
      </c>
      <c r="R157" s="43">
        <v>517.56397597521732</v>
      </c>
      <c r="S157" s="47">
        <v>0</v>
      </c>
      <c r="T157" s="48">
        <v>517.56397597521732</v>
      </c>
      <c r="U157" s="48">
        <v>514.42568922749649</v>
      </c>
      <c r="V157" s="48">
        <v>512.33740708918697</v>
      </c>
      <c r="W157" s="48">
        <v>517.02697268969644</v>
      </c>
    </row>
    <row r="158" spans="1:23" ht="13.2" x14ac:dyDescent="0.25">
      <c r="A158" s="41">
        <v>156</v>
      </c>
      <c r="B158" s="42">
        <v>0.79689306756336853</v>
      </c>
      <c r="C158" s="14" t="s">
        <v>5078</v>
      </c>
      <c r="D158" s="42">
        <v>0.90542186186901386</v>
      </c>
      <c r="E158" s="43">
        <v>206.21687447476054</v>
      </c>
      <c r="F158" s="42">
        <v>0.7967634661108085</v>
      </c>
      <c r="G158" s="43">
        <v>6.145054754160836</v>
      </c>
      <c r="H158" s="42">
        <v>0.18056403947089056</v>
      </c>
      <c r="I158" s="43">
        <v>2.6718705966755998</v>
      </c>
      <c r="J158" s="42">
        <v>0.82993623001032335</v>
      </c>
      <c r="K158" s="43">
        <v>0.54425229914170337</v>
      </c>
      <c r="L158" s="43">
        <v>513.36323063558075</v>
      </c>
      <c r="M158" s="44">
        <v>1435.2694463443333</v>
      </c>
      <c r="N158" s="44">
        <v>2577.7109309345069</v>
      </c>
      <c r="O158" s="45" t="s">
        <v>5074</v>
      </c>
      <c r="P158" s="46">
        <v>3</v>
      </c>
      <c r="Q158" s="43">
        <v>513.36323063558075</v>
      </c>
      <c r="R158" s="43">
        <v>519.50828538974156</v>
      </c>
      <c r="S158" s="47">
        <v>0</v>
      </c>
      <c r="T158" s="48">
        <v>517.56397597521732</v>
      </c>
      <c r="U158" s="48">
        <v>514.42568922749649</v>
      </c>
      <c r="V158" s="48">
        <v>519.50828538974156</v>
      </c>
      <c r="W158" s="48">
        <v>517.02697268969644</v>
      </c>
    </row>
    <row r="159" spans="1:23" ht="13.2" x14ac:dyDescent="0.25">
      <c r="A159" s="41">
        <v>157</v>
      </c>
      <c r="B159" s="42">
        <v>7.5393879355580493E-2</v>
      </c>
      <c r="C159" s="14" t="s">
        <v>5073</v>
      </c>
      <c r="D159" s="42">
        <v>0.46917029352354367</v>
      </c>
      <c r="E159" s="43">
        <v>336.30043522282523</v>
      </c>
      <c r="F159" s="42">
        <v>0.15496322240445912</v>
      </c>
      <c r="G159" s="43">
        <v>8.865034886125958</v>
      </c>
      <c r="H159" s="42">
        <v>0.62990872824094668</v>
      </c>
      <c r="I159" s="43">
        <v>3.4720406845196452</v>
      </c>
      <c r="J159" s="42">
        <v>0.29801120762620642</v>
      </c>
      <c r="K159" s="43">
        <v>3.5346691494891602</v>
      </c>
      <c r="L159" s="43">
        <v>516.89789978506985</v>
      </c>
      <c r="M159" s="44">
        <v>2340.6510291508635</v>
      </c>
      <c r="N159" s="44">
        <v>4203.7554402853157</v>
      </c>
      <c r="O159" s="45" t="s">
        <v>5074</v>
      </c>
      <c r="P159" s="46">
        <v>2</v>
      </c>
      <c r="Q159" s="43">
        <v>516.89789978506985</v>
      </c>
      <c r="R159" s="43">
        <v>525.76293467119581</v>
      </c>
      <c r="S159" s="47">
        <v>0</v>
      </c>
      <c r="T159" s="48">
        <v>517.56397597521732</v>
      </c>
      <c r="U159" s="48">
        <v>525.76293467119581</v>
      </c>
      <c r="V159" s="48">
        <v>519.50828538974156</v>
      </c>
      <c r="W159" s="48">
        <v>517.02697268969644</v>
      </c>
    </row>
    <row r="160" spans="1:23" ht="13.2" x14ac:dyDescent="0.25">
      <c r="A160" s="41">
        <v>158</v>
      </c>
      <c r="B160" s="42">
        <v>0.57750995716895437</v>
      </c>
      <c r="C160" s="14" t="s">
        <v>5076</v>
      </c>
      <c r="D160" s="42">
        <v>0.23359259973913088</v>
      </c>
      <c r="E160" s="43">
        <v>37.335925997391307</v>
      </c>
      <c r="F160" s="42">
        <v>0.19421672271295298</v>
      </c>
      <c r="G160" s="43">
        <v>3.1293396924479584</v>
      </c>
      <c r="H160" s="42">
        <v>6.2509723968109915E-2</v>
      </c>
      <c r="I160" s="43">
        <v>0.61457330419126044</v>
      </c>
      <c r="J160" s="42">
        <v>0.47042396407128495</v>
      </c>
      <c r="K160" s="43">
        <v>2.2018129625291407</v>
      </c>
      <c r="L160" s="43">
        <v>519.09971274759903</v>
      </c>
      <c r="M160" s="44">
        <v>259.8580449418435</v>
      </c>
      <c r="N160" s="44">
        <v>466.69907496739131</v>
      </c>
      <c r="O160" s="45" t="s">
        <v>5074</v>
      </c>
      <c r="P160" s="46">
        <v>4</v>
      </c>
      <c r="Q160" s="43">
        <v>519.09971274759903</v>
      </c>
      <c r="R160" s="43">
        <v>522.22905244004698</v>
      </c>
      <c r="S160" s="47">
        <v>0</v>
      </c>
      <c r="T160" s="48">
        <v>517.56397597521732</v>
      </c>
      <c r="U160" s="48">
        <v>525.76293467119581</v>
      </c>
      <c r="V160" s="48">
        <v>519.50828538974156</v>
      </c>
      <c r="W160" s="48">
        <v>522.22905244004698</v>
      </c>
    </row>
    <row r="161" spans="1:23" ht="13.2" x14ac:dyDescent="0.25">
      <c r="A161" s="41">
        <v>159</v>
      </c>
      <c r="B161" s="42">
        <v>0.92093170151157855</v>
      </c>
      <c r="C161" s="14" t="s">
        <v>5075</v>
      </c>
      <c r="D161" s="42">
        <v>0.31259450610382228</v>
      </c>
      <c r="E161" s="43">
        <v>301.88161542726755</v>
      </c>
      <c r="F161" s="42">
        <v>0.84240841066576932</v>
      </c>
      <c r="G161" s="43">
        <v>10.026392737224882</v>
      </c>
      <c r="H161" s="42">
        <v>0.33189938558819676</v>
      </c>
      <c r="I161" s="43">
        <v>2.314738467961587</v>
      </c>
      <c r="J161" s="42">
        <v>0.29693213910652888</v>
      </c>
      <c r="K161" s="43">
        <v>3.5452603040688166</v>
      </c>
      <c r="L161" s="43">
        <v>522.64497305166788</v>
      </c>
      <c r="M161" s="44">
        <v>2101.0960433737823</v>
      </c>
      <c r="N161" s="44">
        <v>3773.5201928408442</v>
      </c>
      <c r="O161" s="45" t="s">
        <v>5074</v>
      </c>
      <c r="P161" s="46">
        <v>1</v>
      </c>
      <c r="Q161" s="43">
        <v>522.64497305166788</v>
      </c>
      <c r="R161" s="43">
        <v>532.67136578889279</v>
      </c>
      <c r="S161" s="47">
        <v>0</v>
      </c>
      <c r="T161" s="48">
        <v>532.67136578889279</v>
      </c>
      <c r="U161" s="48">
        <v>525.76293467119581</v>
      </c>
      <c r="V161" s="48">
        <v>519.50828538974156</v>
      </c>
      <c r="W161" s="48">
        <v>522.22905244004698</v>
      </c>
    </row>
    <row r="162" spans="1:23" ht="13.2" x14ac:dyDescent="0.25">
      <c r="A162" s="41">
        <v>160</v>
      </c>
      <c r="B162" s="42">
        <v>0.44098224092320643</v>
      </c>
      <c r="C162" s="14" t="s">
        <v>5077</v>
      </c>
      <c r="D162" s="42">
        <v>0.43670864609848181</v>
      </c>
      <c r="E162" s="43">
        <v>43.930377814886334</v>
      </c>
      <c r="F162" s="42">
        <v>0.93128302131373575</v>
      </c>
      <c r="G162" s="43">
        <v>3.5670158502305931</v>
      </c>
      <c r="H162" s="42">
        <v>0.34318819192386613</v>
      </c>
      <c r="I162" s="43">
        <v>1.1514935975129446</v>
      </c>
      <c r="J162" s="42">
        <v>0.79729801919185461</v>
      </c>
      <c r="K162" s="43">
        <v>0.66139195291033082</v>
      </c>
      <c r="L162" s="43">
        <v>523.3063650045782</v>
      </c>
      <c r="M162" s="44">
        <v>305.7554295916089</v>
      </c>
      <c r="N162" s="44">
        <v>549.12972268607916</v>
      </c>
      <c r="O162" s="45" t="s">
        <v>5074</v>
      </c>
      <c r="P162" s="46">
        <v>3</v>
      </c>
      <c r="Q162" s="43">
        <v>523.3063650045782</v>
      </c>
      <c r="R162" s="43">
        <v>526.87338085480883</v>
      </c>
      <c r="S162" s="47">
        <v>0</v>
      </c>
      <c r="T162" s="48">
        <v>532.67136578889279</v>
      </c>
      <c r="U162" s="48">
        <v>525.76293467119581</v>
      </c>
      <c r="V162" s="48">
        <v>526.87338085480883</v>
      </c>
      <c r="W162" s="48">
        <v>522.22905244004698</v>
      </c>
    </row>
    <row r="163" spans="1:23" ht="13.2" x14ac:dyDescent="0.25">
      <c r="A163" s="41">
        <v>161</v>
      </c>
      <c r="B163" s="42">
        <v>0.95753126775730923</v>
      </c>
      <c r="C163" s="14" t="s">
        <v>5080</v>
      </c>
      <c r="D163" s="42">
        <v>0.20559968110434695</v>
      </c>
      <c r="E163" s="43">
        <v>90.13999202760867</v>
      </c>
      <c r="F163" s="42">
        <v>0.28132615903454189</v>
      </c>
      <c r="G163" s="43">
        <v>4.3619161258786523</v>
      </c>
      <c r="H163" s="42">
        <v>0.89700291673513266</v>
      </c>
      <c r="I163" s="43">
        <v>2.5694250937679239</v>
      </c>
      <c r="J163" s="42">
        <v>0.25211449258593588</v>
      </c>
      <c r="K163" s="43">
        <v>4.0229838218727956</v>
      </c>
      <c r="L163" s="43">
        <v>527.329348826451</v>
      </c>
      <c r="M163" s="44">
        <v>627.37434451215631</v>
      </c>
      <c r="N163" s="44">
        <v>1126.7499003451085</v>
      </c>
      <c r="O163" s="45" t="s">
        <v>5074</v>
      </c>
      <c r="P163" s="46">
        <v>4</v>
      </c>
      <c r="Q163" s="43">
        <v>527.329348826451</v>
      </c>
      <c r="R163" s="43">
        <v>531.69126495232967</v>
      </c>
      <c r="S163" s="47">
        <v>0</v>
      </c>
      <c r="T163" s="48">
        <v>532.67136578889279</v>
      </c>
      <c r="U163" s="48">
        <v>525.76293467119581</v>
      </c>
      <c r="V163" s="48">
        <v>526.87338085480883</v>
      </c>
      <c r="W163" s="48">
        <v>531.69126495232967</v>
      </c>
    </row>
    <row r="164" spans="1:23" ht="13.2" x14ac:dyDescent="0.25">
      <c r="A164" s="41">
        <v>162</v>
      </c>
      <c r="B164" s="42">
        <v>0.34790755079496072</v>
      </c>
      <c r="C164" s="14" t="s">
        <v>5077</v>
      </c>
      <c r="D164" s="42">
        <v>0.28812292790418625</v>
      </c>
      <c r="E164" s="43">
        <v>42.593106351137678</v>
      </c>
      <c r="F164" s="42">
        <v>0.28870566156166871</v>
      </c>
      <c r="G164" s="43">
        <v>3.258578717549601</v>
      </c>
      <c r="H164" s="42">
        <v>0.26344688248981113</v>
      </c>
      <c r="I164" s="43">
        <v>1.1079624615051842</v>
      </c>
      <c r="J164" s="42">
        <v>0.39421229874445696</v>
      </c>
      <c r="K164" s="43">
        <v>2.7178560160581968</v>
      </c>
      <c r="L164" s="43">
        <v>530.04720484250925</v>
      </c>
      <c r="M164" s="44">
        <v>296.44802020391825</v>
      </c>
      <c r="N164" s="44">
        <v>532.41382938922095</v>
      </c>
      <c r="O164" s="45" t="s">
        <v>5074</v>
      </c>
      <c r="P164" s="46">
        <v>2</v>
      </c>
      <c r="Q164" s="43">
        <v>530.04720484250925</v>
      </c>
      <c r="R164" s="43">
        <v>533.3057835600589</v>
      </c>
      <c r="S164" s="47">
        <v>0</v>
      </c>
      <c r="T164" s="48">
        <v>532.67136578889279</v>
      </c>
      <c r="U164" s="48">
        <v>533.3057835600589</v>
      </c>
      <c r="V164" s="48">
        <v>526.87338085480883</v>
      </c>
      <c r="W164" s="48">
        <v>531.69126495232967</v>
      </c>
    </row>
    <row r="165" spans="1:23" ht="13.2" x14ac:dyDescent="0.25">
      <c r="A165" s="41">
        <v>163</v>
      </c>
      <c r="B165" s="42">
        <v>0.69870356316617854</v>
      </c>
      <c r="C165" s="14" t="s">
        <v>5079</v>
      </c>
      <c r="D165" s="42">
        <v>2.0615129275533897E-2</v>
      </c>
      <c r="E165" s="43">
        <v>7.0618453878266019</v>
      </c>
      <c r="F165" s="42">
        <v>0.87019330396791605</v>
      </c>
      <c r="G165" s="43">
        <v>1.5357212634364708</v>
      </c>
      <c r="H165" s="42">
        <v>0.98142314142613818</v>
      </c>
      <c r="I165" s="43">
        <v>0.64721241825884357</v>
      </c>
      <c r="J165" s="42">
        <v>0.82661828856292097</v>
      </c>
      <c r="K165" s="43">
        <v>0.55594818132375023</v>
      </c>
      <c r="L165" s="43">
        <v>530.60315302383299</v>
      </c>
      <c r="M165" s="44">
        <v>49.150443899273149</v>
      </c>
      <c r="N165" s="44">
        <v>88.273067347832523</v>
      </c>
      <c r="O165" s="45" t="s">
        <v>5074</v>
      </c>
      <c r="P165" s="46">
        <v>3</v>
      </c>
      <c r="Q165" s="43">
        <v>530.60315302383299</v>
      </c>
      <c r="R165" s="43">
        <v>532.13887428726946</v>
      </c>
      <c r="S165" s="47">
        <v>0</v>
      </c>
      <c r="T165" s="48">
        <v>532.67136578889279</v>
      </c>
      <c r="U165" s="48">
        <v>533.3057835600589</v>
      </c>
      <c r="V165" s="48">
        <v>532.13887428726946</v>
      </c>
      <c r="W165" s="48">
        <v>531.69126495232967</v>
      </c>
    </row>
    <row r="166" spans="1:23" ht="13.2" x14ac:dyDescent="0.25">
      <c r="A166" s="41">
        <v>164</v>
      </c>
      <c r="B166" s="42">
        <v>0.27890614200332486</v>
      </c>
      <c r="C166" s="14" t="s">
        <v>5077</v>
      </c>
      <c r="D166" s="42">
        <v>0.71815403025511371</v>
      </c>
      <c r="E166" s="43">
        <v>46.46338627229602</v>
      </c>
      <c r="F166" s="42">
        <v>0.80934633911091203</v>
      </c>
      <c r="G166" s="43">
        <v>3.508486242773238</v>
      </c>
      <c r="H166" s="42">
        <v>0.68724453667516106</v>
      </c>
      <c r="I166" s="43">
        <v>1.3248467533178241</v>
      </c>
      <c r="J166" s="42">
        <v>0.18454516827340478</v>
      </c>
      <c r="K166" s="43">
        <v>4.9339008203612664</v>
      </c>
      <c r="L166" s="43">
        <v>535.53705384419425</v>
      </c>
      <c r="M166" s="44">
        <v>323.38516845518029</v>
      </c>
      <c r="N166" s="44">
        <v>580.79232840370025</v>
      </c>
      <c r="O166" s="45" t="s">
        <v>5074</v>
      </c>
      <c r="P166" s="46">
        <v>4</v>
      </c>
      <c r="Q166" s="43">
        <v>535.53705384419425</v>
      </c>
      <c r="R166" s="43">
        <v>539.04554008696743</v>
      </c>
      <c r="S166" s="47">
        <v>0</v>
      </c>
      <c r="T166" s="48">
        <v>532.67136578889279</v>
      </c>
      <c r="U166" s="48">
        <v>533.3057835600589</v>
      </c>
      <c r="V166" s="48">
        <v>532.13887428726946</v>
      </c>
      <c r="W166" s="48">
        <v>539.04554008696743</v>
      </c>
    </row>
    <row r="167" spans="1:23" ht="13.2" x14ac:dyDescent="0.25">
      <c r="A167" s="41">
        <v>165</v>
      </c>
      <c r="B167" s="42">
        <v>0.51835623500792138</v>
      </c>
      <c r="C167" s="14" t="s">
        <v>5076</v>
      </c>
      <c r="D167" s="42">
        <v>0.38421250618259073</v>
      </c>
      <c r="E167" s="43">
        <v>38.842125061825911</v>
      </c>
      <c r="F167" s="42">
        <v>0.79398952275234713</v>
      </c>
      <c r="G167" s="43">
        <v>3.4052351804660796</v>
      </c>
      <c r="H167" s="42">
        <v>0.88249529659864279</v>
      </c>
      <c r="I167" s="43">
        <v>1.018612798267408</v>
      </c>
      <c r="J167" s="42">
        <v>0.95570680171051381</v>
      </c>
      <c r="K167" s="43">
        <v>0.13227476129054294</v>
      </c>
      <c r="L167" s="43">
        <v>535.66932860548479</v>
      </c>
      <c r="M167" s="44">
        <v>270.34119043030836</v>
      </c>
      <c r="N167" s="44">
        <v>485.52656327282386</v>
      </c>
      <c r="O167" s="45" t="s">
        <v>5074</v>
      </c>
      <c r="P167" s="46">
        <v>3</v>
      </c>
      <c r="Q167" s="43">
        <v>535.66932860548479</v>
      </c>
      <c r="R167" s="43">
        <v>539.07456378595089</v>
      </c>
      <c r="S167" s="47">
        <v>0</v>
      </c>
      <c r="T167" s="48">
        <v>532.67136578889279</v>
      </c>
      <c r="U167" s="48">
        <v>533.3057835600589</v>
      </c>
      <c r="V167" s="48">
        <v>539.07456378595089</v>
      </c>
      <c r="W167" s="48">
        <v>539.04554008696743</v>
      </c>
    </row>
    <row r="168" spans="1:23" ht="13.2" x14ac:dyDescent="0.25">
      <c r="A168" s="41">
        <v>166</v>
      </c>
      <c r="B168" s="42">
        <v>0.3362531388812946</v>
      </c>
      <c r="C168" s="14" t="s">
        <v>5077</v>
      </c>
      <c r="D168" s="42">
        <v>0.22813233278139136</v>
      </c>
      <c r="E168" s="43">
        <v>42.053190995032523</v>
      </c>
      <c r="F168" s="42">
        <v>0.44335889138437756</v>
      </c>
      <c r="G168" s="43">
        <v>3.3328122678645014</v>
      </c>
      <c r="H168" s="42">
        <v>0.43081752696578274</v>
      </c>
      <c r="I168" s="43">
        <v>1.1938201489356299</v>
      </c>
      <c r="J168" s="42">
        <v>1.6208665452994715E-2</v>
      </c>
      <c r="K168" s="43">
        <v>12.035647518973347</v>
      </c>
      <c r="L168" s="43">
        <v>547.70497612445808</v>
      </c>
      <c r="M168" s="44">
        <v>292.69020932542634</v>
      </c>
      <c r="N168" s="44">
        <v>525.66488743790649</v>
      </c>
      <c r="O168" s="45" t="s">
        <v>5074</v>
      </c>
      <c r="P168" s="46">
        <v>1</v>
      </c>
      <c r="Q168" s="43">
        <v>547.70497612445808</v>
      </c>
      <c r="R168" s="43">
        <v>551.03778839232257</v>
      </c>
      <c r="S168" s="47">
        <v>0</v>
      </c>
      <c r="T168" s="48">
        <v>551.03778839232257</v>
      </c>
      <c r="U168" s="48">
        <v>533.3057835600589</v>
      </c>
      <c r="V168" s="48">
        <v>539.07456378595089</v>
      </c>
      <c r="W168" s="48">
        <v>539.04554008696743</v>
      </c>
    </row>
    <row r="169" spans="1:23" ht="13.2" x14ac:dyDescent="0.25">
      <c r="A169" s="41">
        <v>167</v>
      </c>
      <c r="B169" s="42">
        <v>0.20099909193860324</v>
      </c>
      <c r="C169" s="14" t="s">
        <v>5073</v>
      </c>
      <c r="D169" s="42">
        <v>0.4856450494777621</v>
      </c>
      <c r="E169" s="43">
        <v>338.27740593733142</v>
      </c>
      <c r="F169" s="42">
        <v>0.79811791786836361</v>
      </c>
      <c r="G169" s="43">
        <v>10.878109082927978</v>
      </c>
      <c r="H169" s="42">
        <v>0.69937578388460719</v>
      </c>
      <c r="I169" s="43">
        <v>3.5251651212405046</v>
      </c>
      <c r="J169" s="42">
        <v>0.94880647163316911</v>
      </c>
      <c r="K169" s="43">
        <v>0.15343191211875062</v>
      </c>
      <c r="L169" s="43">
        <v>547.85840803657686</v>
      </c>
      <c r="M169" s="44">
        <v>2354.4107453238266</v>
      </c>
      <c r="N169" s="44">
        <v>4228.4675742166428</v>
      </c>
      <c r="O169" s="45" t="s">
        <v>5074</v>
      </c>
      <c r="P169" s="46">
        <v>2</v>
      </c>
      <c r="Q169" s="43">
        <v>547.85840803657686</v>
      </c>
      <c r="R169" s="43">
        <v>558.73651711950481</v>
      </c>
      <c r="S169" s="47">
        <v>0</v>
      </c>
      <c r="T169" s="48">
        <v>551.03778839232257</v>
      </c>
      <c r="U169" s="48">
        <v>558.73651711950481</v>
      </c>
      <c r="V169" s="48">
        <v>539.07456378595089</v>
      </c>
      <c r="W169" s="48">
        <v>539.04554008696743</v>
      </c>
    </row>
    <row r="170" spans="1:23" ht="13.2" x14ac:dyDescent="0.25">
      <c r="A170" s="41">
        <v>168</v>
      </c>
      <c r="B170" s="42">
        <v>0.56433114668556073</v>
      </c>
      <c r="C170" s="14" t="s">
        <v>5076</v>
      </c>
      <c r="D170" s="42">
        <v>0.77407272894590751</v>
      </c>
      <c r="E170" s="43">
        <v>42.740727289459073</v>
      </c>
      <c r="F170" s="42">
        <v>0.88128463266477208</v>
      </c>
      <c r="G170" s="43">
        <v>3.4453909310257953</v>
      </c>
      <c r="H170" s="42">
        <v>0.7753222755972865</v>
      </c>
      <c r="I170" s="43">
        <v>0.94918181319378014</v>
      </c>
      <c r="J170" s="42">
        <v>0.7829245192850588</v>
      </c>
      <c r="K170" s="43">
        <v>0.71450799129508102</v>
      </c>
      <c r="L170" s="43">
        <v>548.572916027872</v>
      </c>
      <c r="M170" s="44">
        <v>297.47546193463512</v>
      </c>
      <c r="N170" s="44">
        <v>534.25909111823842</v>
      </c>
      <c r="O170" s="45" t="s">
        <v>5074</v>
      </c>
      <c r="P170" s="46">
        <v>4</v>
      </c>
      <c r="Q170" s="43">
        <v>548.572916027872</v>
      </c>
      <c r="R170" s="43">
        <v>552.01830695889782</v>
      </c>
      <c r="S170" s="47">
        <v>0</v>
      </c>
      <c r="T170" s="48">
        <v>551.03778839232257</v>
      </c>
      <c r="U170" s="48">
        <v>558.73651711950481</v>
      </c>
      <c r="V170" s="48">
        <v>539.07456378595089</v>
      </c>
      <c r="W170" s="48">
        <v>552.01830695889782</v>
      </c>
    </row>
    <row r="171" spans="1:23" ht="13.2" x14ac:dyDescent="0.25">
      <c r="A171" s="41">
        <v>169</v>
      </c>
      <c r="B171" s="42">
        <v>0.9075989084819327</v>
      </c>
      <c r="C171" s="14" t="s">
        <v>5075</v>
      </c>
      <c r="D171" s="42">
        <v>0.5452768348833904</v>
      </c>
      <c r="E171" s="43">
        <v>318.16937844183735</v>
      </c>
      <c r="F171" s="42">
        <v>0.3957202212865093</v>
      </c>
      <c r="G171" s="43">
        <v>9.1374832403601527</v>
      </c>
      <c r="H171" s="42">
        <v>0.67347287278318446</v>
      </c>
      <c r="I171" s="43">
        <v>2.6918822768719703</v>
      </c>
      <c r="J171" s="42">
        <v>0.90570537601863288</v>
      </c>
      <c r="K171" s="43">
        <v>0.28917143900136216</v>
      </c>
      <c r="L171" s="43">
        <v>548.86208746687339</v>
      </c>
      <c r="M171" s="44">
        <v>2214.4588739551878</v>
      </c>
      <c r="N171" s="44">
        <v>3977.117230522967</v>
      </c>
      <c r="O171" s="45" t="s">
        <v>5074</v>
      </c>
      <c r="P171" s="46">
        <v>3</v>
      </c>
      <c r="Q171" s="43">
        <v>548.86208746687339</v>
      </c>
      <c r="R171" s="43">
        <v>557.99957070723349</v>
      </c>
      <c r="S171" s="47">
        <v>0</v>
      </c>
      <c r="T171" s="48">
        <v>551.03778839232257</v>
      </c>
      <c r="U171" s="48">
        <v>558.73651711950481</v>
      </c>
      <c r="V171" s="48">
        <v>557.99957070723349</v>
      </c>
      <c r="W171" s="48">
        <v>552.01830695889782</v>
      </c>
    </row>
    <row r="172" spans="1:23" ht="13.2" x14ac:dyDescent="0.25">
      <c r="A172" s="41">
        <v>170</v>
      </c>
      <c r="B172" s="42">
        <v>0.71315336074361269</v>
      </c>
      <c r="C172" s="14" t="s">
        <v>5079</v>
      </c>
      <c r="D172" s="42">
        <v>6.9927707812715192E-2</v>
      </c>
      <c r="E172" s="43">
        <v>7.2097831234381458</v>
      </c>
      <c r="F172" s="42">
        <v>0.88998290565329741</v>
      </c>
      <c r="G172" s="43">
        <v>1.5378981196218628</v>
      </c>
      <c r="H172" s="42">
        <v>0.26816850074947274</v>
      </c>
      <c r="I172" s="43">
        <v>0.36375851145802246</v>
      </c>
      <c r="J172" s="42">
        <v>0.64584596205774969</v>
      </c>
      <c r="K172" s="43">
        <v>1.2764795692262472</v>
      </c>
      <c r="L172" s="43">
        <v>550.13856703609963</v>
      </c>
      <c r="M172" s="44">
        <v>50.507189961140412</v>
      </c>
      <c r="N172" s="44">
        <v>90.122289042976817</v>
      </c>
      <c r="O172" s="45" t="s">
        <v>5074</v>
      </c>
      <c r="P172" s="46">
        <v>1</v>
      </c>
      <c r="Q172" s="43">
        <v>551.03778839232257</v>
      </c>
      <c r="R172" s="43">
        <v>552.57568651194447</v>
      </c>
      <c r="S172" s="43">
        <v>0.89922135622293808</v>
      </c>
      <c r="T172" s="48">
        <v>552.57568651194447</v>
      </c>
      <c r="U172" s="48">
        <v>558.73651711950481</v>
      </c>
      <c r="V172" s="48">
        <v>557.99957070723349</v>
      </c>
      <c r="W172" s="48">
        <v>552.01830695889782</v>
      </c>
    </row>
    <row r="173" spans="1:23" ht="13.2" x14ac:dyDescent="0.25">
      <c r="A173" s="41">
        <v>171</v>
      </c>
      <c r="B173" s="42">
        <v>0.22213012176665017</v>
      </c>
      <c r="C173" s="14" t="s">
        <v>5073</v>
      </c>
      <c r="D173" s="42">
        <v>0.61306957929072414</v>
      </c>
      <c r="E173" s="43">
        <v>353.5683495148869</v>
      </c>
      <c r="F173" s="42">
        <v>0.11360483854711281</v>
      </c>
      <c r="G173" s="43">
        <v>8.7355831446524643</v>
      </c>
      <c r="H173" s="42">
        <v>0.56601857885998608</v>
      </c>
      <c r="I173" s="43">
        <v>3.4214270824595827</v>
      </c>
      <c r="J173" s="42">
        <v>0.5471128642312777</v>
      </c>
      <c r="K173" s="43">
        <v>1.7608763932763563</v>
      </c>
      <c r="L173" s="43">
        <v>551.89944342937599</v>
      </c>
      <c r="M173" s="44">
        <v>2461.2423955226354</v>
      </c>
      <c r="N173" s="44">
        <v>4419.6043689360868</v>
      </c>
      <c r="O173" s="45" t="s">
        <v>5074</v>
      </c>
      <c r="P173" s="46">
        <v>4</v>
      </c>
      <c r="Q173" s="43">
        <v>552.01830695889782</v>
      </c>
      <c r="R173" s="43">
        <v>560.75389010355025</v>
      </c>
      <c r="S173" s="43">
        <v>0.11886352952183188</v>
      </c>
      <c r="T173" s="48">
        <v>552.57568651194447</v>
      </c>
      <c r="U173" s="48">
        <v>558.73651711950481</v>
      </c>
      <c r="V173" s="48">
        <v>557.99957070723349</v>
      </c>
      <c r="W173" s="48">
        <v>560.75389010355025</v>
      </c>
    </row>
    <row r="174" spans="1:23" ht="13.2" x14ac:dyDescent="0.25">
      <c r="A174" s="41">
        <v>172</v>
      </c>
      <c r="B174" s="42">
        <v>0.51247051335520599</v>
      </c>
      <c r="C174" s="14" t="s">
        <v>5076</v>
      </c>
      <c r="D174" s="42">
        <v>0.4533785201857698</v>
      </c>
      <c r="E174" s="43">
        <v>39.533785201857697</v>
      </c>
      <c r="F174" s="42">
        <v>0.35344816434823356</v>
      </c>
      <c r="G174" s="43">
        <v>3.2025861556001876</v>
      </c>
      <c r="H174" s="42">
        <v>0.7778976893880859</v>
      </c>
      <c r="I174" s="43">
        <v>0.95062348352072934</v>
      </c>
      <c r="J174" s="42">
        <v>0.62356464966366287</v>
      </c>
      <c r="K174" s="43">
        <v>1.378986367659836</v>
      </c>
      <c r="L174" s="43">
        <v>553.27842979703587</v>
      </c>
      <c r="M174" s="44">
        <v>275.15514500492958</v>
      </c>
      <c r="N174" s="44">
        <v>494.17231502322119</v>
      </c>
      <c r="O174" s="45" t="s">
        <v>5074</v>
      </c>
      <c r="P174" s="46">
        <v>1</v>
      </c>
      <c r="Q174" s="43">
        <v>553.27842979703587</v>
      </c>
      <c r="R174" s="43">
        <v>556.48101595263608</v>
      </c>
      <c r="S174" s="47">
        <v>0</v>
      </c>
      <c r="T174" s="48">
        <v>556.48101595263608</v>
      </c>
      <c r="U174" s="48">
        <v>558.73651711950481</v>
      </c>
      <c r="V174" s="48">
        <v>557.99957070723349</v>
      </c>
      <c r="W174" s="48">
        <v>560.75389010355025</v>
      </c>
    </row>
    <row r="175" spans="1:23" ht="13.2" x14ac:dyDescent="0.25">
      <c r="A175" s="41">
        <v>173</v>
      </c>
      <c r="B175" s="42">
        <v>0.42061735429829794</v>
      </c>
      <c r="C175" s="14" t="s">
        <v>5077</v>
      </c>
      <c r="D175" s="42">
        <v>0.57379932029815361</v>
      </c>
      <c r="E175" s="43">
        <v>45.164193882683385</v>
      </c>
      <c r="F175" s="42">
        <v>0.78575523001409842</v>
      </c>
      <c r="G175" s="43">
        <v>3.4971625104067674</v>
      </c>
      <c r="H175" s="42">
        <v>0.69637516313063685</v>
      </c>
      <c r="I175" s="43">
        <v>1.3303634533880431</v>
      </c>
      <c r="J175" s="42">
        <v>0.34054596924248431</v>
      </c>
      <c r="K175" s="43">
        <v>3.1451245471168248</v>
      </c>
      <c r="L175" s="43">
        <v>556.42355434415265</v>
      </c>
      <c r="M175" s="44">
        <v>314.41923424737558</v>
      </c>
      <c r="N175" s="44">
        <v>564.55242353354231</v>
      </c>
      <c r="O175" s="45" t="s">
        <v>5074</v>
      </c>
      <c r="P175" s="46">
        <v>1</v>
      </c>
      <c r="Q175" s="43">
        <v>556.48101595263608</v>
      </c>
      <c r="R175" s="43">
        <v>559.97817846304281</v>
      </c>
      <c r="S175" s="43">
        <v>5.7461608483436066E-2</v>
      </c>
      <c r="T175" s="48">
        <v>559.97817846304281</v>
      </c>
      <c r="U175" s="48">
        <v>558.73651711950481</v>
      </c>
      <c r="V175" s="48">
        <v>557.99957070723349</v>
      </c>
      <c r="W175" s="48">
        <v>560.75389010355025</v>
      </c>
    </row>
    <row r="176" spans="1:23" ht="13.2" x14ac:dyDescent="0.25">
      <c r="A176" s="41">
        <v>174</v>
      </c>
      <c r="B176" s="42">
        <v>0.75158929207901903</v>
      </c>
      <c r="C176" s="14" t="s">
        <v>5079</v>
      </c>
      <c r="D176" s="42">
        <v>0.6385337750606862</v>
      </c>
      <c r="E176" s="43">
        <v>8.9156013251820596</v>
      </c>
      <c r="F176" s="42">
        <v>0.90406883456933729</v>
      </c>
      <c r="G176" s="43">
        <v>1.539447571802627</v>
      </c>
      <c r="H176" s="42">
        <v>0.64899747197003921</v>
      </c>
      <c r="I176" s="43">
        <v>0.47054329557737018</v>
      </c>
      <c r="J176" s="42">
        <v>0.9891668753648023</v>
      </c>
      <c r="K176" s="43">
        <v>3.1802131920153298E-2</v>
      </c>
      <c r="L176" s="43">
        <v>556.45535647607278</v>
      </c>
      <c r="M176" s="44">
        <v>62.779204876674974</v>
      </c>
      <c r="N176" s="44">
        <v>111.44501656477574</v>
      </c>
      <c r="O176" s="45" t="s">
        <v>5074</v>
      </c>
      <c r="P176" s="46">
        <v>3</v>
      </c>
      <c r="Q176" s="43">
        <v>557.99957070723349</v>
      </c>
      <c r="R176" s="43">
        <v>559.5390182790361</v>
      </c>
      <c r="S176" s="43">
        <v>1.5442142311607086</v>
      </c>
      <c r="T176" s="48">
        <v>559.97817846304281</v>
      </c>
      <c r="U176" s="48">
        <v>558.73651711950481</v>
      </c>
      <c r="V176" s="48">
        <v>559.5390182790361</v>
      </c>
      <c r="W176" s="48">
        <v>560.75389010355025</v>
      </c>
    </row>
    <row r="177" spans="1:23" ht="13.2" x14ac:dyDescent="0.25">
      <c r="A177" s="41">
        <v>175</v>
      </c>
      <c r="B177" s="42">
        <v>0.46535254338074128</v>
      </c>
      <c r="C177" s="14" t="s">
        <v>5077</v>
      </c>
      <c r="D177" s="42">
        <v>0.41440677429288941</v>
      </c>
      <c r="E177" s="43">
        <v>43.729660968636004</v>
      </c>
      <c r="F177" s="42">
        <v>0.9081158176567945</v>
      </c>
      <c r="G177" s="43">
        <v>3.5558955924752613</v>
      </c>
      <c r="H177" s="42">
        <v>0.95352112173732417</v>
      </c>
      <c r="I177" s="43">
        <v>1.5553780956486738</v>
      </c>
      <c r="J177" s="42">
        <v>0.21729576551229496</v>
      </c>
      <c r="K177" s="43">
        <v>4.4569222736862324</v>
      </c>
      <c r="L177" s="43">
        <v>560.91227874975903</v>
      </c>
      <c r="M177" s="44">
        <v>304.35844034170657</v>
      </c>
      <c r="N177" s="44">
        <v>546.6207621079501</v>
      </c>
      <c r="O177" s="45" t="s">
        <v>5074</v>
      </c>
      <c r="P177" s="46">
        <v>2</v>
      </c>
      <c r="Q177" s="43">
        <v>560.91227874975903</v>
      </c>
      <c r="R177" s="43">
        <v>564.46817434223431</v>
      </c>
      <c r="S177" s="47">
        <v>0</v>
      </c>
      <c r="T177" s="48">
        <v>559.97817846304281</v>
      </c>
      <c r="U177" s="48">
        <v>564.46817434223431</v>
      </c>
      <c r="V177" s="48">
        <v>559.5390182790361</v>
      </c>
      <c r="W177" s="48">
        <v>560.75389010355025</v>
      </c>
    </row>
    <row r="178" spans="1:23" ht="13.2" x14ac:dyDescent="0.25">
      <c r="A178" s="41">
        <v>176</v>
      </c>
      <c r="B178" s="42">
        <v>0.70622529867395079</v>
      </c>
      <c r="C178" s="14" t="s">
        <v>5079</v>
      </c>
      <c r="D178" s="42">
        <v>0.13741120376503616</v>
      </c>
      <c r="E178" s="43">
        <v>7.4122336112951084</v>
      </c>
      <c r="F178" s="42">
        <v>0.85608294273544239</v>
      </c>
      <c r="G178" s="43">
        <v>1.5341691237008988</v>
      </c>
      <c r="H178" s="42">
        <v>0.93239265816863282</v>
      </c>
      <c r="I178" s="43">
        <v>0.59929696491810647</v>
      </c>
      <c r="J178" s="42">
        <v>0.3614740894927988</v>
      </c>
      <c r="K178" s="43">
        <v>2.9709924523720712</v>
      </c>
      <c r="L178" s="43">
        <v>563.88327120213114</v>
      </c>
      <c r="M178" s="44">
        <v>51.589145934613953</v>
      </c>
      <c r="N178" s="44">
        <v>92.652920141188858</v>
      </c>
      <c r="O178" s="45" t="s">
        <v>5074</v>
      </c>
      <c r="P178" s="46">
        <v>3</v>
      </c>
      <c r="Q178" s="43">
        <v>563.88327120213114</v>
      </c>
      <c r="R178" s="43">
        <v>565.41744032583199</v>
      </c>
      <c r="S178" s="47">
        <v>0</v>
      </c>
      <c r="T178" s="48">
        <v>559.97817846304281</v>
      </c>
      <c r="U178" s="48">
        <v>564.46817434223431</v>
      </c>
      <c r="V178" s="48">
        <v>565.41744032583199</v>
      </c>
      <c r="W178" s="48">
        <v>560.75389010355025</v>
      </c>
    </row>
    <row r="179" spans="1:23" ht="13.2" x14ac:dyDescent="0.25">
      <c r="A179" s="41">
        <v>177</v>
      </c>
      <c r="B179" s="42">
        <v>0.13094894687223665</v>
      </c>
      <c r="C179" s="14" t="s">
        <v>5073</v>
      </c>
      <c r="D179" s="42">
        <v>0.26792845561538287</v>
      </c>
      <c r="E179" s="43">
        <v>312.15141467384592</v>
      </c>
      <c r="F179" s="42">
        <v>8.4719141053370736E-2</v>
      </c>
      <c r="G179" s="43">
        <v>8.6451709114970505</v>
      </c>
      <c r="H179" s="42">
        <v>0.60039780782554197</v>
      </c>
      <c r="I179" s="43">
        <v>3.4489977406392036</v>
      </c>
      <c r="J179" s="42">
        <v>0.63320675614904931</v>
      </c>
      <c r="K179" s="43">
        <v>1.3341847625756382</v>
      </c>
      <c r="L179" s="43">
        <v>565.2174559647068</v>
      </c>
      <c r="M179" s="44">
        <v>2172.5738461299675</v>
      </c>
      <c r="N179" s="44">
        <v>3901.8926834230742</v>
      </c>
      <c r="O179" s="45" t="s">
        <v>5074</v>
      </c>
      <c r="P179" s="46">
        <v>1</v>
      </c>
      <c r="Q179" s="43">
        <v>565.2174559647068</v>
      </c>
      <c r="R179" s="43">
        <v>573.86262687620388</v>
      </c>
      <c r="S179" s="47">
        <v>0</v>
      </c>
      <c r="T179" s="48">
        <v>573.86262687620388</v>
      </c>
      <c r="U179" s="48">
        <v>564.46817434223431</v>
      </c>
      <c r="V179" s="48">
        <v>565.41744032583199</v>
      </c>
      <c r="W179" s="48">
        <v>560.75389010355025</v>
      </c>
    </row>
    <row r="180" spans="1:23" ht="13.2" x14ac:dyDescent="0.25">
      <c r="A180" s="41">
        <v>178</v>
      </c>
      <c r="B180" s="42">
        <v>0.94791494214344529</v>
      </c>
      <c r="C180" s="14" t="s">
        <v>5080</v>
      </c>
      <c r="D180" s="42">
        <v>0.59120726426653902</v>
      </c>
      <c r="E180" s="43">
        <v>99.780181606663476</v>
      </c>
      <c r="F180" s="42">
        <v>0.74368920677513317</v>
      </c>
      <c r="G180" s="43">
        <v>4.6115921716585717</v>
      </c>
      <c r="H180" s="42">
        <v>0.7490433243797362</v>
      </c>
      <c r="I180" s="43">
        <v>2.3278973172821917</v>
      </c>
      <c r="J180" s="42">
        <v>0.81164912637865594</v>
      </c>
      <c r="K180" s="43">
        <v>0.60930552577565567</v>
      </c>
      <c r="L180" s="43">
        <v>565.82676149048245</v>
      </c>
      <c r="M180" s="44">
        <v>694.47006398237784</v>
      </c>
      <c r="N180" s="44">
        <v>1247.2522700832935</v>
      </c>
      <c r="O180" s="45" t="s">
        <v>5074</v>
      </c>
      <c r="P180" s="46">
        <v>4</v>
      </c>
      <c r="Q180" s="43">
        <v>565.82676149048245</v>
      </c>
      <c r="R180" s="43">
        <v>570.43835366214103</v>
      </c>
      <c r="S180" s="47">
        <v>0</v>
      </c>
      <c r="T180" s="48">
        <v>573.86262687620388</v>
      </c>
      <c r="U180" s="48">
        <v>564.46817434223431</v>
      </c>
      <c r="V180" s="48">
        <v>565.41744032583199</v>
      </c>
      <c r="W180" s="48">
        <v>570.43835366214103</v>
      </c>
    </row>
    <row r="181" spans="1:23" ht="13.2" x14ac:dyDescent="0.25">
      <c r="A181" s="41">
        <v>179</v>
      </c>
      <c r="B181" s="42">
        <v>0.7342213782175544</v>
      </c>
      <c r="C181" s="14" t="s">
        <v>5079</v>
      </c>
      <c r="D181" s="42">
        <v>0.31171352058263196</v>
      </c>
      <c r="E181" s="43">
        <v>7.9351405617478958</v>
      </c>
      <c r="F181" s="42">
        <v>0.41998375133610505</v>
      </c>
      <c r="G181" s="43">
        <v>1.4861982126469715</v>
      </c>
      <c r="H181" s="42">
        <v>0.92582867617058973</v>
      </c>
      <c r="I181" s="43">
        <v>0.59452157294303476</v>
      </c>
      <c r="J181" s="42">
        <v>0.44933879675778504</v>
      </c>
      <c r="K181" s="43">
        <v>2.3357025322493987</v>
      </c>
      <c r="L181" s="43">
        <v>568.1624640227318</v>
      </c>
      <c r="M181" s="44">
        <v>55.228578309765354</v>
      </c>
      <c r="N181" s="44">
        <v>99.189257021848704</v>
      </c>
      <c r="O181" s="45" t="s">
        <v>5074</v>
      </c>
      <c r="P181" s="46">
        <v>2</v>
      </c>
      <c r="Q181" s="43">
        <v>568.1624640227318</v>
      </c>
      <c r="R181" s="43">
        <v>569.64866223537877</v>
      </c>
      <c r="S181" s="47">
        <v>0</v>
      </c>
      <c r="T181" s="48">
        <v>573.86262687620388</v>
      </c>
      <c r="U181" s="48">
        <v>569.64866223537877</v>
      </c>
      <c r="V181" s="48">
        <v>565.41744032583199</v>
      </c>
      <c r="W181" s="48">
        <v>570.43835366214103</v>
      </c>
    </row>
    <row r="182" spans="1:23" ht="13.2" x14ac:dyDescent="0.25">
      <c r="A182" s="41">
        <v>180</v>
      </c>
      <c r="B182" s="42">
        <v>0.13280919805765581</v>
      </c>
      <c r="C182" s="14" t="s">
        <v>5073</v>
      </c>
      <c r="D182" s="42">
        <v>0.70253286543420179</v>
      </c>
      <c r="E182" s="43">
        <v>364.30394385210423</v>
      </c>
      <c r="F182" s="42">
        <v>0.98997281072194354</v>
      </c>
      <c r="G182" s="43">
        <v>11.478614897559684</v>
      </c>
      <c r="H182" s="42">
        <v>0.96490288896714471</v>
      </c>
      <c r="I182" s="43">
        <v>3.8377568698691946</v>
      </c>
      <c r="J182" s="42">
        <v>0.45339398246882201</v>
      </c>
      <c r="K182" s="43">
        <v>2.309470986892991</v>
      </c>
      <c r="L182" s="43">
        <v>570.47193500962476</v>
      </c>
      <c r="M182" s="44">
        <v>2535.5554492106453</v>
      </c>
      <c r="N182" s="44">
        <v>4553.7992981513025</v>
      </c>
      <c r="O182" s="45" t="s">
        <v>5074</v>
      </c>
      <c r="P182" s="46">
        <v>3</v>
      </c>
      <c r="Q182" s="43">
        <v>570.47193500962476</v>
      </c>
      <c r="R182" s="43">
        <v>581.9505499071845</v>
      </c>
      <c r="S182" s="47">
        <v>0</v>
      </c>
      <c r="T182" s="48">
        <v>573.86262687620388</v>
      </c>
      <c r="U182" s="48">
        <v>569.64866223537877</v>
      </c>
      <c r="V182" s="48">
        <v>581.9505499071845</v>
      </c>
      <c r="W182" s="48">
        <v>570.43835366214103</v>
      </c>
    </row>
    <row r="183" spans="1:23" ht="13.2" x14ac:dyDescent="0.25">
      <c r="A183" s="41">
        <v>181</v>
      </c>
      <c r="B183" s="42">
        <v>9.0804861900771444E-2</v>
      </c>
      <c r="C183" s="14" t="s">
        <v>5073</v>
      </c>
      <c r="D183" s="42">
        <v>0.43489132748678855</v>
      </c>
      <c r="E183" s="43">
        <v>332.18695929841465</v>
      </c>
      <c r="F183" s="42">
        <v>0.95902089260472956</v>
      </c>
      <c r="G183" s="43">
        <v>11.381735393852804</v>
      </c>
      <c r="H183" s="42">
        <v>0.72339883340680922</v>
      </c>
      <c r="I183" s="43">
        <v>3.5445322459878272</v>
      </c>
      <c r="J183" s="42">
        <v>0.91531241494943971</v>
      </c>
      <c r="K183" s="43">
        <v>0.25836448140083468</v>
      </c>
      <c r="L183" s="43">
        <v>570.73029949102556</v>
      </c>
      <c r="M183" s="44">
        <v>2312.0212367169661</v>
      </c>
      <c r="N183" s="44">
        <v>4152.3369912301832</v>
      </c>
      <c r="O183" s="45" t="s">
        <v>5074</v>
      </c>
      <c r="P183" s="46">
        <v>2</v>
      </c>
      <c r="Q183" s="43">
        <v>570.73029949102556</v>
      </c>
      <c r="R183" s="43">
        <v>582.11203488487831</v>
      </c>
      <c r="S183" s="47">
        <v>0</v>
      </c>
      <c r="T183" s="48">
        <v>573.86262687620388</v>
      </c>
      <c r="U183" s="48">
        <v>582.11203488487831</v>
      </c>
      <c r="V183" s="48">
        <v>581.9505499071845</v>
      </c>
      <c r="W183" s="48">
        <v>570.43835366214103</v>
      </c>
    </row>
    <row r="184" spans="1:23" ht="13.2" x14ac:dyDescent="0.25">
      <c r="A184" s="41">
        <v>182</v>
      </c>
      <c r="B184" s="42">
        <v>0.86962966195756086</v>
      </c>
      <c r="C184" s="14" t="s">
        <v>5081</v>
      </c>
      <c r="D184" s="42">
        <v>0.78520585493427042</v>
      </c>
      <c r="E184" s="43">
        <v>291.4082341973708</v>
      </c>
      <c r="F184" s="42">
        <v>0.24782041238985045</v>
      </c>
      <c r="G184" s="43">
        <v>8.4353422082659506</v>
      </c>
      <c r="H184" s="42">
        <v>0.74406916170570492</v>
      </c>
      <c r="I184" s="43">
        <v>4.284554910151317</v>
      </c>
      <c r="J184" s="42">
        <v>0.19352413443546934</v>
      </c>
      <c r="K184" s="43">
        <v>4.7951913825553651</v>
      </c>
      <c r="L184" s="43">
        <v>575.52549087358091</v>
      </c>
      <c r="M184" s="44">
        <v>2028.2013100137008</v>
      </c>
      <c r="N184" s="44">
        <v>3642.602927467135</v>
      </c>
      <c r="O184" s="45" t="s">
        <v>5074</v>
      </c>
      <c r="P184" s="46">
        <v>4</v>
      </c>
      <c r="Q184" s="43">
        <v>575.52549087358091</v>
      </c>
      <c r="R184" s="43">
        <v>583.96083308184689</v>
      </c>
      <c r="S184" s="47">
        <v>0</v>
      </c>
      <c r="T184" s="48">
        <v>573.86262687620388</v>
      </c>
      <c r="U184" s="48">
        <v>582.11203488487831</v>
      </c>
      <c r="V184" s="48">
        <v>581.9505499071845</v>
      </c>
      <c r="W184" s="48">
        <v>583.96083308184689</v>
      </c>
    </row>
    <row r="185" spans="1:23" ht="13.2" x14ac:dyDescent="0.25">
      <c r="A185" s="41">
        <v>183</v>
      </c>
      <c r="B185" s="42">
        <v>0.23200714552402829</v>
      </c>
      <c r="C185" s="14" t="s">
        <v>5073</v>
      </c>
      <c r="D185" s="42">
        <v>0.16603932909948721</v>
      </c>
      <c r="E185" s="43">
        <v>299.92471949193845</v>
      </c>
      <c r="F185" s="42">
        <v>8.6405269841852261E-2</v>
      </c>
      <c r="G185" s="43">
        <v>8.6504484946049978</v>
      </c>
      <c r="H185" s="42">
        <v>0.2039194550383461</v>
      </c>
      <c r="I185" s="43">
        <v>3.0530634525599383</v>
      </c>
      <c r="J185" s="42">
        <v>0.50303364894494118</v>
      </c>
      <c r="K185" s="43">
        <v>2.0061261740410283</v>
      </c>
      <c r="L185" s="43">
        <v>577.53161704762192</v>
      </c>
      <c r="M185" s="44">
        <v>2087.4760476638917</v>
      </c>
      <c r="N185" s="44">
        <v>3749.0589936492306</v>
      </c>
      <c r="O185" s="45" t="s">
        <v>5074</v>
      </c>
      <c r="P185" s="46">
        <v>1</v>
      </c>
      <c r="Q185" s="43">
        <v>577.53161704762192</v>
      </c>
      <c r="R185" s="43">
        <v>586.18206554222695</v>
      </c>
      <c r="S185" s="47">
        <v>0</v>
      </c>
      <c r="T185" s="48">
        <v>586.18206554222695</v>
      </c>
      <c r="U185" s="48">
        <v>582.11203488487831</v>
      </c>
      <c r="V185" s="48">
        <v>581.9505499071845</v>
      </c>
      <c r="W185" s="48">
        <v>583.96083308184689</v>
      </c>
    </row>
    <row r="186" spans="1:23" ht="13.2" x14ac:dyDescent="0.25">
      <c r="A186" s="41">
        <v>184</v>
      </c>
      <c r="B186" s="42">
        <v>0.55664602413617359</v>
      </c>
      <c r="C186" s="14" t="s">
        <v>5076</v>
      </c>
      <c r="D186" s="42">
        <v>0.69546121018727369</v>
      </c>
      <c r="E186" s="43">
        <v>41.95461210187274</v>
      </c>
      <c r="F186" s="42">
        <v>4.3022917603618892E-2</v>
      </c>
      <c r="G186" s="43">
        <v>3.0597905420976645</v>
      </c>
      <c r="H186" s="42">
        <v>0.19406010964608755</v>
      </c>
      <c r="I186" s="43">
        <v>0.70187278921558094</v>
      </c>
      <c r="J186" s="42">
        <v>0.37614459981031001</v>
      </c>
      <c r="K186" s="43">
        <v>2.85483689214092</v>
      </c>
      <c r="L186" s="43">
        <v>580.38645393976287</v>
      </c>
      <c r="M186" s="44">
        <v>293.10189662828935</v>
      </c>
      <c r="N186" s="44">
        <v>524.43265127340931</v>
      </c>
      <c r="O186" s="45" t="s">
        <v>5074</v>
      </c>
      <c r="P186" s="46">
        <v>3</v>
      </c>
      <c r="Q186" s="43">
        <v>581.9505499071845</v>
      </c>
      <c r="R186" s="43">
        <v>585.01034044928213</v>
      </c>
      <c r="S186" s="43">
        <v>1.5640959674216219</v>
      </c>
      <c r="T186" s="48">
        <v>586.18206554222695</v>
      </c>
      <c r="U186" s="48">
        <v>582.11203488487831</v>
      </c>
      <c r="V186" s="48">
        <v>585.01034044928213</v>
      </c>
      <c r="W186" s="48">
        <v>583.96083308184689</v>
      </c>
    </row>
    <row r="187" spans="1:23" ht="13.2" x14ac:dyDescent="0.25">
      <c r="A187" s="41">
        <v>185</v>
      </c>
      <c r="B187" s="42">
        <v>0.5621352021406103</v>
      </c>
      <c r="C187" s="14" t="s">
        <v>5076</v>
      </c>
      <c r="D187" s="42">
        <v>0.56947904525766102</v>
      </c>
      <c r="E187" s="43">
        <v>40.694790452576612</v>
      </c>
      <c r="F187" s="42">
        <v>0.57994345416312265</v>
      </c>
      <c r="G187" s="43">
        <v>3.3067739889150363</v>
      </c>
      <c r="H187" s="42">
        <v>0.85017681766775288</v>
      </c>
      <c r="I187" s="43">
        <v>0.99518180976038972</v>
      </c>
      <c r="J187" s="42">
        <v>3.9564362279867919E-2</v>
      </c>
      <c r="K187" s="43">
        <v>9.4301503893155729</v>
      </c>
      <c r="L187" s="43">
        <v>589.81660432907847</v>
      </c>
      <c r="M187" s="44">
        <v>283.23574154993321</v>
      </c>
      <c r="N187" s="44">
        <v>508.68488065720766</v>
      </c>
      <c r="O187" s="45" t="s">
        <v>5074</v>
      </c>
      <c r="P187" s="46">
        <v>2</v>
      </c>
      <c r="Q187" s="43">
        <v>589.81660432907847</v>
      </c>
      <c r="R187" s="43">
        <v>593.12337831799346</v>
      </c>
      <c r="S187" s="47">
        <v>0</v>
      </c>
      <c r="T187" s="48">
        <v>586.18206554222695</v>
      </c>
      <c r="U187" s="48">
        <v>593.12337831799346</v>
      </c>
      <c r="V187" s="48">
        <v>585.01034044928213</v>
      </c>
      <c r="W187" s="48">
        <v>583.96083308184689</v>
      </c>
    </row>
    <row r="188" spans="1:23" ht="13.2" x14ac:dyDescent="0.25">
      <c r="A188" s="41">
        <v>186</v>
      </c>
      <c r="B188" s="42">
        <v>0.34225984306179913</v>
      </c>
      <c r="C188" s="14" t="s">
        <v>5077</v>
      </c>
      <c r="D188" s="42">
        <v>0.53740838707304017</v>
      </c>
      <c r="E188" s="43">
        <v>44.836675483657359</v>
      </c>
      <c r="F188" s="42">
        <v>0.167628698129034</v>
      </c>
      <c r="G188" s="43">
        <v>3.2004617751019366</v>
      </c>
      <c r="H188" s="42">
        <v>0.6308891762191845</v>
      </c>
      <c r="I188" s="43">
        <v>1.2924464811814687</v>
      </c>
      <c r="J188" s="42">
        <v>0.27818218398754585</v>
      </c>
      <c r="K188" s="43">
        <v>3.7357052316701775</v>
      </c>
      <c r="L188" s="43">
        <v>593.55230956074865</v>
      </c>
      <c r="M188" s="44">
        <v>312.06326136625523</v>
      </c>
      <c r="N188" s="44">
        <v>560.45844354571705</v>
      </c>
      <c r="O188" s="45" t="s">
        <v>5074</v>
      </c>
      <c r="P188" s="46">
        <v>4</v>
      </c>
      <c r="Q188" s="43">
        <v>593.55230956074865</v>
      </c>
      <c r="R188" s="43">
        <v>596.75277133585064</v>
      </c>
      <c r="S188" s="47">
        <v>0</v>
      </c>
      <c r="T188" s="48">
        <v>586.18206554222695</v>
      </c>
      <c r="U188" s="48">
        <v>593.12337831799346</v>
      </c>
      <c r="V188" s="48">
        <v>585.01034044928213</v>
      </c>
      <c r="W188" s="48">
        <v>596.75277133585064</v>
      </c>
    </row>
    <row r="189" spans="1:23" ht="13.2" x14ac:dyDescent="0.25">
      <c r="A189" s="41">
        <v>187</v>
      </c>
      <c r="B189" s="42">
        <v>0.67193781569224675</v>
      </c>
      <c r="C189" s="14" t="s">
        <v>5079</v>
      </c>
      <c r="D189" s="42">
        <v>0.76480108302310157</v>
      </c>
      <c r="E189" s="43">
        <v>9.2944032490693047</v>
      </c>
      <c r="F189" s="42">
        <v>0.99485497409238244</v>
      </c>
      <c r="G189" s="43">
        <v>1.5494340471501622</v>
      </c>
      <c r="H189" s="42">
        <v>0.44788706882292734</v>
      </c>
      <c r="I189" s="43">
        <v>0.41222067538379187</v>
      </c>
      <c r="J189" s="42">
        <v>0.69536842903837959</v>
      </c>
      <c r="K189" s="43">
        <v>1.0607692267261319</v>
      </c>
      <c r="L189" s="43">
        <v>594.61307878747482</v>
      </c>
      <c r="M189" s="44">
        <v>64.689046613522365</v>
      </c>
      <c r="N189" s="44">
        <v>116.18004061336632</v>
      </c>
      <c r="O189" s="45" t="s">
        <v>5074</v>
      </c>
      <c r="P189" s="46">
        <v>3</v>
      </c>
      <c r="Q189" s="43">
        <v>594.61307878747482</v>
      </c>
      <c r="R189" s="43">
        <v>596.16251283462498</v>
      </c>
      <c r="S189" s="47">
        <v>0</v>
      </c>
      <c r="T189" s="48">
        <v>586.18206554222695</v>
      </c>
      <c r="U189" s="48">
        <v>593.12337831799346</v>
      </c>
      <c r="V189" s="48">
        <v>596.16251283462498</v>
      </c>
      <c r="W189" s="48">
        <v>596.75277133585064</v>
      </c>
    </row>
    <row r="190" spans="1:23" ht="13.2" x14ac:dyDescent="0.25">
      <c r="A190" s="41">
        <v>188</v>
      </c>
      <c r="B190" s="42">
        <v>0.60648105461452206</v>
      </c>
      <c r="C190" s="14" t="s">
        <v>5076</v>
      </c>
      <c r="D190" s="42">
        <v>0.34956818323096639</v>
      </c>
      <c r="E190" s="43">
        <v>38.495681832309664</v>
      </c>
      <c r="F190" s="42">
        <v>0.4523284702805469</v>
      </c>
      <c r="G190" s="43">
        <v>3.2480710963290518</v>
      </c>
      <c r="H190" s="42">
        <v>0.51912967326079018</v>
      </c>
      <c r="I190" s="43">
        <v>0.83306173341149226</v>
      </c>
      <c r="J190" s="42">
        <v>0.79152036262281256</v>
      </c>
      <c r="K190" s="43">
        <v>0.68262678355649509</v>
      </c>
      <c r="L190" s="43">
        <v>595.29570557103136</v>
      </c>
      <c r="M190" s="44">
        <v>267.92994555287527</v>
      </c>
      <c r="N190" s="44">
        <v>481.19602290387081</v>
      </c>
      <c r="O190" s="45" t="s">
        <v>5074</v>
      </c>
      <c r="P190" s="46">
        <v>1</v>
      </c>
      <c r="Q190" s="43">
        <v>595.29570557103136</v>
      </c>
      <c r="R190" s="43">
        <v>598.54377666736036</v>
      </c>
      <c r="S190" s="47">
        <v>0</v>
      </c>
      <c r="T190" s="48">
        <v>598.54377666736036</v>
      </c>
      <c r="U190" s="48">
        <v>593.12337831799346</v>
      </c>
      <c r="V190" s="48">
        <v>596.16251283462498</v>
      </c>
      <c r="W190" s="48">
        <v>596.75277133585064</v>
      </c>
    </row>
    <row r="191" spans="1:23" ht="13.2" x14ac:dyDescent="0.25">
      <c r="A191" s="41">
        <v>189</v>
      </c>
      <c r="B191" s="42">
        <v>0.90373068298386905</v>
      </c>
      <c r="C191" s="14" t="s">
        <v>5075</v>
      </c>
      <c r="D191" s="42">
        <v>0.78722967057825521</v>
      </c>
      <c r="E191" s="43">
        <v>335.10607694047786</v>
      </c>
      <c r="F191" s="42">
        <v>0.93955521608682124</v>
      </c>
      <c r="G191" s="43">
        <v>10.219714880012774</v>
      </c>
      <c r="H191" s="42">
        <v>0.61819286207584334</v>
      </c>
      <c r="I191" s="43">
        <v>2.6261497406029375</v>
      </c>
      <c r="J191" s="42">
        <v>0.94588273900834974</v>
      </c>
      <c r="K191" s="43">
        <v>0.16244283839382609</v>
      </c>
      <c r="L191" s="43">
        <v>595.45814840942523</v>
      </c>
      <c r="M191" s="44">
        <v>2332.3382955057259</v>
      </c>
      <c r="N191" s="44">
        <v>4188.8259617559734</v>
      </c>
      <c r="O191" s="45" t="s">
        <v>5074</v>
      </c>
      <c r="P191" s="46">
        <v>2</v>
      </c>
      <c r="Q191" s="43">
        <v>595.45814840942523</v>
      </c>
      <c r="R191" s="43">
        <v>605.67786328943805</v>
      </c>
      <c r="S191" s="47">
        <v>0</v>
      </c>
      <c r="T191" s="48">
        <v>598.54377666736036</v>
      </c>
      <c r="U191" s="48">
        <v>605.67786328943805</v>
      </c>
      <c r="V191" s="48">
        <v>596.16251283462498</v>
      </c>
      <c r="W191" s="48">
        <v>596.75277133585064</v>
      </c>
    </row>
    <row r="192" spans="1:23" ht="13.2" x14ac:dyDescent="0.25">
      <c r="A192" s="41">
        <v>190</v>
      </c>
      <c r="B192" s="42">
        <v>0.9382838192108478</v>
      </c>
      <c r="C192" s="14" t="s">
        <v>5080</v>
      </c>
      <c r="D192" s="42">
        <v>0.34630788226905646</v>
      </c>
      <c r="E192" s="43">
        <v>93.657697056726406</v>
      </c>
      <c r="F192" s="42">
        <v>0.59986984711134328</v>
      </c>
      <c r="G192" s="43">
        <v>4.5339297174401256</v>
      </c>
      <c r="H192" s="42">
        <v>0.82939895467339031</v>
      </c>
      <c r="I192" s="43">
        <v>2.4458503075992035</v>
      </c>
      <c r="J192" s="42">
        <v>0.7671636709790508</v>
      </c>
      <c r="K192" s="43">
        <v>0.77388353072276905</v>
      </c>
      <c r="L192" s="43">
        <v>596.23203194014798</v>
      </c>
      <c r="M192" s="44">
        <v>651.85757151481573</v>
      </c>
      <c r="N192" s="44">
        <v>1170.7212132090801</v>
      </c>
      <c r="O192" s="45" t="s">
        <v>5074</v>
      </c>
      <c r="P192" s="46">
        <v>3</v>
      </c>
      <c r="Q192" s="43">
        <v>596.23203194014798</v>
      </c>
      <c r="R192" s="43">
        <v>600.76596165758815</v>
      </c>
      <c r="S192" s="47">
        <v>0</v>
      </c>
      <c r="T192" s="48">
        <v>598.54377666736036</v>
      </c>
      <c r="U192" s="48">
        <v>605.67786328943805</v>
      </c>
      <c r="V192" s="48">
        <v>600.76596165758815</v>
      </c>
      <c r="W192" s="48">
        <v>596.75277133585064</v>
      </c>
    </row>
    <row r="193" spans="1:23" ht="13.2" x14ac:dyDescent="0.25">
      <c r="A193" s="41">
        <v>191</v>
      </c>
      <c r="B193" s="42">
        <v>0.58157235038539967</v>
      </c>
      <c r="C193" s="14" t="s">
        <v>5076</v>
      </c>
      <c r="D193" s="42">
        <v>0.18866120334186648</v>
      </c>
      <c r="E193" s="43">
        <v>36.886612033418665</v>
      </c>
      <c r="F193" s="42">
        <v>0.76162856619880936</v>
      </c>
      <c r="G193" s="43">
        <v>3.3903491404514523</v>
      </c>
      <c r="H193" s="42">
        <v>0.26128801901884752</v>
      </c>
      <c r="I193" s="43">
        <v>0.73424449618712062</v>
      </c>
      <c r="J193" s="42">
        <v>0.91199329305067345</v>
      </c>
      <c r="K193" s="43">
        <v>0.26897122057211953</v>
      </c>
      <c r="L193" s="43">
        <v>596.50100316072007</v>
      </c>
      <c r="M193" s="44">
        <v>256.9156791494986</v>
      </c>
      <c r="N193" s="44">
        <v>461.0826504177333</v>
      </c>
      <c r="O193" s="45" t="s">
        <v>5074</v>
      </c>
      <c r="P193" s="46">
        <v>4</v>
      </c>
      <c r="Q193" s="43">
        <v>596.75277133585064</v>
      </c>
      <c r="R193" s="43">
        <v>600.1431204763021</v>
      </c>
      <c r="S193" s="43">
        <v>0.25176817513056449</v>
      </c>
      <c r="T193" s="48">
        <v>598.54377666736036</v>
      </c>
      <c r="U193" s="48">
        <v>605.67786328943805</v>
      </c>
      <c r="V193" s="48">
        <v>600.76596165758815</v>
      </c>
      <c r="W193" s="48">
        <v>600.1431204763021</v>
      </c>
    </row>
    <row r="194" spans="1:23" ht="13.2" x14ac:dyDescent="0.25">
      <c r="A194" s="41">
        <v>192</v>
      </c>
      <c r="B194" s="42">
        <v>0.10825111815158796</v>
      </c>
      <c r="C194" s="14" t="s">
        <v>5073</v>
      </c>
      <c r="D194" s="42">
        <v>0.16457721784924029</v>
      </c>
      <c r="E194" s="43">
        <v>299.74926614190883</v>
      </c>
      <c r="F194" s="42">
        <v>0.3656764525760321</v>
      </c>
      <c r="G194" s="43">
        <v>9.5245672965629815</v>
      </c>
      <c r="H194" s="42">
        <v>6.9360065771900153E-2</v>
      </c>
      <c r="I194" s="43">
        <v>2.8225524742702346</v>
      </c>
      <c r="J194" s="42">
        <v>3.5614918002679442E-2</v>
      </c>
      <c r="K194" s="43">
        <v>9.7371990770216357</v>
      </c>
      <c r="L194" s="43">
        <v>606.23820223774169</v>
      </c>
      <c r="M194" s="44">
        <v>2086.2548923476857</v>
      </c>
      <c r="N194" s="44">
        <v>3746.8658267738606</v>
      </c>
      <c r="O194" s="45" t="s">
        <v>5074</v>
      </c>
      <c r="P194" s="46">
        <v>1</v>
      </c>
      <c r="Q194" s="43">
        <v>606.23820223774169</v>
      </c>
      <c r="R194" s="43">
        <v>615.76276953430465</v>
      </c>
      <c r="S194" s="47">
        <v>0</v>
      </c>
      <c r="T194" s="48">
        <v>615.76276953430465</v>
      </c>
      <c r="U194" s="48">
        <v>605.67786328943805</v>
      </c>
      <c r="V194" s="48">
        <v>600.76596165758815</v>
      </c>
      <c r="W194" s="48">
        <v>600.1431204763021</v>
      </c>
    </row>
    <row r="195" spans="1:23" ht="13.2" x14ac:dyDescent="0.25">
      <c r="A195" s="41">
        <v>193</v>
      </c>
      <c r="B195" s="42">
        <v>0.39352435590397772</v>
      </c>
      <c r="C195" s="14" t="s">
        <v>5077</v>
      </c>
      <c r="D195" s="42">
        <v>0.60064701437980261</v>
      </c>
      <c r="E195" s="43">
        <v>45.405823129418224</v>
      </c>
      <c r="F195" s="42">
        <v>0.44374648688535506</v>
      </c>
      <c r="G195" s="43">
        <v>3.3329983137049704</v>
      </c>
      <c r="H195" s="42">
        <v>0.59321879157480728</v>
      </c>
      <c r="I195" s="43">
        <v>1.2721547665436288</v>
      </c>
      <c r="J195" s="42">
        <v>0.98118200198802263</v>
      </c>
      <c r="K195" s="43">
        <v>5.5466597441568621E-2</v>
      </c>
      <c r="L195" s="43">
        <v>606.29366883518321</v>
      </c>
      <c r="M195" s="44">
        <v>316.02452898075086</v>
      </c>
      <c r="N195" s="44">
        <v>567.57278911772778</v>
      </c>
      <c r="O195" s="45" t="s">
        <v>5074</v>
      </c>
      <c r="P195" s="46">
        <v>4</v>
      </c>
      <c r="Q195" s="43">
        <v>606.29366883518321</v>
      </c>
      <c r="R195" s="43">
        <v>609.62666714888815</v>
      </c>
      <c r="S195" s="47">
        <v>0</v>
      </c>
      <c r="T195" s="48">
        <v>615.76276953430465</v>
      </c>
      <c r="U195" s="48">
        <v>605.67786328943805</v>
      </c>
      <c r="V195" s="48">
        <v>600.76596165758815</v>
      </c>
      <c r="W195" s="48">
        <v>609.62666714888815</v>
      </c>
    </row>
    <row r="196" spans="1:23" ht="13.2" x14ac:dyDescent="0.25">
      <c r="A196" s="41">
        <v>194</v>
      </c>
      <c r="B196" s="42">
        <v>0.44399505920894217</v>
      </c>
      <c r="C196" s="14" t="s">
        <v>5077</v>
      </c>
      <c r="D196" s="42">
        <v>0.34806571032296202</v>
      </c>
      <c r="E196" s="43">
        <v>43.132591392906662</v>
      </c>
      <c r="F196" s="42">
        <v>0.54861127424454836</v>
      </c>
      <c r="G196" s="43">
        <v>3.3833334116373832</v>
      </c>
      <c r="H196" s="42">
        <v>0.6533978528591794</v>
      </c>
      <c r="I196" s="43">
        <v>1.3050684031210351</v>
      </c>
      <c r="J196" s="42">
        <v>0.53316637153419033</v>
      </c>
      <c r="K196" s="43">
        <v>1.8362679176852661</v>
      </c>
      <c r="L196" s="43">
        <v>608.1299367528685</v>
      </c>
      <c r="M196" s="44">
        <v>300.20283609463036</v>
      </c>
      <c r="N196" s="44">
        <v>539.15739241133326</v>
      </c>
      <c r="O196" s="45" t="s">
        <v>5074</v>
      </c>
      <c r="P196" s="46">
        <v>3</v>
      </c>
      <c r="Q196" s="43">
        <v>608.1299367528685</v>
      </c>
      <c r="R196" s="43">
        <v>611.51327016450591</v>
      </c>
      <c r="S196" s="47">
        <v>0</v>
      </c>
      <c r="T196" s="48">
        <v>615.76276953430465</v>
      </c>
      <c r="U196" s="48">
        <v>605.67786328943805</v>
      </c>
      <c r="V196" s="48">
        <v>611.51327016450591</v>
      </c>
      <c r="W196" s="48">
        <v>609.62666714888815</v>
      </c>
    </row>
    <row r="197" spans="1:23" ht="13.2" x14ac:dyDescent="0.25">
      <c r="A197" s="41">
        <v>195</v>
      </c>
      <c r="B197" s="42">
        <v>0.22671389404065623</v>
      </c>
      <c r="C197" s="14" t="s">
        <v>5073</v>
      </c>
      <c r="D197" s="42">
        <v>0.41661396921454646</v>
      </c>
      <c r="E197" s="43">
        <v>329.99367630574557</v>
      </c>
      <c r="F197" s="42">
        <v>0.8392427888881614</v>
      </c>
      <c r="G197" s="43">
        <v>11.006829929219945</v>
      </c>
      <c r="H197" s="42">
        <v>7.5310012826374742E-2</v>
      </c>
      <c r="I197" s="43">
        <v>2.8361026915089527</v>
      </c>
      <c r="J197" s="42">
        <v>0.87123576731944263</v>
      </c>
      <c r="K197" s="43">
        <v>0.40246030064995436</v>
      </c>
      <c r="L197" s="43">
        <v>608.53239705351848</v>
      </c>
      <c r="M197" s="44">
        <v>2296.7559870879891</v>
      </c>
      <c r="N197" s="44">
        <v>4124.9209538218192</v>
      </c>
      <c r="O197" s="45" t="s">
        <v>5074</v>
      </c>
      <c r="P197" s="46">
        <v>2</v>
      </c>
      <c r="Q197" s="43">
        <v>608.53239705351848</v>
      </c>
      <c r="R197" s="43">
        <v>619.53922698273846</v>
      </c>
      <c r="S197" s="47">
        <v>0</v>
      </c>
      <c r="T197" s="48">
        <v>615.76276953430465</v>
      </c>
      <c r="U197" s="48">
        <v>619.53922698273846</v>
      </c>
      <c r="V197" s="48">
        <v>611.51327016450591</v>
      </c>
      <c r="W197" s="48">
        <v>609.62666714888815</v>
      </c>
    </row>
    <row r="198" spans="1:23" ht="13.2" x14ac:dyDescent="0.25">
      <c r="A198" s="41">
        <v>196</v>
      </c>
      <c r="B198" s="42">
        <v>0.18773334109584491</v>
      </c>
      <c r="C198" s="14" t="s">
        <v>5073</v>
      </c>
      <c r="D198" s="42">
        <v>0.31172350715460417</v>
      </c>
      <c r="E198" s="43">
        <v>317.40682085855252</v>
      </c>
      <c r="F198" s="42">
        <v>4.2882463449091864E-2</v>
      </c>
      <c r="G198" s="43">
        <v>8.514222110595659</v>
      </c>
      <c r="H198" s="42">
        <v>0.40460854554763459</v>
      </c>
      <c r="I198" s="43">
        <v>3.2790460951198277</v>
      </c>
      <c r="J198" s="42">
        <v>0.5114136224200081</v>
      </c>
      <c r="K198" s="43">
        <v>1.9578878218245797</v>
      </c>
      <c r="L198" s="43">
        <v>610.49028487534304</v>
      </c>
      <c r="M198" s="44">
        <v>2209.1514731755256</v>
      </c>
      <c r="N198" s="44">
        <v>3967.5852607319066</v>
      </c>
      <c r="O198" s="45" t="s">
        <v>5074</v>
      </c>
      <c r="P198" s="46">
        <v>4</v>
      </c>
      <c r="Q198" s="43">
        <v>610.49028487534304</v>
      </c>
      <c r="R198" s="43">
        <v>619.00450698593875</v>
      </c>
      <c r="S198" s="47">
        <v>0</v>
      </c>
      <c r="T198" s="48">
        <v>615.76276953430465</v>
      </c>
      <c r="U198" s="48">
        <v>619.53922698273846</v>
      </c>
      <c r="V198" s="48">
        <v>611.51327016450591</v>
      </c>
      <c r="W198" s="48">
        <v>619.00450698593875</v>
      </c>
    </row>
    <row r="199" spans="1:23" ht="13.2" x14ac:dyDescent="0.25">
      <c r="A199" s="41">
        <v>197</v>
      </c>
      <c r="B199" s="42">
        <v>0.23199460992216814</v>
      </c>
      <c r="C199" s="14" t="s">
        <v>5073</v>
      </c>
      <c r="D199" s="42">
        <v>0.30021664281385796</v>
      </c>
      <c r="E199" s="43">
        <v>316.02599713766296</v>
      </c>
      <c r="F199" s="42">
        <v>0.57951568280324139</v>
      </c>
      <c r="G199" s="43">
        <v>10.193884087174146</v>
      </c>
      <c r="H199" s="42">
        <v>0.81405401128067356</v>
      </c>
      <c r="I199" s="43">
        <v>3.6265572446284509</v>
      </c>
      <c r="J199" s="42">
        <v>0.72526290906838276</v>
      </c>
      <c r="K199" s="43">
        <v>0.93787169829261197</v>
      </c>
      <c r="L199" s="43">
        <v>611.42815657363565</v>
      </c>
      <c r="M199" s="44">
        <v>2199.8496093877211</v>
      </c>
      <c r="N199" s="44">
        <v>3950.324964220787</v>
      </c>
      <c r="O199" s="45" t="s">
        <v>5074</v>
      </c>
      <c r="P199" s="46">
        <v>3</v>
      </c>
      <c r="Q199" s="43">
        <v>611.51327016450591</v>
      </c>
      <c r="R199" s="43">
        <v>621.70715425168009</v>
      </c>
      <c r="S199" s="43">
        <v>8.5113590870264488E-2</v>
      </c>
      <c r="T199" s="48">
        <v>615.76276953430465</v>
      </c>
      <c r="U199" s="48">
        <v>619.53922698273846</v>
      </c>
      <c r="V199" s="48">
        <v>621.70715425168009</v>
      </c>
      <c r="W199" s="48">
        <v>619.00450698593875</v>
      </c>
    </row>
    <row r="200" spans="1:23" ht="13.2" x14ac:dyDescent="0.25">
      <c r="A200" s="41">
        <v>198</v>
      </c>
      <c r="B200" s="42">
        <v>0.715852995736456</v>
      </c>
      <c r="C200" s="14" t="s">
        <v>5079</v>
      </c>
      <c r="D200" s="42">
        <v>0.67986417034634583</v>
      </c>
      <c r="E200" s="43">
        <v>9.0395925110390376</v>
      </c>
      <c r="F200" s="42">
        <v>0.38028169720446769</v>
      </c>
      <c r="G200" s="43">
        <v>1.4818309866924915</v>
      </c>
      <c r="H200" s="42">
        <v>0.86417521250628648</v>
      </c>
      <c r="I200" s="43">
        <v>0.55726346605000865</v>
      </c>
      <c r="J200" s="42">
        <v>0.71773297233401467</v>
      </c>
      <c r="K200" s="43">
        <v>0.96834360272975761</v>
      </c>
      <c r="L200" s="43">
        <v>612.39650017636541</v>
      </c>
      <c r="M200" s="44">
        <v>64.79146280689487</v>
      </c>
      <c r="N200" s="44">
        <v>112.99490638798797</v>
      </c>
      <c r="O200" s="45" t="s">
        <v>5074</v>
      </c>
      <c r="P200" s="46">
        <v>1</v>
      </c>
      <c r="Q200" s="43">
        <v>615.76276953430465</v>
      </c>
      <c r="R200" s="43">
        <v>617.2446005209971</v>
      </c>
      <c r="S200" s="43">
        <v>3.3662693579392453</v>
      </c>
      <c r="T200" s="48">
        <v>617.2446005209971</v>
      </c>
      <c r="U200" s="48">
        <v>619.53922698273846</v>
      </c>
      <c r="V200" s="48">
        <v>621.70715425168009</v>
      </c>
      <c r="W200" s="48">
        <v>619.00450698593875</v>
      </c>
    </row>
    <row r="201" spans="1:23" ht="13.2" x14ac:dyDescent="0.25">
      <c r="A201" s="41">
        <v>199</v>
      </c>
      <c r="B201" s="42">
        <v>0.94791022173497375</v>
      </c>
      <c r="C201" s="14" t="s">
        <v>5080</v>
      </c>
      <c r="D201" s="42">
        <v>0.73396935301552035</v>
      </c>
      <c r="E201" s="43">
        <v>103.34923382538801</v>
      </c>
      <c r="F201" s="42">
        <v>0.809464104850527</v>
      </c>
      <c r="G201" s="43">
        <v>4.647110616619285</v>
      </c>
      <c r="H201" s="42">
        <v>0.71126226927678204</v>
      </c>
      <c r="I201" s="43">
        <v>2.2790784263862038</v>
      </c>
      <c r="J201" s="42">
        <v>0.30090388157447051</v>
      </c>
      <c r="K201" s="43">
        <v>3.5064653884596133</v>
      </c>
      <c r="L201" s="43">
        <v>615.90296556482497</v>
      </c>
      <c r="M201" s="44">
        <v>722.36835870939808</v>
      </c>
      <c r="N201" s="44">
        <v>1291.8654228173502</v>
      </c>
      <c r="O201" s="45" t="s">
        <v>5074</v>
      </c>
      <c r="P201" s="46">
        <v>1</v>
      </c>
      <c r="Q201" s="43">
        <v>617.2446005209971</v>
      </c>
      <c r="R201" s="43">
        <v>621.89171113761643</v>
      </c>
      <c r="S201" s="43">
        <v>1.341634956172129</v>
      </c>
      <c r="T201" s="48">
        <v>621.89171113761643</v>
      </c>
      <c r="U201" s="48">
        <v>619.53922698273846</v>
      </c>
      <c r="V201" s="48">
        <v>621.70715425168009</v>
      </c>
      <c r="W201" s="48">
        <v>619.00450698593875</v>
      </c>
    </row>
    <row r="202" spans="1:23" ht="13.2" x14ac:dyDescent="0.25">
      <c r="A202" s="41">
        <v>200</v>
      </c>
      <c r="B202" s="42">
        <v>0.50561369140893864</v>
      </c>
      <c r="C202" s="14" t="s">
        <v>5076</v>
      </c>
      <c r="D202" s="42">
        <v>0.1018284094062766</v>
      </c>
      <c r="E202" s="43">
        <v>36.018284094062764</v>
      </c>
      <c r="F202" s="42">
        <v>0.40530292848372035</v>
      </c>
      <c r="G202" s="43">
        <v>3.2264393471025112</v>
      </c>
      <c r="H202" s="42">
        <v>0.32917031055743357</v>
      </c>
      <c r="I202" s="43">
        <v>0.76291779174689012</v>
      </c>
      <c r="J202" s="42">
        <v>0.6833165579863435</v>
      </c>
      <c r="K202" s="43">
        <v>1.111816190094626</v>
      </c>
      <c r="L202" s="43">
        <v>617.01478175491957</v>
      </c>
      <c r="M202" s="44">
        <v>252.20525407410906</v>
      </c>
      <c r="N202" s="44">
        <v>450.22855117578456</v>
      </c>
      <c r="O202" s="45" t="s">
        <v>5074</v>
      </c>
      <c r="P202" s="46">
        <v>4</v>
      </c>
      <c r="Q202" s="43">
        <v>619.00450698593875</v>
      </c>
      <c r="R202" s="43">
        <v>622.23094633304129</v>
      </c>
      <c r="S202" s="43">
        <v>1.9897252310191789</v>
      </c>
      <c r="T202" s="48">
        <v>621.89171113761643</v>
      </c>
      <c r="U202" s="48">
        <v>619.53922698273846</v>
      </c>
      <c r="V202" s="48">
        <v>621.70715425168009</v>
      </c>
      <c r="W202" s="48">
        <v>622.23094633304129</v>
      </c>
    </row>
    <row r="203" spans="1:23" ht="13.2" x14ac:dyDescent="0.25">
      <c r="A203" s="41">
        <v>201</v>
      </c>
      <c r="B203" s="42">
        <v>0.96581816438856449</v>
      </c>
      <c r="C203" s="14" t="s">
        <v>5080</v>
      </c>
      <c r="D203" s="42">
        <v>0.95221482121954426</v>
      </c>
      <c r="E203" s="43">
        <v>108.8053705304886</v>
      </c>
      <c r="F203" s="42">
        <v>0.84742640789944046</v>
      </c>
      <c r="G203" s="43">
        <v>4.6676102602656977</v>
      </c>
      <c r="H203" s="42">
        <v>0.91374476203403654</v>
      </c>
      <c r="I203" s="43">
        <v>2.6059702697273539</v>
      </c>
      <c r="J203" s="42">
        <v>0.47216065063707563</v>
      </c>
      <c r="K203" s="43">
        <v>2.1910539847801336</v>
      </c>
      <c r="L203" s="43">
        <v>619.20583573969975</v>
      </c>
      <c r="M203" s="44">
        <v>758.15418655974702</v>
      </c>
      <c r="N203" s="44">
        <v>1360.0671316311075</v>
      </c>
      <c r="O203" s="45" t="s">
        <v>5074</v>
      </c>
      <c r="P203" s="46">
        <v>2</v>
      </c>
      <c r="Q203" s="43">
        <v>619.53922698273846</v>
      </c>
      <c r="R203" s="43">
        <v>624.2068372430042</v>
      </c>
      <c r="S203" s="43">
        <v>0.33339124303870449</v>
      </c>
      <c r="T203" s="48">
        <v>621.89171113761643</v>
      </c>
      <c r="U203" s="48">
        <v>624.2068372430042</v>
      </c>
      <c r="V203" s="48">
        <v>621.70715425168009</v>
      </c>
      <c r="W203" s="48">
        <v>622.23094633304129</v>
      </c>
    </row>
    <row r="204" spans="1:23" ht="13.2" x14ac:dyDescent="0.25">
      <c r="A204" s="41">
        <v>202</v>
      </c>
      <c r="B204" s="42">
        <v>0.67913762418513079</v>
      </c>
      <c r="C204" s="14" t="s">
        <v>5079</v>
      </c>
      <c r="D204" s="42">
        <v>2.6032700681142835E-2</v>
      </c>
      <c r="E204" s="43">
        <v>7.0780981020434286</v>
      </c>
      <c r="F204" s="42">
        <v>0.55323722518665586</v>
      </c>
      <c r="G204" s="43">
        <v>1.5008560947705321</v>
      </c>
      <c r="H204" s="42">
        <v>0.66438976426813279</v>
      </c>
      <c r="I204" s="43">
        <v>0.47563080568005756</v>
      </c>
      <c r="J204" s="42">
        <v>0.84450435957149805</v>
      </c>
      <c r="K204" s="43">
        <v>0.49344636623875754</v>
      </c>
      <c r="L204" s="43">
        <v>619.69928210593855</v>
      </c>
      <c r="M204" s="44">
        <v>50.218568636603855</v>
      </c>
      <c r="N204" s="44">
        <v>88.476226275542857</v>
      </c>
      <c r="O204" s="45" t="s">
        <v>5074</v>
      </c>
      <c r="P204" s="46">
        <v>3</v>
      </c>
      <c r="Q204" s="43">
        <v>621.70715425168009</v>
      </c>
      <c r="R204" s="43">
        <v>623.20801034645058</v>
      </c>
      <c r="S204" s="43">
        <v>2.007872145741544</v>
      </c>
      <c r="T204" s="48">
        <v>621.89171113761643</v>
      </c>
      <c r="U204" s="48">
        <v>624.2068372430042</v>
      </c>
      <c r="V204" s="48">
        <v>623.20801034645058</v>
      </c>
      <c r="W204" s="48">
        <v>622.23094633304129</v>
      </c>
    </row>
    <row r="205" spans="1:23" ht="13.2" x14ac:dyDescent="0.25">
      <c r="A205" s="41">
        <v>203</v>
      </c>
      <c r="B205" s="42">
        <v>9.1251693708473677E-2</v>
      </c>
      <c r="C205" s="14" t="s">
        <v>5073</v>
      </c>
      <c r="D205" s="42">
        <v>0.1976060430508135</v>
      </c>
      <c r="E205" s="43">
        <v>303.71272516609764</v>
      </c>
      <c r="F205" s="42">
        <v>0.67094510126437301</v>
      </c>
      <c r="G205" s="43">
        <v>10.480058166957487</v>
      </c>
      <c r="H205" s="42">
        <v>0.36681802634467281</v>
      </c>
      <c r="I205" s="43">
        <v>3.2417729029271758</v>
      </c>
      <c r="J205" s="42">
        <v>0.24743731238294267</v>
      </c>
      <c r="K205" s="43">
        <v>4.0776584302372747</v>
      </c>
      <c r="L205" s="43">
        <v>623.77694053617586</v>
      </c>
      <c r="M205" s="44">
        <v>2113.8405671560395</v>
      </c>
      <c r="N205" s="44">
        <v>3796.4090645762203</v>
      </c>
      <c r="O205" s="45" t="s">
        <v>5074</v>
      </c>
      <c r="P205" s="46">
        <v>1</v>
      </c>
      <c r="Q205" s="43">
        <v>623.77694053617586</v>
      </c>
      <c r="R205" s="43">
        <v>634.25699870313338</v>
      </c>
      <c r="S205" s="47">
        <v>0</v>
      </c>
      <c r="T205" s="48">
        <v>634.25699870313338</v>
      </c>
      <c r="U205" s="48">
        <v>624.2068372430042</v>
      </c>
      <c r="V205" s="48">
        <v>623.20801034645058</v>
      </c>
      <c r="W205" s="48">
        <v>622.23094633304129</v>
      </c>
    </row>
    <row r="206" spans="1:23" ht="13.2" x14ac:dyDescent="0.25">
      <c r="A206" s="41">
        <v>204</v>
      </c>
      <c r="B206" s="42">
        <v>6.4530163567760104E-2</v>
      </c>
      <c r="C206" s="14" t="s">
        <v>5073</v>
      </c>
      <c r="D206" s="42">
        <v>0.54264857179608594</v>
      </c>
      <c r="E206" s="43">
        <v>345.1178286155303</v>
      </c>
      <c r="F206" s="42">
        <v>0.58610482587763335</v>
      </c>
      <c r="G206" s="43">
        <v>10.214508104996993</v>
      </c>
      <c r="H206" s="42">
        <v>0.60742991352799813</v>
      </c>
      <c r="I206" s="43">
        <v>3.4545390878806366</v>
      </c>
      <c r="J206" s="42">
        <v>0.74895113694898374</v>
      </c>
      <c r="K206" s="43">
        <v>0.84403367974103016</v>
      </c>
      <c r="L206" s="43">
        <v>624.62097421591693</v>
      </c>
      <c r="M206" s="44">
        <v>2402.0200871640909</v>
      </c>
      <c r="N206" s="44">
        <v>4313.9728576941288</v>
      </c>
      <c r="O206" s="45" t="s">
        <v>5074</v>
      </c>
      <c r="P206" s="46">
        <v>4</v>
      </c>
      <c r="Q206" s="43">
        <v>624.62097421591693</v>
      </c>
      <c r="R206" s="43">
        <v>634.83548232091391</v>
      </c>
      <c r="S206" s="47">
        <v>0</v>
      </c>
      <c r="T206" s="48">
        <v>634.25699870313338</v>
      </c>
      <c r="U206" s="48">
        <v>624.2068372430042</v>
      </c>
      <c r="V206" s="48">
        <v>623.20801034645058</v>
      </c>
      <c r="W206" s="48">
        <v>634.83548232091391</v>
      </c>
    </row>
    <row r="207" spans="1:23" ht="13.2" x14ac:dyDescent="0.25">
      <c r="A207" s="41">
        <v>205</v>
      </c>
      <c r="B207" s="42">
        <v>0.36336595302604419</v>
      </c>
      <c r="C207" s="14" t="s">
        <v>5077</v>
      </c>
      <c r="D207" s="42">
        <v>0.18509662206522032</v>
      </c>
      <c r="E207" s="43">
        <v>41.66586959858698</v>
      </c>
      <c r="F207" s="42">
        <v>0.4269790567583307</v>
      </c>
      <c r="G207" s="43">
        <v>3.3249499472439989</v>
      </c>
      <c r="H207" s="42">
        <v>0.78658660631002231</v>
      </c>
      <c r="I207" s="43">
        <v>1.3901031991767421</v>
      </c>
      <c r="J207" s="42">
        <v>0.54300413585407847</v>
      </c>
      <c r="K207" s="43">
        <v>1.7828856712497243</v>
      </c>
      <c r="L207" s="43">
        <v>626.40385988716662</v>
      </c>
      <c r="M207" s="44">
        <v>289.99445240616535</v>
      </c>
      <c r="N207" s="44">
        <v>520.82336998233723</v>
      </c>
      <c r="O207" s="45" t="s">
        <v>5074</v>
      </c>
      <c r="P207" s="46">
        <v>3</v>
      </c>
      <c r="Q207" s="43">
        <v>626.40385988716662</v>
      </c>
      <c r="R207" s="43">
        <v>629.72880983441064</v>
      </c>
      <c r="S207" s="47">
        <v>0</v>
      </c>
      <c r="T207" s="48">
        <v>634.25699870313338</v>
      </c>
      <c r="U207" s="48">
        <v>624.2068372430042</v>
      </c>
      <c r="V207" s="48">
        <v>629.72880983441064</v>
      </c>
      <c r="W207" s="48">
        <v>634.83548232091391</v>
      </c>
    </row>
    <row r="208" spans="1:23" ht="13.2" x14ac:dyDescent="0.25">
      <c r="A208" s="41">
        <v>206</v>
      </c>
      <c r="B208" s="42">
        <v>0.43136845595732726</v>
      </c>
      <c r="C208" s="14" t="s">
        <v>5077</v>
      </c>
      <c r="D208" s="42">
        <v>5.128831605021298E-2</v>
      </c>
      <c r="E208" s="43">
        <v>40.461594844451916</v>
      </c>
      <c r="F208" s="42">
        <v>0.15640942666512422</v>
      </c>
      <c r="G208" s="43">
        <v>3.1950765247992599</v>
      </c>
      <c r="H208" s="42">
        <v>0.87305571179513619</v>
      </c>
      <c r="I208" s="43">
        <v>1.4609917790280245</v>
      </c>
      <c r="J208" s="42">
        <v>0.53081174498927397</v>
      </c>
      <c r="K208" s="43">
        <v>1.8491908023677175</v>
      </c>
      <c r="L208" s="43">
        <v>628.25305068953435</v>
      </c>
      <c r="M208" s="44">
        <v>281.61270011738532</v>
      </c>
      <c r="N208" s="44">
        <v>505.76993555564894</v>
      </c>
      <c r="O208" s="45" t="s">
        <v>5074</v>
      </c>
      <c r="P208" s="46">
        <v>2</v>
      </c>
      <c r="Q208" s="43">
        <v>628.25305068953435</v>
      </c>
      <c r="R208" s="43">
        <v>631.44812721433357</v>
      </c>
      <c r="S208" s="47">
        <v>0</v>
      </c>
      <c r="T208" s="48">
        <v>634.25699870313338</v>
      </c>
      <c r="U208" s="48">
        <v>631.44812721433357</v>
      </c>
      <c r="V208" s="48">
        <v>629.72880983441064</v>
      </c>
      <c r="W208" s="48">
        <v>634.83548232091391</v>
      </c>
    </row>
    <row r="209" spans="1:23" ht="13.2" x14ac:dyDescent="0.25">
      <c r="A209" s="41">
        <v>207</v>
      </c>
      <c r="B209" s="42">
        <v>0.89196421713194074</v>
      </c>
      <c r="C209" s="14" t="s">
        <v>5075</v>
      </c>
      <c r="D209" s="42">
        <v>0.21065748958413372</v>
      </c>
      <c r="E209" s="43">
        <v>294.74602427088934</v>
      </c>
      <c r="F209" s="42">
        <v>0.12998597609344217</v>
      </c>
      <c r="G209" s="43">
        <v>8.6086720924259499</v>
      </c>
      <c r="H209" s="42">
        <v>0.37899288273369564</v>
      </c>
      <c r="I209" s="43">
        <v>2.3706237795209772</v>
      </c>
      <c r="J209" s="42">
        <v>0.60026825061080435</v>
      </c>
      <c r="K209" s="43">
        <v>1.490156611173957</v>
      </c>
      <c r="L209" s="43">
        <v>629.74320730070826</v>
      </c>
      <c r="M209" s="44">
        <v>2051.4323289253898</v>
      </c>
      <c r="N209" s="44">
        <v>3684.3253033861165</v>
      </c>
      <c r="O209" s="45" t="s">
        <v>5074</v>
      </c>
      <c r="P209" s="46">
        <v>3</v>
      </c>
      <c r="Q209" s="43">
        <v>629.74320730070826</v>
      </c>
      <c r="R209" s="43">
        <v>638.35187939313425</v>
      </c>
      <c r="S209" s="47">
        <v>0</v>
      </c>
      <c r="T209" s="48">
        <v>634.25699870313338</v>
      </c>
      <c r="U209" s="48">
        <v>631.44812721433357</v>
      </c>
      <c r="V209" s="48">
        <v>638.35187939313425</v>
      </c>
      <c r="W209" s="48">
        <v>634.83548232091391</v>
      </c>
    </row>
    <row r="210" spans="1:23" ht="13.2" x14ac:dyDescent="0.25">
      <c r="A210" s="41">
        <v>208</v>
      </c>
      <c r="B210" s="42">
        <v>0.98198389493952687</v>
      </c>
      <c r="C210" s="14" t="s">
        <v>5080</v>
      </c>
      <c r="D210" s="42">
        <v>0.21486016186646192</v>
      </c>
      <c r="E210" s="43">
        <v>90.371504046661542</v>
      </c>
      <c r="F210" s="42">
        <v>0.58306671845869473</v>
      </c>
      <c r="G210" s="43">
        <v>4.5248560279676955</v>
      </c>
      <c r="H210" s="42">
        <v>0.60167840477157308</v>
      </c>
      <c r="I210" s="43">
        <v>2.1532539510507482</v>
      </c>
      <c r="J210" s="42">
        <v>0.21883834862096158</v>
      </c>
      <c r="K210" s="43">
        <v>4.4362684842967548</v>
      </c>
      <c r="L210" s="43">
        <v>634.17947578500502</v>
      </c>
      <c r="M210" s="44">
        <v>628.98566816476432</v>
      </c>
      <c r="N210" s="44">
        <v>1129.6438005832692</v>
      </c>
      <c r="O210" s="45" t="s">
        <v>5074</v>
      </c>
      <c r="P210" s="46">
        <v>2</v>
      </c>
      <c r="Q210" s="43">
        <v>634.17947578500502</v>
      </c>
      <c r="R210" s="43">
        <v>638.70433181297267</v>
      </c>
      <c r="S210" s="47">
        <v>0</v>
      </c>
      <c r="T210" s="48">
        <v>634.25699870313338</v>
      </c>
      <c r="U210" s="48">
        <v>638.70433181297267</v>
      </c>
      <c r="V210" s="48">
        <v>638.35187939313425</v>
      </c>
      <c r="W210" s="48">
        <v>634.83548232091391</v>
      </c>
    </row>
    <row r="211" spans="1:23" ht="13.2" x14ac:dyDescent="0.25">
      <c r="A211" s="41">
        <v>209</v>
      </c>
      <c r="B211" s="42">
        <v>0.37437425198702806</v>
      </c>
      <c r="C211" s="14" t="s">
        <v>5077</v>
      </c>
      <c r="D211" s="42">
        <v>0.77392465377874886</v>
      </c>
      <c r="E211" s="43">
        <v>46.965321884008738</v>
      </c>
      <c r="F211" s="42">
        <v>0.4064670179069354</v>
      </c>
      <c r="G211" s="43">
        <v>3.3151041685953291</v>
      </c>
      <c r="H211" s="42">
        <v>0.98511748760245621</v>
      </c>
      <c r="I211" s="43">
        <v>1.6181640019374437</v>
      </c>
      <c r="J211" s="42">
        <v>0.15818742437203762</v>
      </c>
      <c r="K211" s="43">
        <v>5.3838677920220261</v>
      </c>
      <c r="L211" s="43">
        <v>639.56334357702701</v>
      </c>
      <c r="M211" s="44">
        <v>326.87864031270084</v>
      </c>
      <c r="N211" s="44">
        <v>587.0665235501092</v>
      </c>
      <c r="O211" s="45" t="s">
        <v>5074</v>
      </c>
      <c r="P211" s="46">
        <v>1</v>
      </c>
      <c r="Q211" s="43">
        <v>639.56334357702701</v>
      </c>
      <c r="R211" s="43">
        <v>642.87844774562234</v>
      </c>
      <c r="S211" s="47">
        <v>0</v>
      </c>
      <c r="T211" s="48">
        <v>642.87844774562234</v>
      </c>
      <c r="U211" s="48">
        <v>638.70433181297267</v>
      </c>
      <c r="V211" s="48">
        <v>638.35187939313425</v>
      </c>
      <c r="W211" s="48">
        <v>634.83548232091391</v>
      </c>
    </row>
    <row r="212" spans="1:23" ht="13.2" x14ac:dyDescent="0.25">
      <c r="A212" s="41">
        <v>210</v>
      </c>
      <c r="B212" s="42">
        <v>0.39468881180262605</v>
      </c>
      <c r="C212" s="14" t="s">
        <v>5077</v>
      </c>
      <c r="D212" s="42">
        <v>0.86660171200828706</v>
      </c>
      <c r="E212" s="43">
        <v>47.79941540807458</v>
      </c>
      <c r="F212" s="42">
        <v>0.68681653993521652</v>
      </c>
      <c r="G212" s="43">
        <v>3.4496719391689039</v>
      </c>
      <c r="H212" s="42">
        <v>0.77327161225176955</v>
      </c>
      <c r="I212" s="43">
        <v>1.3805821318606242</v>
      </c>
      <c r="J212" s="42">
        <v>0.4025193226535429</v>
      </c>
      <c r="K212" s="43">
        <v>2.6569698589288917</v>
      </c>
      <c r="L212" s="43">
        <v>642.22031343595586</v>
      </c>
      <c r="M212" s="44">
        <v>332.68393124019906</v>
      </c>
      <c r="N212" s="44">
        <v>597.49269260093229</v>
      </c>
      <c r="O212" s="45" t="s">
        <v>5074</v>
      </c>
      <c r="P212" s="46">
        <v>4</v>
      </c>
      <c r="Q212" s="43">
        <v>642.22031343595586</v>
      </c>
      <c r="R212" s="43">
        <v>645.66998537512472</v>
      </c>
      <c r="S212" s="47">
        <v>0</v>
      </c>
      <c r="T212" s="48">
        <v>642.87844774562234</v>
      </c>
      <c r="U212" s="48">
        <v>638.70433181297267</v>
      </c>
      <c r="V212" s="48">
        <v>638.35187939313425</v>
      </c>
      <c r="W212" s="48">
        <v>645.66998537512472</v>
      </c>
    </row>
    <row r="213" spans="1:23" ht="13.2" x14ac:dyDescent="0.25">
      <c r="A213" s="41">
        <v>211</v>
      </c>
      <c r="B213" s="42">
        <v>0.94767583438552727</v>
      </c>
      <c r="C213" s="14" t="s">
        <v>5080</v>
      </c>
      <c r="D213" s="42">
        <v>0.59036651560588116</v>
      </c>
      <c r="E213" s="43">
        <v>99.759162890147024</v>
      </c>
      <c r="F213" s="42">
        <v>0.29652482517833118</v>
      </c>
      <c r="G213" s="43">
        <v>4.3701234055962992</v>
      </c>
      <c r="H213" s="42">
        <v>0.45676590756362578</v>
      </c>
      <c r="I213" s="43">
        <v>2.011151494724559</v>
      </c>
      <c r="J213" s="42">
        <v>0.74442329012994812</v>
      </c>
      <c r="K213" s="43">
        <v>0.86173859149314269</v>
      </c>
      <c r="L213" s="43">
        <v>643.08205202744898</v>
      </c>
      <c r="M213" s="44">
        <v>694.32377371542327</v>
      </c>
      <c r="N213" s="44">
        <v>1246.9895361268377</v>
      </c>
      <c r="O213" s="45" t="s">
        <v>5074</v>
      </c>
      <c r="P213" s="46">
        <v>3</v>
      </c>
      <c r="Q213" s="43">
        <v>643.08205202744898</v>
      </c>
      <c r="R213" s="43">
        <v>647.45217543304523</v>
      </c>
      <c r="S213" s="47">
        <v>0</v>
      </c>
      <c r="T213" s="48">
        <v>642.87844774562234</v>
      </c>
      <c r="U213" s="48">
        <v>638.70433181297267</v>
      </c>
      <c r="V213" s="48">
        <v>647.45217543304523</v>
      </c>
      <c r="W213" s="48">
        <v>645.66998537512472</v>
      </c>
    </row>
    <row r="214" spans="1:23" ht="13.2" x14ac:dyDescent="0.25">
      <c r="A214" s="41">
        <v>212</v>
      </c>
      <c r="B214" s="42">
        <v>0.64913949773141155</v>
      </c>
      <c r="C214" s="14" t="s">
        <v>5079</v>
      </c>
      <c r="D214" s="42">
        <v>0.39459732379512735</v>
      </c>
      <c r="E214" s="43">
        <v>8.1837919713853822</v>
      </c>
      <c r="F214" s="42">
        <v>0.58252603029018546</v>
      </c>
      <c r="G214" s="43">
        <v>1.5040778633319205</v>
      </c>
      <c r="H214" s="42">
        <v>0.61270471690814232</v>
      </c>
      <c r="I214" s="43">
        <v>0.45897242385200265</v>
      </c>
      <c r="J214" s="42">
        <v>0.79104747147813792</v>
      </c>
      <c r="K214" s="43">
        <v>0.68437167446528946</v>
      </c>
      <c r="L214" s="43">
        <v>643.76642370191428</v>
      </c>
      <c r="M214" s="44">
        <v>56.95919212084226</v>
      </c>
      <c r="N214" s="44">
        <v>102.29739964231727</v>
      </c>
      <c r="O214" s="45" t="s">
        <v>5074</v>
      </c>
      <c r="P214" s="46">
        <v>2</v>
      </c>
      <c r="Q214" s="43">
        <v>643.76642370191428</v>
      </c>
      <c r="R214" s="43">
        <v>645.27050156524615</v>
      </c>
      <c r="S214" s="47">
        <v>0</v>
      </c>
      <c r="T214" s="48">
        <v>642.87844774562234</v>
      </c>
      <c r="U214" s="48">
        <v>645.27050156524615</v>
      </c>
      <c r="V214" s="48">
        <v>647.45217543304523</v>
      </c>
      <c r="W214" s="48">
        <v>645.66998537512472</v>
      </c>
    </row>
    <row r="215" spans="1:23" ht="13.2" x14ac:dyDescent="0.25">
      <c r="A215" s="41">
        <v>213</v>
      </c>
      <c r="B215" s="42">
        <v>0.76459809335162776</v>
      </c>
      <c r="C215" s="14" t="s">
        <v>5078</v>
      </c>
      <c r="D215" s="42">
        <v>0.11347206407853964</v>
      </c>
      <c r="E215" s="43">
        <v>174.53888256314158</v>
      </c>
      <c r="F215" s="42">
        <v>0.55959627710264004</v>
      </c>
      <c r="G215" s="43">
        <v>5.9292326121634025</v>
      </c>
      <c r="H215" s="42">
        <v>0.46528021780088552</v>
      </c>
      <c r="I215" s="43">
        <v>3.0839494418465563</v>
      </c>
      <c r="J215" s="42">
        <v>2.667096491282385E-2</v>
      </c>
      <c r="K215" s="43">
        <v>10.58154674958906</v>
      </c>
      <c r="L215" s="43">
        <v>654.34797045150333</v>
      </c>
      <c r="M215" s="44">
        <v>1214.7906226394655</v>
      </c>
      <c r="N215" s="44">
        <v>2181.73603203927</v>
      </c>
      <c r="O215" s="45" t="s">
        <v>5074</v>
      </c>
      <c r="P215" s="46">
        <v>1</v>
      </c>
      <c r="Q215" s="43">
        <v>654.34797045150333</v>
      </c>
      <c r="R215" s="43">
        <v>660.27720306366678</v>
      </c>
      <c r="S215" s="47">
        <v>0</v>
      </c>
      <c r="T215" s="48">
        <v>660.27720306366678</v>
      </c>
      <c r="U215" s="48">
        <v>645.27050156524615</v>
      </c>
      <c r="V215" s="48">
        <v>647.45217543304523</v>
      </c>
      <c r="W215" s="48">
        <v>645.66998537512472</v>
      </c>
    </row>
    <row r="216" spans="1:23" ht="13.2" x14ac:dyDescent="0.25">
      <c r="A216" s="41">
        <v>214</v>
      </c>
      <c r="B216" s="42">
        <v>0.96000746402889836</v>
      </c>
      <c r="C216" s="14" t="s">
        <v>5080</v>
      </c>
      <c r="D216" s="42">
        <v>0.89619864797973947</v>
      </c>
      <c r="E216" s="43">
        <v>107.40496619949349</v>
      </c>
      <c r="F216" s="42">
        <v>0.52666442167324223</v>
      </c>
      <c r="G216" s="43">
        <v>4.4943987877035507</v>
      </c>
      <c r="H216" s="42">
        <v>0.56862159938021639</v>
      </c>
      <c r="I216" s="43">
        <v>2.1188183381869488</v>
      </c>
      <c r="J216" s="42">
        <v>0.33984430056989395</v>
      </c>
      <c r="K216" s="43">
        <v>3.1511465861563712</v>
      </c>
      <c r="L216" s="43">
        <v>657.49911703765974</v>
      </c>
      <c r="M216" s="44">
        <v>747.53856474847464</v>
      </c>
      <c r="N216" s="44">
        <v>1342.5620774936685</v>
      </c>
      <c r="O216" s="45" t="s">
        <v>5074</v>
      </c>
      <c r="P216" s="46">
        <v>2</v>
      </c>
      <c r="Q216" s="43">
        <v>657.49911703765974</v>
      </c>
      <c r="R216" s="43">
        <v>661.99351582536326</v>
      </c>
      <c r="S216" s="47">
        <v>0</v>
      </c>
      <c r="T216" s="48">
        <v>660.27720306366678</v>
      </c>
      <c r="U216" s="48">
        <v>661.99351582536326</v>
      </c>
      <c r="V216" s="48">
        <v>647.45217543304523</v>
      </c>
      <c r="W216" s="48">
        <v>645.66998537512472</v>
      </c>
    </row>
    <row r="217" spans="1:23" ht="13.2" x14ac:dyDescent="0.25">
      <c r="A217" s="41">
        <v>215</v>
      </c>
      <c r="B217" s="42">
        <v>0.80654204860634271</v>
      </c>
      <c r="C217" s="14" t="s">
        <v>5078</v>
      </c>
      <c r="D217" s="42">
        <v>0.87559241842273272</v>
      </c>
      <c r="E217" s="43">
        <v>205.0236967369093</v>
      </c>
      <c r="F217" s="42">
        <v>0.94241104505137119</v>
      </c>
      <c r="G217" s="43">
        <v>6.2775940509967478</v>
      </c>
      <c r="H217" s="42">
        <v>0.21690007961210797</v>
      </c>
      <c r="I217" s="43">
        <v>2.7363763976596953</v>
      </c>
      <c r="J217" s="42">
        <v>7.7152289951756728E-2</v>
      </c>
      <c r="K217" s="43">
        <v>7.4802161132904228</v>
      </c>
      <c r="L217" s="43">
        <v>664.9793331509502</v>
      </c>
      <c r="M217" s="44">
        <v>1426.9649292888887</v>
      </c>
      <c r="N217" s="44">
        <v>2562.7962092113662</v>
      </c>
      <c r="O217" s="45" t="s">
        <v>5074</v>
      </c>
      <c r="P217" s="46">
        <v>4</v>
      </c>
      <c r="Q217" s="43">
        <v>664.9793331509502</v>
      </c>
      <c r="R217" s="43">
        <v>671.25692720194695</v>
      </c>
      <c r="S217" s="47">
        <v>0</v>
      </c>
      <c r="T217" s="48">
        <v>660.27720306366678</v>
      </c>
      <c r="U217" s="48">
        <v>661.99351582536326</v>
      </c>
      <c r="V217" s="48">
        <v>647.45217543304523</v>
      </c>
      <c r="W217" s="48">
        <v>671.25692720194695</v>
      </c>
    </row>
    <row r="218" spans="1:23" ht="13.2" x14ac:dyDescent="0.25">
      <c r="A218" s="41">
        <v>216</v>
      </c>
      <c r="B218" s="42">
        <v>0.38756789378242934</v>
      </c>
      <c r="C218" s="14" t="s">
        <v>5077</v>
      </c>
      <c r="D218" s="42">
        <v>0.92053414411867696</v>
      </c>
      <c r="E218" s="43">
        <v>48.284807297068092</v>
      </c>
      <c r="F218" s="42">
        <v>0.56837508667650405</v>
      </c>
      <c r="G218" s="43">
        <v>3.3928200416047218</v>
      </c>
      <c r="H218" s="42">
        <v>1.3286153792071228E-2</v>
      </c>
      <c r="I218" s="43">
        <v>0.86915934763389291</v>
      </c>
      <c r="J218" s="42">
        <v>0.60727669326927358</v>
      </c>
      <c r="K218" s="43">
        <v>1.4562649764627906</v>
      </c>
      <c r="L218" s="43">
        <v>666.43559812741296</v>
      </c>
      <c r="M218" s="44">
        <v>336.06225878759392</v>
      </c>
      <c r="N218" s="44">
        <v>603.56009121335114</v>
      </c>
      <c r="O218" s="45" t="s">
        <v>5074</v>
      </c>
      <c r="P218" s="46">
        <v>3</v>
      </c>
      <c r="Q218" s="43">
        <v>666.43559812741296</v>
      </c>
      <c r="R218" s="43">
        <v>669.82841816901771</v>
      </c>
      <c r="S218" s="47">
        <v>0</v>
      </c>
      <c r="T218" s="48">
        <v>660.27720306366678</v>
      </c>
      <c r="U218" s="48">
        <v>661.99351582536326</v>
      </c>
      <c r="V218" s="48">
        <v>669.82841816901771</v>
      </c>
      <c r="W218" s="48">
        <v>671.25692720194695</v>
      </c>
    </row>
    <row r="219" spans="1:23" ht="13.2" x14ac:dyDescent="0.25">
      <c r="A219" s="41">
        <v>217</v>
      </c>
      <c r="B219" s="42">
        <v>0.70999998352956029</v>
      </c>
      <c r="C219" s="14" t="s">
        <v>5079</v>
      </c>
      <c r="D219" s="42">
        <v>0.19472048720099056</v>
      </c>
      <c r="E219" s="43">
        <v>7.5841614616029718</v>
      </c>
      <c r="F219" s="42">
        <v>0.59109417469757342</v>
      </c>
      <c r="G219" s="43">
        <v>1.5050203592167331</v>
      </c>
      <c r="H219" s="42">
        <v>0.50327442423592994</v>
      </c>
      <c r="I219" s="43">
        <v>0.42703693223329553</v>
      </c>
      <c r="J219" s="42">
        <v>0.33313725717977494</v>
      </c>
      <c r="K219" s="43">
        <v>3.2093450808847321</v>
      </c>
      <c r="L219" s="43">
        <v>669.64494320829772</v>
      </c>
      <c r="M219" s="44">
        <v>52.785763772756681</v>
      </c>
      <c r="N219" s="44">
        <v>94.802018270037152</v>
      </c>
      <c r="O219" s="45" t="s">
        <v>5074</v>
      </c>
      <c r="P219" s="46">
        <v>1</v>
      </c>
      <c r="Q219" s="43">
        <v>669.64494320829772</v>
      </c>
      <c r="R219" s="43">
        <v>671.14996356751442</v>
      </c>
      <c r="S219" s="47">
        <v>0</v>
      </c>
      <c r="T219" s="48">
        <v>671.14996356751442</v>
      </c>
      <c r="U219" s="48">
        <v>661.99351582536326</v>
      </c>
      <c r="V219" s="48">
        <v>669.82841816901771</v>
      </c>
      <c r="W219" s="48">
        <v>671.25692720194695</v>
      </c>
    </row>
    <row r="220" spans="1:23" ht="13.2" x14ac:dyDescent="0.25">
      <c r="A220" s="41">
        <v>218</v>
      </c>
      <c r="B220" s="42">
        <v>0.76514311077312713</v>
      </c>
      <c r="C220" s="14" t="s">
        <v>5078</v>
      </c>
      <c r="D220" s="42">
        <v>0.30859558531483428</v>
      </c>
      <c r="E220" s="43">
        <v>182.34382341259337</v>
      </c>
      <c r="F220" s="42">
        <v>0.53878212046752783</v>
      </c>
      <c r="G220" s="43">
        <v>5.9102917296254507</v>
      </c>
      <c r="H220" s="42">
        <v>0.78120715766270044</v>
      </c>
      <c r="I220" s="43">
        <v>3.5942002656409788</v>
      </c>
      <c r="J220" s="42">
        <v>0.31624445240769744</v>
      </c>
      <c r="K220" s="43">
        <v>3.3612840317900972</v>
      </c>
      <c r="L220" s="43">
        <v>673.00622724008781</v>
      </c>
      <c r="M220" s="44">
        <v>1269.1130109516498</v>
      </c>
      <c r="N220" s="44">
        <v>2279.2977926574172</v>
      </c>
      <c r="O220" s="45" t="s">
        <v>5074</v>
      </c>
      <c r="P220" s="46">
        <v>2</v>
      </c>
      <c r="Q220" s="43">
        <v>673.00622724008781</v>
      </c>
      <c r="R220" s="43">
        <v>678.91651896971325</v>
      </c>
      <c r="S220" s="47">
        <v>0</v>
      </c>
      <c r="T220" s="48">
        <v>671.14996356751442</v>
      </c>
      <c r="U220" s="48">
        <v>678.91651896971325</v>
      </c>
      <c r="V220" s="48">
        <v>669.82841816901771</v>
      </c>
      <c r="W220" s="48">
        <v>671.25692720194695</v>
      </c>
    </row>
    <row r="221" spans="1:23" ht="13.2" x14ac:dyDescent="0.25">
      <c r="A221" s="41">
        <v>219</v>
      </c>
      <c r="B221" s="42">
        <v>0.26927986846737556</v>
      </c>
      <c r="C221" s="14" t="s">
        <v>5077</v>
      </c>
      <c r="D221" s="42">
        <v>0.54519660423751759</v>
      </c>
      <c r="E221" s="43">
        <v>44.906769438137658</v>
      </c>
      <c r="F221" s="42">
        <v>0.84980439993078094</v>
      </c>
      <c r="G221" s="43">
        <v>3.5279061119667752</v>
      </c>
      <c r="H221" s="42">
        <v>0.1409307290524853</v>
      </c>
      <c r="I221" s="43">
        <v>1.0252444504508262</v>
      </c>
      <c r="J221" s="42">
        <v>0.19391203401326762</v>
      </c>
      <c r="K221" s="43">
        <v>4.7893449800639498</v>
      </c>
      <c r="L221" s="43">
        <v>677.79557222015171</v>
      </c>
      <c r="M221" s="44">
        <v>312.55111528943809</v>
      </c>
      <c r="N221" s="44">
        <v>561.33461797672078</v>
      </c>
      <c r="O221" s="45" t="s">
        <v>5074</v>
      </c>
      <c r="P221" s="46">
        <v>3</v>
      </c>
      <c r="Q221" s="43">
        <v>677.79557222015171</v>
      </c>
      <c r="R221" s="43">
        <v>681.3234783321185</v>
      </c>
      <c r="S221" s="47">
        <v>0</v>
      </c>
      <c r="T221" s="48">
        <v>671.14996356751442</v>
      </c>
      <c r="U221" s="48">
        <v>678.91651896971325</v>
      </c>
      <c r="V221" s="48">
        <v>681.3234783321185</v>
      </c>
      <c r="W221" s="48">
        <v>671.25692720194695</v>
      </c>
    </row>
    <row r="222" spans="1:23" ht="13.2" x14ac:dyDescent="0.25">
      <c r="A222" s="41">
        <v>220</v>
      </c>
      <c r="B222" s="42">
        <v>0.90055188019785648</v>
      </c>
      <c r="C222" s="14" t="s">
        <v>5075</v>
      </c>
      <c r="D222" s="42">
        <v>0.59052228303184839</v>
      </c>
      <c r="E222" s="43">
        <v>321.33655981222938</v>
      </c>
      <c r="F222" s="42">
        <v>0.57529953335192963</v>
      </c>
      <c r="G222" s="43">
        <v>9.4948460713703398</v>
      </c>
      <c r="H222" s="42">
        <v>0.92788856659451902</v>
      </c>
      <c r="I222" s="43">
        <v>3.1202331415052624</v>
      </c>
      <c r="J222" s="42">
        <v>0.18844668762220382</v>
      </c>
      <c r="K222" s="43">
        <v>4.872817916443192</v>
      </c>
      <c r="L222" s="43">
        <v>682.66839013659489</v>
      </c>
      <c r="M222" s="44">
        <v>2236.5024562931167</v>
      </c>
      <c r="N222" s="44">
        <v>4016.7069976528674</v>
      </c>
      <c r="O222" s="45" t="s">
        <v>5074</v>
      </c>
      <c r="P222" s="46">
        <v>1</v>
      </c>
      <c r="Q222" s="43">
        <v>682.66839013659489</v>
      </c>
      <c r="R222" s="43">
        <v>692.16323620796527</v>
      </c>
      <c r="S222" s="47">
        <v>0</v>
      </c>
      <c r="T222" s="48">
        <v>692.16323620796527</v>
      </c>
      <c r="U222" s="48">
        <v>678.91651896971325</v>
      </c>
      <c r="V222" s="48">
        <v>681.3234783321185</v>
      </c>
      <c r="W222" s="48">
        <v>671.25692720194695</v>
      </c>
    </row>
    <row r="223" spans="1:23" ht="13.2" x14ac:dyDescent="0.25">
      <c r="A223" s="41">
        <v>221</v>
      </c>
      <c r="B223" s="42">
        <v>0.69485029470867021</v>
      </c>
      <c r="C223" s="14" t="s">
        <v>5079</v>
      </c>
      <c r="D223" s="42">
        <v>0.1589358952636532</v>
      </c>
      <c r="E223" s="43">
        <v>7.47680768579096</v>
      </c>
      <c r="F223" s="42">
        <v>0.24319967825114713</v>
      </c>
      <c r="G223" s="43">
        <v>1.4667519646076261</v>
      </c>
      <c r="H223" s="42">
        <v>0.41657693656933353</v>
      </c>
      <c r="I223" s="43">
        <v>0.404173260987787</v>
      </c>
      <c r="J223" s="42">
        <v>0.19747901577385096</v>
      </c>
      <c r="K223" s="43">
        <v>4.7361254000938269</v>
      </c>
      <c r="L223" s="43">
        <v>687.40451553668868</v>
      </c>
      <c r="M223" s="44">
        <v>52.038581493105085</v>
      </c>
      <c r="N223" s="44">
        <v>93.460096072387003</v>
      </c>
      <c r="O223" s="45" t="s">
        <v>5074</v>
      </c>
      <c r="P223" s="46">
        <v>4</v>
      </c>
      <c r="Q223" s="43">
        <v>687.40451553668868</v>
      </c>
      <c r="R223" s="43">
        <v>688.8712675012963</v>
      </c>
      <c r="S223" s="47">
        <v>0</v>
      </c>
      <c r="T223" s="48">
        <v>692.16323620796527</v>
      </c>
      <c r="U223" s="48">
        <v>678.91651896971325</v>
      </c>
      <c r="V223" s="48">
        <v>681.3234783321185</v>
      </c>
      <c r="W223" s="48">
        <v>688.8712675012963</v>
      </c>
    </row>
    <row r="224" spans="1:23" ht="13.2" x14ac:dyDescent="0.25">
      <c r="A224" s="41">
        <v>222</v>
      </c>
      <c r="B224" s="42">
        <v>0.23086691518820213</v>
      </c>
      <c r="C224" s="14" t="s">
        <v>5073</v>
      </c>
      <c r="D224" s="42">
        <v>0.22413958805805984</v>
      </c>
      <c r="E224" s="43">
        <v>306.89675056696717</v>
      </c>
      <c r="F224" s="42">
        <v>0.41994828796943107</v>
      </c>
      <c r="G224" s="43">
        <v>9.6944381413443192</v>
      </c>
      <c r="H224" s="42">
        <v>0.89616826311506714</v>
      </c>
      <c r="I224" s="43">
        <v>3.7209412200562406</v>
      </c>
      <c r="J224" s="42">
        <v>0.9502975530690968</v>
      </c>
      <c r="K224" s="43">
        <v>0.1488470939322491</v>
      </c>
      <c r="L224" s="43">
        <v>687.55336263062088</v>
      </c>
      <c r="M224" s="44">
        <v>2136.0013839460917</v>
      </c>
      <c r="N224" s="44">
        <v>3836.2093820870896</v>
      </c>
      <c r="O224" s="45" t="s">
        <v>5074</v>
      </c>
      <c r="P224" s="46">
        <v>2</v>
      </c>
      <c r="Q224" s="43">
        <v>687.55336263062088</v>
      </c>
      <c r="R224" s="43">
        <v>697.24780077196522</v>
      </c>
      <c r="S224" s="47">
        <v>0</v>
      </c>
      <c r="T224" s="48">
        <v>692.16323620796527</v>
      </c>
      <c r="U224" s="48">
        <v>697.24780077196522</v>
      </c>
      <c r="V224" s="48">
        <v>681.3234783321185</v>
      </c>
      <c r="W224" s="48">
        <v>688.8712675012963</v>
      </c>
    </row>
    <row r="225" spans="1:23" ht="13.2" x14ac:dyDescent="0.25">
      <c r="A225" s="41">
        <v>223</v>
      </c>
      <c r="B225" s="42">
        <v>0.50665828422953296</v>
      </c>
      <c r="C225" s="14" t="s">
        <v>5076</v>
      </c>
      <c r="D225" s="42">
        <v>0.85269310923884301</v>
      </c>
      <c r="E225" s="43">
        <v>43.52693109238843</v>
      </c>
      <c r="F225" s="42">
        <v>0.46979173108459998</v>
      </c>
      <c r="G225" s="43">
        <v>3.2561041962989159</v>
      </c>
      <c r="H225" s="42">
        <v>0.55331953966679026</v>
      </c>
      <c r="I225" s="43">
        <v>0.84634688055483132</v>
      </c>
      <c r="J225" s="42">
        <v>0.67889981003426936</v>
      </c>
      <c r="K225" s="43">
        <v>1.1307495401126531</v>
      </c>
      <c r="L225" s="43">
        <v>688.68411217073356</v>
      </c>
      <c r="M225" s="44">
        <v>302.94744040302345</v>
      </c>
      <c r="N225" s="44">
        <v>544.08663865485539</v>
      </c>
      <c r="O225" s="45" t="s">
        <v>5074</v>
      </c>
      <c r="P225" s="46">
        <v>3</v>
      </c>
      <c r="Q225" s="43">
        <v>688.68411217073356</v>
      </c>
      <c r="R225" s="43">
        <v>691.94021636703246</v>
      </c>
      <c r="S225" s="47">
        <v>0</v>
      </c>
      <c r="T225" s="48">
        <v>692.16323620796527</v>
      </c>
      <c r="U225" s="48">
        <v>697.24780077196522</v>
      </c>
      <c r="V225" s="48">
        <v>691.94021636703246</v>
      </c>
      <c r="W225" s="48">
        <v>688.8712675012963</v>
      </c>
    </row>
    <row r="226" spans="1:23" ht="13.2" x14ac:dyDescent="0.25">
      <c r="A226" s="41">
        <v>224</v>
      </c>
      <c r="B226" s="42">
        <v>0.17843323814609705</v>
      </c>
      <c r="C226" s="14" t="s">
        <v>5073</v>
      </c>
      <c r="D226" s="42">
        <v>5.7861078091832378E-2</v>
      </c>
      <c r="E226" s="43">
        <v>286.9433293710199</v>
      </c>
      <c r="F226" s="42">
        <v>0.68314675320086382</v>
      </c>
      <c r="G226" s="43">
        <v>10.518249337518704</v>
      </c>
      <c r="H226" s="42">
        <v>0.32150761378999221</v>
      </c>
      <c r="I226" s="43">
        <v>3.1944504450894882</v>
      </c>
      <c r="J226" s="42">
        <v>0.93297973272063761</v>
      </c>
      <c r="K226" s="43">
        <v>0.20254540458690726</v>
      </c>
      <c r="L226" s="43">
        <v>688.88665757532044</v>
      </c>
      <c r="M226" s="44">
        <v>1997.1255724222985</v>
      </c>
      <c r="N226" s="44">
        <v>3586.7916171377487</v>
      </c>
      <c r="O226" s="45" t="s">
        <v>5074</v>
      </c>
      <c r="P226" s="46">
        <v>4</v>
      </c>
      <c r="Q226" s="43">
        <v>688.88665757532044</v>
      </c>
      <c r="R226" s="43">
        <v>699.40490691283912</v>
      </c>
      <c r="S226" s="47">
        <v>0</v>
      </c>
      <c r="T226" s="48">
        <v>692.16323620796527</v>
      </c>
      <c r="U226" s="48">
        <v>697.24780077196522</v>
      </c>
      <c r="V226" s="48">
        <v>691.94021636703246</v>
      </c>
      <c r="W226" s="48">
        <v>699.40490691283912</v>
      </c>
    </row>
    <row r="227" spans="1:23" ht="13.2" x14ac:dyDescent="0.25">
      <c r="A227" s="41">
        <v>225</v>
      </c>
      <c r="B227" s="42">
        <v>0.56174276515922639</v>
      </c>
      <c r="C227" s="14" t="s">
        <v>5076</v>
      </c>
      <c r="D227" s="42">
        <v>0.34831260719723656</v>
      </c>
      <c r="E227" s="43">
        <v>38.483126071972364</v>
      </c>
      <c r="F227" s="42">
        <v>0.51463092608127325</v>
      </c>
      <c r="G227" s="43">
        <v>3.2767302259973858</v>
      </c>
      <c r="H227" s="42">
        <v>0.51437137718981663</v>
      </c>
      <c r="I227" s="43">
        <v>0.83125074320501835</v>
      </c>
      <c r="J227" s="42">
        <v>0.48875282541324983</v>
      </c>
      <c r="K227" s="43">
        <v>2.0902142680367768</v>
      </c>
      <c r="L227" s="43">
        <v>690.97687184335723</v>
      </c>
      <c r="M227" s="44">
        <v>268.64333831219517</v>
      </c>
      <c r="N227" s="44">
        <v>481.03907589965456</v>
      </c>
      <c r="O227" s="45" t="s">
        <v>5074</v>
      </c>
      <c r="P227" s="46">
        <v>3</v>
      </c>
      <c r="Q227" s="43">
        <v>691.94021636703246</v>
      </c>
      <c r="R227" s="43">
        <v>695.21694659302989</v>
      </c>
      <c r="S227" s="43">
        <v>0.96334452367523227</v>
      </c>
      <c r="T227" s="48">
        <v>692.16323620796527</v>
      </c>
      <c r="U227" s="48">
        <v>697.24780077196522</v>
      </c>
      <c r="V227" s="48">
        <v>695.21694659302989</v>
      </c>
      <c r="W227" s="48">
        <v>699.40490691283912</v>
      </c>
    </row>
    <row r="228" spans="1:23" ht="13.2" x14ac:dyDescent="0.25">
      <c r="A228" s="41">
        <v>226</v>
      </c>
      <c r="B228" s="42">
        <v>0.76885693556110235</v>
      </c>
      <c r="C228" s="14" t="s">
        <v>5078</v>
      </c>
      <c r="D228" s="42">
        <v>6.2800789746828747E-2</v>
      </c>
      <c r="E228" s="43">
        <v>172.51203158987315</v>
      </c>
      <c r="F228" s="42">
        <v>0.95668928602556202</v>
      </c>
      <c r="G228" s="43">
        <v>6.2905872502832612</v>
      </c>
      <c r="H228" s="42">
        <v>0.7059576444821235</v>
      </c>
      <c r="I228" s="43">
        <v>3.4499243678705627</v>
      </c>
      <c r="J228" s="42">
        <v>0.6203175525275606</v>
      </c>
      <c r="K228" s="43">
        <v>1.3942299286630866</v>
      </c>
      <c r="L228" s="43">
        <v>692.37110177202032</v>
      </c>
      <c r="M228" s="44">
        <v>1200.6837398655171</v>
      </c>
      <c r="N228" s="44">
        <v>2156.4003948734144</v>
      </c>
      <c r="O228" s="45" t="s">
        <v>5074</v>
      </c>
      <c r="P228" s="46">
        <v>1</v>
      </c>
      <c r="Q228" s="43">
        <v>692.37110177202032</v>
      </c>
      <c r="R228" s="43">
        <v>698.66168902230356</v>
      </c>
      <c r="S228" s="47">
        <v>0</v>
      </c>
      <c r="T228" s="48">
        <v>698.66168902230356</v>
      </c>
      <c r="U228" s="48">
        <v>697.24780077196522</v>
      </c>
      <c r="V228" s="48">
        <v>695.21694659302989</v>
      </c>
      <c r="W228" s="48">
        <v>699.40490691283912</v>
      </c>
    </row>
    <row r="229" spans="1:23" ht="13.2" x14ac:dyDescent="0.25">
      <c r="A229" s="41">
        <v>227</v>
      </c>
      <c r="B229" s="42">
        <v>0.54625688378990478</v>
      </c>
      <c r="C229" s="14" t="s">
        <v>5076</v>
      </c>
      <c r="D229" s="42">
        <v>0.71162633724120739</v>
      </c>
      <c r="E229" s="43">
        <v>42.116263372412071</v>
      </c>
      <c r="F229" s="42">
        <v>0.30113236666709758</v>
      </c>
      <c r="G229" s="43">
        <v>3.1785208886668648</v>
      </c>
      <c r="H229" s="42">
        <v>0.82476249654999123</v>
      </c>
      <c r="I229" s="43">
        <v>0.97849040434779699</v>
      </c>
      <c r="J229" s="42">
        <v>0.26670581999547122</v>
      </c>
      <c r="K229" s="43">
        <v>3.8587124840205407</v>
      </c>
      <c r="L229" s="43">
        <v>696.22981425604087</v>
      </c>
      <c r="M229" s="44">
        <v>293.12919307198803</v>
      </c>
      <c r="N229" s="44">
        <v>526.45329215515085</v>
      </c>
      <c r="O229" s="45" t="s">
        <v>5074</v>
      </c>
      <c r="P229" s="46">
        <v>3</v>
      </c>
      <c r="Q229" s="43">
        <v>696.22981425604087</v>
      </c>
      <c r="R229" s="43">
        <v>699.40833514470773</v>
      </c>
      <c r="S229" s="47">
        <v>0</v>
      </c>
      <c r="T229" s="48">
        <v>698.66168902230356</v>
      </c>
      <c r="U229" s="48">
        <v>697.24780077196522</v>
      </c>
      <c r="V229" s="48">
        <v>699.40833514470773</v>
      </c>
      <c r="W229" s="48">
        <v>699.40490691283912</v>
      </c>
    </row>
    <row r="230" spans="1:23" ht="13.2" x14ac:dyDescent="0.25">
      <c r="A230" s="41">
        <v>228</v>
      </c>
      <c r="B230" s="42">
        <v>0.97716390759552074</v>
      </c>
      <c r="C230" s="14" t="s">
        <v>5080</v>
      </c>
      <c r="D230" s="42">
        <v>0.2254263801618602</v>
      </c>
      <c r="E230" s="43">
        <v>90.635659504046501</v>
      </c>
      <c r="F230" s="42">
        <v>0.31757486626392922</v>
      </c>
      <c r="G230" s="43">
        <v>4.3814904277825217</v>
      </c>
      <c r="H230" s="42">
        <v>0.77640391270462605</v>
      </c>
      <c r="I230" s="43">
        <v>2.3655924361014655</v>
      </c>
      <c r="J230" s="42">
        <v>0.194930613597357</v>
      </c>
      <c r="K230" s="43">
        <v>4.7740485005721212</v>
      </c>
      <c r="L230" s="43">
        <v>701.00386275661299</v>
      </c>
      <c r="M230" s="44">
        <v>630.82419014816367</v>
      </c>
      <c r="N230" s="44">
        <v>1132.9457438005813</v>
      </c>
      <c r="O230" s="45" t="s">
        <v>5074</v>
      </c>
      <c r="P230" s="46">
        <v>2</v>
      </c>
      <c r="Q230" s="43">
        <v>701.00386275661299</v>
      </c>
      <c r="R230" s="43">
        <v>705.38535318439551</v>
      </c>
      <c r="S230" s="47">
        <v>0</v>
      </c>
      <c r="T230" s="48">
        <v>698.66168902230356</v>
      </c>
      <c r="U230" s="48">
        <v>705.38535318439551</v>
      </c>
      <c r="V230" s="48">
        <v>699.40833514470773</v>
      </c>
      <c r="W230" s="48">
        <v>699.40490691283912</v>
      </c>
    </row>
    <row r="231" spans="1:23" ht="13.2" x14ac:dyDescent="0.25">
      <c r="A231" s="41">
        <v>229</v>
      </c>
      <c r="B231" s="42">
        <v>0.3517340865692748</v>
      </c>
      <c r="C231" s="14" t="s">
        <v>5077</v>
      </c>
      <c r="D231" s="42">
        <v>0.65258266807188403</v>
      </c>
      <c r="E231" s="43">
        <v>45.873244012646957</v>
      </c>
      <c r="F231" s="42">
        <v>0.63770829869327517</v>
      </c>
      <c r="G231" s="43">
        <v>3.4260999833727723</v>
      </c>
      <c r="H231" s="42">
        <v>0.87801836984139792</v>
      </c>
      <c r="I231" s="43">
        <v>1.4657101505157106</v>
      </c>
      <c r="J231" s="42">
        <v>0.99919619876853949</v>
      </c>
      <c r="K231" s="43">
        <v>2.3478086215644347E-3</v>
      </c>
      <c r="L231" s="43">
        <v>701.0062105652346</v>
      </c>
      <c r="M231" s="44">
        <v>319.2777783280228</v>
      </c>
      <c r="N231" s="44">
        <v>573.41555015808694</v>
      </c>
      <c r="O231" s="45" t="s">
        <v>5074</v>
      </c>
      <c r="P231" s="46">
        <v>1</v>
      </c>
      <c r="Q231" s="43">
        <v>701.0062105652346</v>
      </c>
      <c r="R231" s="43">
        <v>704.43231054860735</v>
      </c>
      <c r="S231" s="47">
        <v>0</v>
      </c>
      <c r="T231" s="48">
        <v>704.43231054860735</v>
      </c>
      <c r="U231" s="48">
        <v>705.38535318439551</v>
      </c>
      <c r="V231" s="48">
        <v>699.40833514470773</v>
      </c>
      <c r="W231" s="48">
        <v>699.40490691283912</v>
      </c>
    </row>
    <row r="232" spans="1:23" ht="13.2" x14ac:dyDescent="0.25">
      <c r="A232" s="41">
        <v>230</v>
      </c>
      <c r="B232" s="42">
        <v>0.52489114903141332</v>
      </c>
      <c r="C232" s="14" t="s">
        <v>5076</v>
      </c>
      <c r="D232" s="42">
        <v>0.9119774591699138</v>
      </c>
      <c r="E232" s="43">
        <v>44.119774591699141</v>
      </c>
      <c r="F232" s="42">
        <v>0.75236074661480301</v>
      </c>
      <c r="G232" s="43">
        <v>3.3860859434428092</v>
      </c>
      <c r="H232" s="42">
        <v>0.74389495083312274</v>
      </c>
      <c r="I232" s="43">
        <v>0.93221386561898756</v>
      </c>
      <c r="J232" s="42">
        <v>0.21517144945225281</v>
      </c>
      <c r="K232" s="43">
        <v>4.485606217014503</v>
      </c>
      <c r="L232" s="43">
        <v>705.49181678224909</v>
      </c>
      <c r="M232" s="44">
        <v>307.07363115822602</v>
      </c>
      <c r="N232" s="44">
        <v>551.49718239623928</v>
      </c>
      <c r="O232" s="45" t="s">
        <v>5074</v>
      </c>
      <c r="P232" s="46">
        <v>4</v>
      </c>
      <c r="Q232" s="43">
        <v>705.49181678224909</v>
      </c>
      <c r="R232" s="43">
        <v>708.87790272569191</v>
      </c>
      <c r="S232" s="47">
        <v>0</v>
      </c>
      <c r="T232" s="48">
        <v>704.43231054860735</v>
      </c>
      <c r="U232" s="48">
        <v>705.38535318439551</v>
      </c>
      <c r="V232" s="48">
        <v>699.40833514470773</v>
      </c>
      <c r="W232" s="48">
        <v>708.87790272569191</v>
      </c>
    </row>
    <row r="233" spans="1:23" ht="13.2" x14ac:dyDescent="0.25">
      <c r="A233" s="41">
        <v>231</v>
      </c>
      <c r="B233" s="42">
        <v>0.7290354570043438</v>
      </c>
      <c r="C233" s="14" t="s">
        <v>5079</v>
      </c>
      <c r="D233" s="42">
        <v>0.21620610133568108</v>
      </c>
      <c r="E233" s="43">
        <v>7.6486183040070435</v>
      </c>
      <c r="F233" s="42">
        <v>0.93296172047637482</v>
      </c>
      <c r="G233" s="43">
        <v>1.5426257892524013</v>
      </c>
      <c r="H233" s="42">
        <v>0.57991188372481239</v>
      </c>
      <c r="I233" s="43">
        <v>0.4489756636473704</v>
      </c>
      <c r="J233" s="42">
        <v>0.30039298920910479</v>
      </c>
      <c r="K233" s="43">
        <v>3.5114268541602938</v>
      </c>
      <c r="L233" s="43">
        <v>709.00324363640937</v>
      </c>
      <c r="M233" s="44">
        <v>53.234383395889019</v>
      </c>
      <c r="N233" s="44">
        <v>95.60772880008804</v>
      </c>
      <c r="O233" s="45" t="s">
        <v>5074</v>
      </c>
      <c r="P233" s="46">
        <v>3</v>
      </c>
      <c r="Q233" s="43">
        <v>709.00324363640937</v>
      </c>
      <c r="R233" s="43">
        <v>710.54586942566175</v>
      </c>
      <c r="S233" s="47">
        <v>0</v>
      </c>
      <c r="T233" s="48">
        <v>704.43231054860735</v>
      </c>
      <c r="U233" s="48">
        <v>705.38535318439551</v>
      </c>
      <c r="V233" s="48">
        <v>710.54586942566175</v>
      </c>
      <c r="W233" s="48">
        <v>708.87790272569191</v>
      </c>
    </row>
    <row r="234" spans="1:23" ht="13.2" x14ac:dyDescent="0.25">
      <c r="A234" s="41">
        <v>232</v>
      </c>
      <c r="B234" s="42">
        <v>0.11249923105933668</v>
      </c>
      <c r="C234" s="14" t="s">
        <v>5073</v>
      </c>
      <c r="D234" s="42">
        <v>0.25471498829066519</v>
      </c>
      <c r="E234" s="43">
        <v>310.56579859487982</v>
      </c>
      <c r="F234" s="42">
        <v>0.93802046540101081</v>
      </c>
      <c r="G234" s="43">
        <v>11.316004056705165</v>
      </c>
      <c r="H234" s="42">
        <v>0.98730756341820003</v>
      </c>
      <c r="I234" s="43">
        <v>3.902432959272355</v>
      </c>
      <c r="J234" s="42">
        <v>0.59413462532411077</v>
      </c>
      <c r="K234" s="43">
        <v>1.5201440681434124</v>
      </c>
      <c r="L234" s="43">
        <v>710.52338770455276</v>
      </c>
      <c r="M234" s="44">
        <v>2161.5379582203636</v>
      </c>
      <c r="N234" s="44">
        <v>3882.0724824359977</v>
      </c>
      <c r="O234" s="45" t="s">
        <v>5074</v>
      </c>
      <c r="P234" s="46">
        <v>1</v>
      </c>
      <c r="Q234" s="43">
        <v>710.52338770455276</v>
      </c>
      <c r="R234" s="43">
        <v>721.83939176125796</v>
      </c>
      <c r="S234" s="47">
        <v>0</v>
      </c>
      <c r="T234" s="48">
        <v>721.83939176125796</v>
      </c>
      <c r="U234" s="48">
        <v>705.38535318439551</v>
      </c>
      <c r="V234" s="48">
        <v>710.54586942566175</v>
      </c>
      <c r="W234" s="48">
        <v>708.87790272569191</v>
      </c>
    </row>
    <row r="235" spans="1:23" ht="13.2" x14ac:dyDescent="0.25">
      <c r="A235" s="41">
        <v>233</v>
      </c>
      <c r="B235" s="42">
        <v>0.40935356142434925</v>
      </c>
      <c r="C235" s="14" t="s">
        <v>5077</v>
      </c>
      <c r="D235" s="42">
        <v>0.70896581081159682</v>
      </c>
      <c r="E235" s="43">
        <v>46.380692297304371</v>
      </c>
      <c r="F235" s="42">
        <v>0.78837711912969921</v>
      </c>
      <c r="G235" s="43">
        <v>3.4984210171822556</v>
      </c>
      <c r="H235" s="42">
        <v>0.89635530854405621</v>
      </c>
      <c r="I235" s="43">
        <v>1.4840367828652881</v>
      </c>
      <c r="J235" s="42">
        <v>0.29209024100196096</v>
      </c>
      <c r="K235" s="43">
        <v>3.593262715127052</v>
      </c>
      <c r="L235" s="43">
        <v>714.11665041967979</v>
      </c>
      <c r="M235" s="44">
        <v>322.80961838923844</v>
      </c>
      <c r="N235" s="44">
        <v>579.75865371630459</v>
      </c>
      <c r="O235" s="45" t="s">
        <v>5074</v>
      </c>
      <c r="P235" s="46">
        <v>2</v>
      </c>
      <c r="Q235" s="43">
        <v>714.11665041967979</v>
      </c>
      <c r="R235" s="43">
        <v>717.61507143686208</v>
      </c>
      <c r="S235" s="47">
        <v>0</v>
      </c>
      <c r="T235" s="48">
        <v>721.83939176125796</v>
      </c>
      <c r="U235" s="48">
        <v>717.61507143686208</v>
      </c>
      <c r="V235" s="48">
        <v>710.54586942566175</v>
      </c>
      <c r="W235" s="48">
        <v>708.87790272569191</v>
      </c>
    </row>
    <row r="236" spans="1:23" ht="13.2" x14ac:dyDescent="0.25">
      <c r="A236" s="41">
        <v>234</v>
      </c>
      <c r="B236" s="42">
        <v>0.98053973493191404</v>
      </c>
      <c r="C236" s="14" t="s">
        <v>5080</v>
      </c>
      <c r="D236" s="42">
        <v>0.37442349008024833</v>
      </c>
      <c r="E236" s="43">
        <v>94.360587252006212</v>
      </c>
      <c r="F236" s="42">
        <v>0.73196177125534123</v>
      </c>
      <c r="G236" s="43">
        <v>4.6052593564778839</v>
      </c>
      <c r="H236" s="42">
        <v>0.13943474280621612</v>
      </c>
      <c r="I236" s="43">
        <v>1.6480915415860371</v>
      </c>
      <c r="J236" s="42">
        <v>8.7405462790003732E-2</v>
      </c>
      <c r="K236" s="43">
        <v>7.1159050947613958</v>
      </c>
      <c r="L236" s="43">
        <v>721.23255551444117</v>
      </c>
      <c r="M236" s="44">
        <v>656.74968727396322</v>
      </c>
      <c r="N236" s="44">
        <v>1179.5073406500776</v>
      </c>
      <c r="O236" s="45" t="s">
        <v>5074</v>
      </c>
      <c r="P236" s="46">
        <v>4</v>
      </c>
      <c r="Q236" s="43">
        <v>721.23255551444117</v>
      </c>
      <c r="R236" s="43">
        <v>725.83781487091903</v>
      </c>
      <c r="S236" s="47">
        <v>0</v>
      </c>
      <c r="T236" s="48">
        <v>721.83939176125796</v>
      </c>
      <c r="U236" s="48">
        <v>717.61507143686208</v>
      </c>
      <c r="V236" s="48">
        <v>710.54586942566175</v>
      </c>
      <c r="W236" s="48">
        <v>725.83781487091903</v>
      </c>
    </row>
    <row r="237" spans="1:23" ht="13.2" x14ac:dyDescent="0.25">
      <c r="A237" s="41">
        <v>235</v>
      </c>
      <c r="B237" s="42">
        <v>5.0086476863402167E-2</v>
      </c>
      <c r="C237" s="14" t="s">
        <v>5073</v>
      </c>
      <c r="D237" s="42">
        <v>0.66503700039584046</v>
      </c>
      <c r="E237" s="43">
        <v>359.80444004750086</v>
      </c>
      <c r="F237" s="42">
        <v>0.18521983231660902</v>
      </c>
      <c r="G237" s="43">
        <v>8.9597380751509874</v>
      </c>
      <c r="H237" s="42">
        <v>0.51352274954017385</v>
      </c>
      <c r="I237" s="43">
        <v>3.3776583186583835</v>
      </c>
      <c r="J237" s="42">
        <v>0.92681430369932871</v>
      </c>
      <c r="K237" s="43">
        <v>0.22190380472084456</v>
      </c>
      <c r="L237" s="43">
        <v>721.45445931916197</v>
      </c>
      <c r="M237" s="44">
        <v>2504.2389027306058</v>
      </c>
      <c r="N237" s="44">
        <v>4497.5555005937604</v>
      </c>
      <c r="O237" s="45" t="s">
        <v>5074</v>
      </c>
      <c r="P237" s="46">
        <v>3</v>
      </c>
      <c r="Q237" s="43">
        <v>721.45445931916197</v>
      </c>
      <c r="R237" s="43">
        <v>730.41419739431296</v>
      </c>
      <c r="S237" s="47">
        <v>0</v>
      </c>
      <c r="T237" s="48">
        <v>721.83939176125796</v>
      </c>
      <c r="U237" s="48">
        <v>717.61507143686208</v>
      </c>
      <c r="V237" s="48">
        <v>730.41419739431296</v>
      </c>
      <c r="W237" s="48">
        <v>725.83781487091903</v>
      </c>
    </row>
    <row r="238" spans="1:23" ht="13.2" x14ac:dyDescent="0.25">
      <c r="A238" s="41">
        <v>236</v>
      </c>
      <c r="B238" s="42">
        <v>5.1001071022358291E-2</v>
      </c>
      <c r="C238" s="14" t="s">
        <v>5073</v>
      </c>
      <c r="D238" s="42">
        <v>2.9879436842109745E-2</v>
      </c>
      <c r="E238" s="43">
        <v>283.58553242105319</v>
      </c>
      <c r="F238" s="42">
        <v>0.54174555863335061</v>
      </c>
      <c r="G238" s="43">
        <v>10.075663598522388</v>
      </c>
      <c r="H238" s="42">
        <v>0.49812012375244874</v>
      </c>
      <c r="I238" s="43">
        <v>3.3643958500760363</v>
      </c>
      <c r="J238" s="42">
        <v>0.87112499069009208</v>
      </c>
      <c r="K238" s="43">
        <v>0.40283156178300172</v>
      </c>
      <c r="L238" s="43">
        <v>721.85729088094502</v>
      </c>
      <c r="M238" s="44">
        <v>1973.7553056505301</v>
      </c>
      <c r="N238" s="44">
        <v>3544.8191552631647</v>
      </c>
      <c r="O238" s="45" t="s">
        <v>5074</v>
      </c>
      <c r="P238" s="46">
        <v>2</v>
      </c>
      <c r="Q238" s="43">
        <v>721.85729088094502</v>
      </c>
      <c r="R238" s="43">
        <v>731.93295447946741</v>
      </c>
      <c r="S238" s="47">
        <v>0</v>
      </c>
      <c r="T238" s="48">
        <v>721.83939176125796</v>
      </c>
      <c r="U238" s="48">
        <v>731.93295447946741</v>
      </c>
      <c r="V238" s="48">
        <v>730.41419739431296</v>
      </c>
      <c r="W238" s="48">
        <v>725.83781487091903</v>
      </c>
    </row>
    <row r="239" spans="1:23" ht="13.2" x14ac:dyDescent="0.25">
      <c r="A239" s="41">
        <v>237</v>
      </c>
      <c r="B239" s="42">
        <v>0.79726437143854068</v>
      </c>
      <c r="C239" s="14" t="s">
        <v>5078</v>
      </c>
      <c r="D239" s="42">
        <v>0.95000468285288875</v>
      </c>
      <c r="E239" s="43">
        <v>208.00018731411555</v>
      </c>
      <c r="F239" s="42">
        <v>1.6861650634958245E-2</v>
      </c>
      <c r="G239" s="43">
        <v>5.4353441020778117</v>
      </c>
      <c r="H239" s="42">
        <v>0.11115909978335681</v>
      </c>
      <c r="I239" s="43">
        <v>2.5271600795378877</v>
      </c>
      <c r="J239" s="42">
        <v>0.57270283790896781</v>
      </c>
      <c r="K239" s="43">
        <v>1.6274111073853588</v>
      </c>
      <c r="L239" s="43">
        <v>723.48470198833036</v>
      </c>
      <c r="M239" s="44">
        <v>1447.6813037062443</v>
      </c>
      <c r="N239" s="44">
        <v>2600.0023414264442</v>
      </c>
      <c r="O239" s="45" t="s">
        <v>5074</v>
      </c>
      <c r="P239" s="46">
        <v>1</v>
      </c>
      <c r="Q239" s="43">
        <v>723.48470198833036</v>
      </c>
      <c r="R239" s="43">
        <v>728.92004609040816</v>
      </c>
      <c r="S239" s="47">
        <v>0</v>
      </c>
      <c r="T239" s="48">
        <v>728.92004609040816</v>
      </c>
      <c r="U239" s="48">
        <v>731.93295447946741</v>
      </c>
      <c r="V239" s="48">
        <v>730.41419739431296</v>
      </c>
      <c r="W239" s="48">
        <v>725.83781487091903</v>
      </c>
    </row>
    <row r="240" spans="1:23" ht="13.2" x14ac:dyDescent="0.25">
      <c r="A240" s="41">
        <v>238</v>
      </c>
      <c r="B240" s="42">
        <v>0.66340637051659002</v>
      </c>
      <c r="C240" s="14" t="s">
        <v>5079</v>
      </c>
      <c r="D240" s="42">
        <v>0.96102007290395908</v>
      </c>
      <c r="E240" s="43">
        <v>9.8830602187118775</v>
      </c>
      <c r="F240" s="42">
        <v>0.40898640845389406</v>
      </c>
      <c r="G240" s="43">
        <v>1.4849885049299283</v>
      </c>
      <c r="H240" s="42">
        <v>0.57366766388233181</v>
      </c>
      <c r="I240" s="43">
        <v>0.44711692342576537</v>
      </c>
      <c r="J240" s="42">
        <v>0.64035968419181166</v>
      </c>
      <c r="K240" s="43">
        <v>1.3013876027598525</v>
      </c>
      <c r="L240" s="43">
        <v>724.78608959109022</v>
      </c>
      <c r="M240" s="44">
        <v>69.256343293640825</v>
      </c>
      <c r="N240" s="44">
        <v>123.53825273389847</v>
      </c>
      <c r="O240" s="45" t="s">
        <v>5074</v>
      </c>
      <c r="P240" s="46">
        <v>4</v>
      </c>
      <c r="Q240" s="43">
        <v>725.83781487091903</v>
      </c>
      <c r="R240" s="43">
        <v>727.32280337584893</v>
      </c>
      <c r="S240" s="43">
        <v>1.0517252798288155</v>
      </c>
      <c r="T240" s="48">
        <v>728.92004609040816</v>
      </c>
      <c r="U240" s="48">
        <v>731.93295447946741</v>
      </c>
      <c r="V240" s="48">
        <v>730.41419739431296</v>
      </c>
      <c r="W240" s="48">
        <v>727.32280337584893</v>
      </c>
    </row>
    <row r="241" spans="1:23" ht="13.2" x14ac:dyDescent="0.25">
      <c r="A241" s="41">
        <v>239</v>
      </c>
      <c r="B241" s="42">
        <v>0.17546532125001091</v>
      </c>
      <c r="C241" s="14" t="s">
        <v>5073</v>
      </c>
      <c r="D241" s="42">
        <v>0.88598962029721107</v>
      </c>
      <c r="E241" s="43">
        <v>386.31875443566531</v>
      </c>
      <c r="F241" s="42">
        <v>0.34486116112436221</v>
      </c>
      <c r="G241" s="43">
        <v>9.4594154343192542</v>
      </c>
      <c r="H241" s="42">
        <v>0.49635647493244917</v>
      </c>
      <c r="I241" s="43">
        <v>3.3628642491137724</v>
      </c>
      <c r="J241" s="42">
        <v>0.23357288084624936</v>
      </c>
      <c r="K241" s="43">
        <v>4.2460178891534657</v>
      </c>
      <c r="L241" s="43">
        <v>729.03210748024367</v>
      </c>
      <c r="M241" s="44">
        <v>2688.7785308722305</v>
      </c>
      <c r="N241" s="44">
        <v>4828.9844304458165</v>
      </c>
      <c r="O241" s="45" t="s">
        <v>5074</v>
      </c>
      <c r="P241" s="46">
        <v>4</v>
      </c>
      <c r="Q241" s="43">
        <v>729.03210748024367</v>
      </c>
      <c r="R241" s="43">
        <v>738.49152291456289</v>
      </c>
      <c r="S241" s="47">
        <v>0</v>
      </c>
      <c r="T241" s="48">
        <v>728.92004609040816</v>
      </c>
      <c r="U241" s="48">
        <v>731.93295447946741</v>
      </c>
      <c r="V241" s="48">
        <v>730.41419739431296</v>
      </c>
      <c r="W241" s="48">
        <v>738.49152291456289</v>
      </c>
    </row>
    <row r="242" spans="1:23" ht="13.2" x14ac:dyDescent="0.25">
      <c r="A242" s="41">
        <v>240</v>
      </c>
      <c r="B242" s="42">
        <v>0.37162654910777998</v>
      </c>
      <c r="C242" s="14" t="s">
        <v>5077</v>
      </c>
      <c r="D242" s="42">
        <v>0.15378957342067248</v>
      </c>
      <c r="E242" s="43">
        <v>41.384106160786054</v>
      </c>
      <c r="F242" s="42">
        <v>6.1833990766589526E-2</v>
      </c>
      <c r="G242" s="43">
        <v>3.1496803155679629</v>
      </c>
      <c r="H242" s="42">
        <v>0.69561670333874259</v>
      </c>
      <c r="I242" s="43">
        <v>1.329902062289499</v>
      </c>
      <c r="J242" s="42">
        <v>0.86526086640789213</v>
      </c>
      <c r="K242" s="43">
        <v>0.42255251928163567</v>
      </c>
      <c r="L242" s="43">
        <v>729.45465999952535</v>
      </c>
      <c r="M242" s="44">
        <v>288.03337887907094</v>
      </c>
      <c r="N242" s="44">
        <v>517.30132700982563</v>
      </c>
      <c r="O242" s="45" t="s">
        <v>5074</v>
      </c>
      <c r="P242" s="46">
        <v>1</v>
      </c>
      <c r="Q242" s="43">
        <v>729.45465999952535</v>
      </c>
      <c r="R242" s="43">
        <v>732.60434031509328</v>
      </c>
      <c r="S242" s="47">
        <v>0</v>
      </c>
      <c r="T242" s="48">
        <v>732.60434031509328</v>
      </c>
      <c r="U242" s="48">
        <v>731.93295447946741</v>
      </c>
      <c r="V242" s="48">
        <v>730.41419739431296</v>
      </c>
      <c r="W242" s="48">
        <v>738.49152291456289</v>
      </c>
    </row>
    <row r="243" spans="1:23" ht="13.2" x14ac:dyDescent="0.25">
      <c r="A243" s="41">
        <v>241</v>
      </c>
      <c r="B243" s="42">
        <v>0.81579354257126968</v>
      </c>
      <c r="C243" s="14" t="s">
        <v>5078</v>
      </c>
      <c r="D243" s="42">
        <v>0.21858438859627788</v>
      </c>
      <c r="E243" s="43">
        <v>178.74337554385113</v>
      </c>
      <c r="F243" s="42">
        <v>0.65156416532190709</v>
      </c>
      <c r="G243" s="43">
        <v>6.0129233904429356</v>
      </c>
      <c r="H243" s="42">
        <v>0.31441839333363736</v>
      </c>
      <c r="I243" s="43">
        <v>2.8865923433766465</v>
      </c>
      <c r="J243" s="42">
        <v>0.74829961860007588</v>
      </c>
      <c r="K243" s="43">
        <v>0.8465746615605263</v>
      </c>
      <c r="L243" s="43">
        <v>730.30123466108591</v>
      </c>
      <c r="M243" s="44">
        <v>1244.379971146024</v>
      </c>
      <c r="N243" s="44">
        <v>2234.2921942981393</v>
      </c>
      <c r="O243" s="45" t="s">
        <v>5074</v>
      </c>
      <c r="P243" s="46">
        <v>3</v>
      </c>
      <c r="Q243" s="43">
        <v>730.41419739431296</v>
      </c>
      <c r="R243" s="43">
        <v>736.42712078475586</v>
      </c>
      <c r="S243" s="43">
        <v>0.11296273322705019</v>
      </c>
      <c r="T243" s="48">
        <v>732.60434031509328</v>
      </c>
      <c r="U243" s="48">
        <v>731.93295447946741</v>
      </c>
      <c r="V243" s="48">
        <v>736.42712078475586</v>
      </c>
      <c r="W243" s="48">
        <v>738.49152291456289</v>
      </c>
    </row>
    <row r="244" spans="1:23" ht="13.2" x14ac:dyDescent="0.25">
      <c r="A244" s="41">
        <v>242</v>
      </c>
      <c r="B244" s="42">
        <v>0.89478623722437123</v>
      </c>
      <c r="C244" s="14" t="s">
        <v>5075</v>
      </c>
      <c r="D244" s="42">
        <v>0.53365184251854747</v>
      </c>
      <c r="E244" s="43">
        <v>317.35562897629831</v>
      </c>
      <c r="F244" s="42">
        <v>0.30530413114712768</v>
      </c>
      <c r="G244" s="43">
        <v>8.9575552209827833</v>
      </c>
      <c r="H244" s="42">
        <v>0.8310336185763747</v>
      </c>
      <c r="I244" s="43">
        <v>2.9186801544353997</v>
      </c>
      <c r="J244" s="42">
        <v>0.70609678593748104</v>
      </c>
      <c r="K244" s="43">
        <v>1.0160670374363303</v>
      </c>
      <c r="L244" s="43">
        <v>731.31730169852221</v>
      </c>
      <c r="M244" s="44">
        <v>2210.5920712288039</v>
      </c>
      <c r="N244" s="44">
        <v>3966.945362203729</v>
      </c>
      <c r="O244" s="45" t="s">
        <v>5074</v>
      </c>
      <c r="P244" s="46">
        <v>2</v>
      </c>
      <c r="Q244" s="43">
        <v>731.93295447946741</v>
      </c>
      <c r="R244" s="43">
        <v>740.89050970045014</v>
      </c>
      <c r="S244" s="43">
        <v>0.61565278094519726</v>
      </c>
      <c r="T244" s="48">
        <v>732.60434031509328</v>
      </c>
      <c r="U244" s="48">
        <v>740.89050970045014</v>
      </c>
      <c r="V244" s="48">
        <v>736.42712078475586</v>
      </c>
      <c r="W244" s="48">
        <v>738.49152291456289</v>
      </c>
    </row>
    <row r="245" spans="1:23" ht="13.2" x14ac:dyDescent="0.25">
      <c r="A245" s="41">
        <v>243</v>
      </c>
      <c r="B245" s="42">
        <v>0.2247485314611106</v>
      </c>
      <c r="C245" s="14" t="s">
        <v>5073</v>
      </c>
      <c r="D245" s="42">
        <v>2.1466251007032696E-2</v>
      </c>
      <c r="E245" s="43">
        <v>282.57595012084391</v>
      </c>
      <c r="F245" s="42">
        <v>0.58359342700969119</v>
      </c>
      <c r="G245" s="43">
        <v>10.206647426540334</v>
      </c>
      <c r="H245" s="42">
        <v>0.32122925218251963</v>
      </c>
      <c r="I245" s="43">
        <v>3.1941497520519468</v>
      </c>
      <c r="J245" s="42">
        <v>0.59312505442328989</v>
      </c>
      <c r="K245" s="43">
        <v>1.5251095412002482</v>
      </c>
      <c r="L245" s="43">
        <v>732.84241123972242</v>
      </c>
      <c r="M245" s="44">
        <v>1966.7286128410735</v>
      </c>
      <c r="N245" s="44">
        <v>3532.199376510549</v>
      </c>
      <c r="O245" s="45" t="s">
        <v>5074</v>
      </c>
      <c r="P245" s="46">
        <v>1</v>
      </c>
      <c r="Q245" s="43">
        <v>732.84241123972242</v>
      </c>
      <c r="R245" s="43">
        <v>743.04905866626279</v>
      </c>
      <c r="S245" s="47">
        <v>0</v>
      </c>
      <c r="T245" s="48">
        <v>743.04905866626279</v>
      </c>
      <c r="U245" s="48">
        <v>740.89050970045014</v>
      </c>
      <c r="V245" s="48">
        <v>736.42712078475586</v>
      </c>
      <c r="W245" s="48">
        <v>738.49152291456289</v>
      </c>
    </row>
    <row r="246" spans="1:23" ht="13.2" x14ac:dyDescent="0.25">
      <c r="A246" s="41">
        <v>244</v>
      </c>
      <c r="B246" s="42">
        <v>0.9533498724705306</v>
      </c>
      <c r="C246" s="14" t="s">
        <v>5080</v>
      </c>
      <c r="D246" s="42">
        <v>0.16860995589225086</v>
      </c>
      <c r="E246" s="43">
        <v>89.215248897306267</v>
      </c>
      <c r="F246" s="42">
        <v>0.95896749475922782</v>
      </c>
      <c r="G246" s="43">
        <v>4.7278424471699827</v>
      </c>
      <c r="H246" s="42">
        <v>0.84135004963788673</v>
      </c>
      <c r="I246" s="43">
        <v>2.4656125837448979</v>
      </c>
      <c r="J246" s="42">
        <v>0.66350944929919642</v>
      </c>
      <c r="K246" s="43">
        <v>1.1976998064668847</v>
      </c>
      <c r="L246" s="43">
        <v>734.04011104618928</v>
      </c>
      <c r="M246" s="44">
        <v>626.823573574183</v>
      </c>
      <c r="N246" s="44">
        <v>1115.1906112163283</v>
      </c>
      <c r="O246" s="45" t="s">
        <v>5074</v>
      </c>
      <c r="P246" s="46">
        <v>3</v>
      </c>
      <c r="Q246" s="43">
        <v>736.42712078475586</v>
      </c>
      <c r="R246" s="43">
        <v>741.15496323192588</v>
      </c>
      <c r="S246" s="43">
        <v>2.3870097385665758</v>
      </c>
      <c r="T246" s="48">
        <v>743.04905866626279</v>
      </c>
      <c r="U246" s="48">
        <v>740.89050970045014</v>
      </c>
      <c r="V246" s="48">
        <v>741.15496323192588</v>
      </c>
      <c r="W246" s="48">
        <v>738.49152291456289</v>
      </c>
    </row>
    <row r="247" spans="1:23" ht="13.2" x14ac:dyDescent="0.25">
      <c r="A247" s="41">
        <v>245</v>
      </c>
      <c r="B247" s="42">
        <v>0.53823069089009923</v>
      </c>
      <c r="C247" s="14" t="s">
        <v>5076</v>
      </c>
      <c r="D247" s="42">
        <v>0.91288978835236734</v>
      </c>
      <c r="E247" s="43">
        <v>44.128897883523678</v>
      </c>
      <c r="F247" s="42">
        <v>0.34709317020470892</v>
      </c>
      <c r="G247" s="43">
        <v>3.199662858294166</v>
      </c>
      <c r="H247" s="42">
        <v>0.73127093898657292</v>
      </c>
      <c r="I247" s="43">
        <v>0.92569335209703796</v>
      </c>
      <c r="J247" s="42">
        <v>0.23185257112227967</v>
      </c>
      <c r="K247" s="43">
        <v>4.2676016893796822</v>
      </c>
      <c r="L247" s="43">
        <v>738.307712735569</v>
      </c>
      <c r="M247" s="44">
        <v>307.30728113006722</v>
      </c>
      <c r="N247" s="44">
        <v>551.61122354404597</v>
      </c>
      <c r="O247" s="45" t="s">
        <v>5074</v>
      </c>
      <c r="P247" s="46">
        <v>4</v>
      </c>
      <c r="Q247" s="43">
        <v>738.49152291456289</v>
      </c>
      <c r="R247" s="43">
        <v>741.69118577285701</v>
      </c>
      <c r="S247" s="43">
        <v>0.18381017899389462</v>
      </c>
      <c r="T247" s="48">
        <v>743.04905866626279</v>
      </c>
      <c r="U247" s="48">
        <v>740.89050970045014</v>
      </c>
      <c r="V247" s="48">
        <v>741.15496323192588</v>
      </c>
      <c r="W247" s="48">
        <v>741.69118577285701</v>
      </c>
    </row>
    <row r="248" spans="1:23" ht="13.2" x14ac:dyDescent="0.25">
      <c r="A248" s="41">
        <v>246</v>
      </c>
      <c r="B248" s="42">
        <v>0.87308325845426105</v>
      </c>
      <c r="C248" s="14" t="s">
        <v>5081</v>
      </c>
      <c r="D248" s="42">
        <v>0.38291452470371246</v>
      </c>
      <c r="E248" s="43">
        <v>275.31658098814847</v>
      </c>
      <c r="F248" s="42">
        <v>0.27136839286953601</v>
      </c>
      <c r="G248" s="43">
        <v>8.4586547089408395</v>
      </c>
      <c r="H248" s="42">
        <v>0.94627711034672202</v>
      </c>
      <c r="I248" s="43">
        <v>4.6722107699960906</v>
      </c>
      <c r="J248" s="42">
        <v>0.37923582334967137</v>
      </c>
      <c r="K248" s="43">
        <v>2.8309402692102856</v>
      </c>
      <c r="L248" s="43">
        <v>741.13865300477926</v>
      </c>
      <c r="M248" s="44">
        <v>1916.2034036775133</v>
      </c>
      <c r="N248" s="44">
        <v>3441.4572623518561</v>
      </c>
      <c r="O248" s="45" t="s">
        <v>5074</v>
      </c>
      <c r="P248" s="46">
        <v>2</v>
      </c>
      <c r="Q248" s="43">
        <v>741.13865300477926</v>
      </c>
      <c r="R248" s="43">
        <v>749.59730771372006</v>
      </c>
      <c r="S248" s="47">
        <v>0</v>
      </c>
      <c r="T248" s="48">
        <v>743.04905866626279</v>
      </c>
      <c r="U248" s="48">
        <v>749.59730771372006</v>
      </c>
      <c r="V248" s="48">
        <v>741.15496323192588</v>
      </c>
      <c r="W248" s="48">
        <v>741.69118577285701</v>
      </c>
    </row>
    <row r="249" spans="1:23" ht="13.2" x14ac:dyDescent="0.25">
      <c r="A249" s="41">
        <v>247</v>
      </c>
      <c r="B249" s="42">
        <v>0.9809970576227629</v>
      </c>
      <c r="C249" s="14" t="s">
        <v>5080</v>
      </c>
      <c r="D249" s="42">
        <v>0.59947547530730971</v>
      </c>
      <c r="E249" s="43">
        <v>99.986886882682739</v>
      </c>
      <c r="F249" s="42">
        <v>0.38767184567994989</v>
      </c>
      <c r="G249" s="43">
        <v>4.4193427966671726</v>
      </c>
      <c r="H249" s="42">
        <v>0.95106636451141269</v>
      </c>
      <c r="I249" s="43">
        <v>2.7032163348843854</v>
      </c>
      <c r="J249" s="42">
        <v>0.21252430519672311</v>
      </c>
      <c r="K249" s="43">
        <v>4.5217486708377148</v>
      </c>
      <c r="L249" s="43">
        <v>745.66040167561698</v>
      </c>
      <c r="M249" s="44">
        <v>695.90873270347186</v>
      </c>
      <c r="N249" s="44">
        <v>1249.8360860335342</v>
      </c>
      <c r="O249" s="45" t="s">
        <v>5074</v>
      </c>
      <c r="P249" s="46">
        <v>3</v>
      </c>
      <c r="Q249" s="43">
        <v>745.66040167561698</v>
      </c>
      <c r="R249" s="43">
        <v>750.07974447228412</v>
      </c>
      <c r="S249" s="47">
        <v>0</v>
      </c>
      <c r="T249" s="48">
        <v>743.04905866626279</v>
      </c>
      <c r="U249" s="48">
        <v>749.59730771372006</v>
      </c>
      <c r="V249" s="48">
        <v>750.07974447228412</v>
      </c>
      <c r="W249" s="48">
        <v>741.69118577285701</v>
      </c>
    </row>
    <row r="250" spans="1:23" ht="13.2" x14ac:dyDescent="0.25">
      <c r="A250" s="41">
        <v>248</v>
      </c>
      <c r="B250" s="42">
        <v>0.49124352144600986</v>
      </c>
      <c r="C250" s="14" t="s">
        <v>5077</v>
      </c>
      <c r="D250" s="42">
        <v>0.59467086549600157</v>
      </c>
      <c r="E250" s="43">
        <v>45.352037789464013</v>
      </c>
      <c r="F250" s="42">
        <v>0.99452567798761915</v>
      </c>
      <c r="G250" s="43">
        <v>3.5973723254340575</v>
      </c>
      <c r="H250" s="42">
        <v>0.32628828767979906</v>
      </c>
      <c r="I250" s="43">
        <v>1.1427298988485359</v>
      </c>
      <c r="J250" s="42">
        <v>0.48418616339759257</v>
      </c>
      <c r="K250" s="43">
        <v>2.1176228061303273</v>
      </c>
      <c r="L250" s="43">
        <v>747.77802448174725</v>
      </c>
      <c r="M250" s="44">
        <v>315.65018301466955</v>
      </c>
      <c r="N250" s="44">
        <v>566.90047236830014</v>
      </c>
      <c r="O250" s="45" t="s">
        <v>5074</v>
      </c>
      <c r="P250" s="46">
        <v>4</v>
      </c>
      <c r="Q250" s="43">
        <v>747.77802448174725</v>
      </c>
      <c r="R250" s="43">
        <v>751.37539680718135</v>
      </c>
      <c r="S250" s="47">
        <v>0</v>
      </c>
      <c r="T250" s="48">
        <v>743.04905866626279</v>
      </c>
      <c r="U250" s="48">
        <v>749.59730771372006</v>
      </c>
      <c r="V250" s="48">
        <v>750.07974447228412</v>
      </c>
      <c r="W250" s="48">
        <v>751.37539680718135</v>
      </c>
    </row>
    <row r="251" spans="1:23" ht="13.2" x14ac:dyDescent="0.25">
      <c r="A251" s="41">
        <v>249</v>
      </c>
      <c r="B251" s="42">
        <v>0.44576532367885363</v>
      </c>
      <c r="C251" s="14" t="s">
        <v>5077</v>
      </c>
      <c r="D251" s="42">
        <v>0.99753248970840713</v>
      </c>
      <c r="E251" s="43">
        <v>48.977792407375667</v>
      </c>
      <c r="F251" s="42">
        <v>0.23956783220151803</v>
      </c>
      <c r="G251" s="43">
        <v>3.2349925594567286</v>
      </c>
      <c r="H251" s="42">
        <v>0.11803117772472611</v>
      </c>
      <c r="I251" s="43">
        <v>1.0061339952091877</v>
      </c>
      <c r="J251" s="42">
        <v>0.3182381956457338</v>
      </c>
      <c r="K251" s="43">
        <v>3.3429346968860738</v>
      </c>
      <c r="L251" s="43">
        <v>751.12095917863337</v>
      </c>
      <c r="M251" s="44">
        <v>340.88543515533462</v>
      </c>
      <c r="N251" s="44">
        <v>612.2224050921958</v>
      </c>
      <c r="O251" s="45" t="s">
        <v>5074</v>
      </c>
      <c r="P251" s="46">
        <v>1</v>
      </c>
      <c r="Q251" s="43">
        <v>751.12095917863337</v>
      </c>
      <c r="R251" s="43">
        <v>754.35595173809008</v>
      </c>
      <c r="S251" s="47">
        <v>0</v>
      </c>
      <c r="T251" s="48">
        <v>754.35595173809008</v>
      </c>
      <c r="U251" s="48">
        <v>749.59730771372006</v>
      </c>
      <c r="V251" s="48">
        <v>750.07974447228412</v>
      </c>
      <c r="W251" s="48">
        <v>751.37539680718135</v>
      </c>
    </row>
    <row r="252" spans="1:23" ht="13.2" x14ac:dyDescent="0.25">
      <c r="A252" s="41">
        <v>250</v>
      </c>
      <c r="B252" s="42">
        <v>0.90474316100810803</v>
      </c>
      <c r="C252" s="14" t="s">
        <v>5075</v>
      </c>
      <c r="D252" s="42">
        <v>8.2212966905074639E-2</v>
      </c>
      <c r="E252" s="43">
        <v>285.75490768335521</v>
      </c>
      <c r="F252" s="42">
        <v>1.0873615281131871E-2</v>
      </c>
      <c r="G252" s="43">
        <v>8.3716384944094528</v>
      </c>
      <c r="H252" s="42">
        <v>0.87661177193588191</v>
      </c>
      <c r="I252" s="43">
        <v>3.0032340026448709</v>
      </c>
      <c r="J252" s="42">
        <v>0.68181751979599592</v>
      </c>
      <c r="K252" s="43">
        <v>1.1182283889706564</v>
      </c>
      <c r="L252" s="43">
        <v>752.23918756760406</v>
      </c>
      <c r="M252" s="44">
        <v>1988.8541574761523</v>
      </c>
      <c r="N252" s="44">
        <v>3571.9363460419399</v>
      </c>
      <c r="O252" s="45" t="s">
        <v>5074</v>
      </c>
      <c r="P252" s="46">
        <v>2</v>
      </c>
      <c r="Q252" s="43">
        <v>752.23918756760406</v>
      </c>
      <c r="R252" s="43">
        <v>760.61082606201353</v>
      </c>
      <c r="S252" s="47">
        <v>0</v>
      </c>
      <c r="T252" s="48">
        <v>754.35595173809008</v>
      </c>
      <c r="U252" s="48">
        <v>760.61082606201353</v>
      </c>
      <c r="V252" s="48">
        <v>750.07974447228412</v>
      </c>
      <c r="W252" s="48">
        <v>751.37539680718135</v>
      </c>
    </row>
    <row r="253" spans="1:23" ht="13.2" x14ac:dyDescent="0.25">
      <c r="A253" s="41">
        <v>251</v>
      </c>
      <c r="B253" s="42">
        <v>0.7792743760064591</v>
      </c>
      <c r="C253" s="14" t="s">
        <v>5078</v>
      </c>
      <c r="D253" s="42">
        <v>0.15285809717739843</v>
      </c>
      <c r="E253" s="43">
        <v>176.11432388709594</v>
      </c>
      <c r="F253" s="42">
        <v>0.59634015504100368</v>
      </c>
      <c r="G253" s="43">
        <v>5.9626695410873136</v>
      </c>
      <c r="H253" s="42">
        <v>0.56870557254585696</v>
      </c>
      <c r="I253" s="43">
        <v>3.2282476251435437</v>
      </c>
      <c r="J253" s="42">
        <v>0.11527783848125386</v>
      </c>
      <c r="K253" s="43">
        <v>6.3077666500124696</v>
      </c>
      <c r="L253" s="43">
        <v>758.54695421761653</v>
      </c>
      <c r="M253" s="44">
        <v>1225.7556942541878</v>
      </c>
      <c r="N253" s="44">
        <v>2201.4290485886991</v>
      </c>
      <c r="O253" s="45" t="s">
        <v>5074</v>
      </c>
      <c r="P253" s="46">
        <v>3</v>
      </c>
      <c r="Q253" s="43">
        <v>758.54695421761653</v>
      </c>
      <c r="R253" s="43">
        <v>764.50962375870381</v>
      </c>
      <c r="S253" s="47">
        <v>0</v>
      </c>
      <c r="T253" s="48">
        <v>754.35595173809008</v>
      </c>
      <c r="U253" s="48">
        <v>760.61082606201353</v>
      </c>
      <c r="V253" s="48">
        <v>764.50962375870381</v>
      </c>
      <c r="W253" s="48">
        <v>751.37539680718135</v>
      </c>
    </row>
    <row r="254" spans="1:23" ht="13.2" x14ac:dyDescent="0.25">
      <c r="A254" s="41">
        <v>252</v>
      </c>
      <c r="B254" s="42">
        <v>0.31623395500529278</v>
      </c>
      <c r="C254" s="14" t="s">
        <v>5077</v>
      </c>
      <c r="D254" s="42">
        <v>0.79609113083970318</v>
      </c>
      <c r="E254" s="43">
        <v>47.164820177557331</v>
      </c>
      <c r="F254" s="42">
        <v>6.1696902877510014E-2</v>
      </c>
      <c r="G254" s="43">
        <v>3.1496145133812048</v>
      </c>
      <c r="H254" s="42">
        <v>0.50939813326550565</v>
      </c>
      <c r="I254" s="43">
        <v>1.2301374243137442</v>
      </c>
      <c r="J254" s="42">
        <v>0.39990971162911026</v>
      </c>
      <c r="K254" s="43">
        <v>2.675960520526079</v>
      </c>
      <c r="L254" s="43">
        <v>761.22291473814266</v>
      </c>
      <c r="M254" s="44">
        <v>328.26714843579902</v>
      </c>
      <c r="N254" s="44">
        <v>589.56025221946663</v>
      </c>
      <c r="O254" s="45" t="s">
        <v>5074</v>
      </c>
      <c r="P254" s="46">
        <v>4</v>
      </c>
      <c r="Q254" s="43">
        <v>761.22291473814266</v>
      </c>
      <c r="R254" s="43">
        <v>764.37252925152382</v>
      </c>
      <c r="S254" s="47">
        <v>0</v>
      </c>
      <c r="T254" s="48">
        <v>754.35595173809008</v>
      </c>
      <c r="U254" s="48">
        <v>760.61082606201353</v>
      </c>
      <c r="V254" s="48">
        <v>764.50962375870381</v>
      </c>
      <c r="W254" s="48">
        <v>764.37252925152382</v>
      </c>
    </row>
    <row r="255" spans="1:23" ht="13.2" x14ac:dyDescent="0.25">
      <c r="A255" s="41">
        <v>253</v>
      </c>
      <c r="B255" s="42">
        <v>0.18488539065461856</v>
      </c>
      <c r="C255" s="14" t="s">
        <v>5073</v>
      </c>
      <c r="D255" s="42">
        <v>0.82701532488084184</v>
      </c>
      <c r="E255" s="43">
        <v>379.24183898570101</v>
      </c>
      <c r="F255" s="42">
        <v>0.15578322911438683</v>
      </c>
      <c r="G255" s="43">
        <v>8.8676015071280307</v>
      </c>
      <c r="H255" s="42">
        <v>0.55157757063935398</v>
      </c>
      <c r="I255" s="43">
        <v>3.4095968095585159</v>
      </c>
      <c r="J255" s="42">
        <v>0.12790441658715923</v>
      </c>
      <c r="K255" s="43">
        <v>6.0042979253389026</v>
      </c>
      <c r="L255" s="43">
        <v>767.22721266348151</v>
      </c>
      <c r="M255" s="44">
        <v>2639.5231993404791</v>
      </c>
      <c r="N255" s="44">
        <v>4740.5229873212629</v>
      </c>
      <c r="O255" s="45" t="s">
        <v>5074</v>
      </c>
      <c r="P255" s="46">
        <v>1</v>
      </c>
      <c r="Q255" s="43">
        <v>767.22721266348151</v>
      </c>
      <c r="R255" s="43">
        <v>776.09481417060954</v>
      </c>
      <c r="S255" s="47">
        <v>0</v>
      </c>
      <c r="T255" s="48">
        <v>776.09481417060954</v>
      </c>
      <c r="U255" s="48">
        <v>760.61082606201353</v>
      </c>
      <c r="V255" s="48">
        <v>764.50962375870381</v>
      </c>
      <c r="W255" s="48">
        <v>764.37252925152382</v>
      </c>
    </row>
    <row r="256" spans="1:23" ht="13.2" x14ac:dyDescent="0.25">
      <c r="A256" s="41">
        <v>254</v>
      </c>
      <c r="B256" s="42">
        <v>0.57115568712873188</v>
      </c>
      <c r="C256" s="14" t="s">
        <v>5076</v>
      </c>
      <c r="D256" s="42">
        <v>0.39225389826682111</v>
      </c>
      <c r="E256" s="43">
        <v>38.922538982668215</v>
      </c>
      <c r="F256" s="42">
        <v>0.89214852633520425</v>
      </c>
      <c r="G256" s="43">
        <v>3.4503883221141938</v>
      </c>
      <c r="H256" s="42">
        <v>0.99793405178838135</v>
      </c>
      <c r="I256" s="43">
        <v>1.1759486902798781</v>
      </c>
      <c r="J256" s="42">
        <v>0.64968900133375496</v>
      </c>
      <c r="K256" s="43">
        <v>1.2591576352620395</v>
      </c>
      <c r="L256" s="43">
        <v>768.48637029874351</v>
      </c>
      <c r="M256" s="44">
        <v>270.90087131937076</v>
      </c>
      <c r="N256" s="44">
        <v>486.5317372833527</v>
      </c>
      <c r="O256" s="45" t="s">
        <v>5074</v>
      </c>
      <c r="P256" s="46">
        <v>2</v>
      </c>
      <c r="Q256" s="43">
        <v>768.48637029874351</v>
      </c>
      <c r="R256" s="43">
        <v>771.93675862085774</v>
      </c>
      <c r="S256" s="47">
        <v>0</v>
      </c>
      <c r="T256" s="48">
        <v>776.09481417060954</v>
      </c>
      <c r="U256" s="48">
        <v>771.93675862085774</v>
      </c>
      <c r="V256" s="48">
        <v>764.50962375870381</v>
      </c>
      <c r="W256" s="48">
        <v>764.37252925152382</v>
      </c>
    </row>
    <row r="257" spans="1:23" ht="13.2" x14ac:dyDescent="0.25">
      <c r="A257" s="41">
        <v>255</v>
      </c>
      <c r="B257" s="42">
        <v>5.7081014410164679E-2</v>
      </c>
      <c r="C257" s="14" t="s">
        <v>5073</v>
      </c>
      <c r="D257" s="42">
        <v>0.24764702527208582</v>
      </c>
      <c r="E257" s="43">
        <v>309.7176430326503</v>
      </c>
      <c r="F257" s="42">
        <v>0.13687696453969783</v>
      </c>
      <c r="G257" s="43">
        <v>8.8084248990092551</v>
      </c>
      <c r="H257" s="42">
        <v>0.60153638646078122</v>
      </c>
      <c r="I257" s="43">
        <v>3.4498971416375417</v>
      </c>
      <c r="J257" s="42">
        <v>0.82580957786450604</v>
      </c>
      <c r="K257" s="43">
        <v>0.55880603594597056</v>
      </c>
      <c r="L257" s="43">
        <v>769.04517633468947</v>
      </c>
      <c r="M257" s="44">
        <v>2155.6347955072461</v>
      </c>
      <c r="N257" s="44">
        <v>3871.4705379081288</v>
      </c>
      <c r="O257" s="45" t="s">
        <v>5074</v>
      </c>
      <c r="P257" s="46">
        <v>4</v>
      </c>
      <c r="Q257" s="43">
        <v>769.04517633468947</v>
      </c>
      <c r="R257" s="43">
        <v>777.85360123369878</v>
      </c>
      <c r="S257" s="47">
        <v>0</v>
      </c>
      <c r="T257" s="48">
        <v>776.09481417060954</v>
      </c>
      <c r="U257" s="48">
        <v>771.93675862085774</v>
      </c>
      <c r="V257" s="48">
        <v>764.50962375870381</v>
      </c>
      <c r="W257" s="48">
        <v>777.85360123369878</v>
      </c>
    </row>
    <row r="258" spans="1:23" ht="13.2" x14ac:dyDescent="0.25">
      <c r="A258" s="41">
        <v>256</v>
      </c>
      <c r="B258" s="42">
        <v>0.15973086290048941</v>
      </c>
      <c r="C258" s="14" t="s">
        <v>5073</v>
      </c>
      <c r="D258" s="42">
        <v>0.48670538304685868</v>
      </c>
      <c r="E258" s="43">
        <v>338.40464596562305</v>
      </c>
      <c r="F258" s="42">
        <v>0.74985201831434478</v>
      </c>
      <c r="G258" s="43">
        <v>10.727036817323899</v>
      </c>
      <c r="H258" s="42">
        <v>0.90292063071528483</v>
      </c>
      <c r="I258" s="43">
        <v>3.7301675946748865</v>
      </c>
      <c r="J258" s="42">
        <v>0.43497730532427192</v>
      </c>
      <c r="K258" s="43">
        <v>2.4305442946650575</v>
      </c>
      <c r="L258" s="43">
        <v>771.47572062935456</v>
      </c>
      <c r="M258" s="44">
        <v>2355.2963359207365</v>
      </c>
      <c r="N258" s="44">
        <v>4230.0580745702882</v>
      </c>
      <c r="O258" s="45" t="s">
        <v>5074</v>
      </c>
      <c r="P258" s="46">
        <v>3</v>
      </c>
      <c r="Q258" s="43">
        <v>771.47572062935456</v>
      </c>
      <c r="R258" s="43">
        <v>782.20275744667845</v>
      </c>
      <c r="S258" s="47">
        <v>0</v>
      </c>
      <c r="T258" s="48">
        <v>776.09481417060954</v>
      </c>
      <c r="U258" s="48">
        <v>771.93675862085774</v>
      </c>
      <c r="V258" s="48">
        <v>782.20275744667845</v>
      </c>
      <c r="W258" s="48">
        <v>777.85360123369878</v>
      </c>
    </row>
    <row r="259" spans="1:23" ht="13.2" x14ac:dyDescent="0.25">
      <c r="A259" s="41">
        <v>257</v>
      </c>
      <c r="B259" s="42">
        <v>7.1280829641633126E-2</v>
      </c>
      <c r="C259" s="14" t="s">
        <v>5073</v>
      </c>
      <c r="D259" s="42">
        <v>0.1950951852812875</v>
      </c>
      <c r="E259" s="43">
        <v>303.41142223375448</v>
      </c>
      <c r="F259" s="42">
        <v>0.28541628098367539</v>
      </c>
      <c r="G259" s="43">
        <v>9.2733529594789044</v>
      </c>
      <c r="H259" s="42">
        <v>7.2402982074955009E-3</v>
      </c>
      <c r="I259" s="43">
        <v>2.6042134699126906</v>
      </c>
      <c r="J259" s="42">
        <v>0.12950977735664221</v>
      </c>
      <c r="K259" s="43">
        <v>5.9678799996177991</v>
      </c>
      <c r="L259" s="43">
        <v>777.44360062897238</v>
      </c>
      <c r="M259" s="44">
        <v>2111.743498746931</v>
      </c>
      <c r="N259" s="44">
        <v>3792.6427779219312</v>
      </c>
      <c r="O259" s="45" t="s">
        <v>5074</v>
      </c>
      <c r="P259" s="46">
        <v>2</v>
      </c>
      <c r="Q259" s="43">
        <v>777.44360062897238</v>
      </c>
      <c r="R259" s="43">
        <v>786.71695358845125</v>
      </c>
      <c r="S259" s="47">
        <v>0</v>
      </c>
      <c r="T259" s="48">
        <v>776.09481417060954</v>
      </c>
      <c r="U259" s="48">
        <v>786.71695358845125</v>
      </c>
      <c r="V259" s="48">
        <v>782.20275744667845</v>
      </c>
      <c r="W259" s="48">
        <v>777.85360123369878</v>
      </c>
    </row>
    <row r="260" spans="1:23" ht="13.2" x14ac:dyDescent="0.25">
      <c r="A260" s="41">
        <v>258</v>
      </c>
      <c r="B260" s="42">
        <v>0.73429051075796159</v>
      </c>
      <c r="C260" s="14" t="s">
        <v>5079</v>
      </c>
      <c r="D260" s="42">
        <v>0.38455534185495011</v>
      </c>
      <c r="E260" s="43">
        <v>8.153666025564851</v>
      </c>
      <c r="F260" s="42">
        <v>0.45253705673503553</v>
      </c>
      <c r="G260" s="43">
        <v>1.4897790762408538</v>
      </c>
      <c r="H260" s="42">
        <v>0.71649783091456531</v>
      </c>
      <c r="I260" s="43">
        <v>0.49378330483975064</v>
      </c>
      <c r="J260" s="42">
        <v>2.4139012686972976E-2</v>
      </c>
      <c r="K260" s="43">
        <v>10.872776536092706</v>
      </c>
      <c r="L260" s="43">
        <v>788.31637716506509</v>
      </c>
      <c r="M260" s="44">
        <v>56.749515537931366</v>
      </c>
      <c r="N260" s="44">
        <v>101.92082531956063</v>
      </c>
      <c r="O260" s="45" t="s">
        <v>5074</v>
      </c>
      <c r="P260" s="46">
        <v>1</v>
      </c>
      <c r="Q260" s="43">
        <v>788.31637716506509</v>
      </c>
      <c r="R260" s="43">
        <v>789.80615624130598</v>
      </c>
      <c r="S260" s="47">
        <v>0</v>
      </c>
      <c r="T260" s="48">
        <v>789.80615624130598</v>
      </c>
      <c r="U260" s="48">
        <v>786.71695358845125</v>
      </c>
      <c r="V260" s="48">
        <v>782.20275744667845</v>
      </c>
      <c r="W260" s="48">
        <v>777.85360123369878</v>
      </c>
    </row>
    <row r="261" spans="1:23" ht="13.2" x14ac:dyDescent="0.25">
      <c r="A261" s="41">
        <v>259</v>
      </c>
      <c r="B261" s="42">
        <v>0.46222872960484995</v>
      </c>
      <c r="C261" s="14" t="s">
        <v>5077</v>
      </c>
      <c r="D261" s="42">
        <v>0.74828145874118501</v>
      </c>
      <c r="E261" s="43">
        <v>46.734533128670662</v>
      </c>
      <c r="F261" s="42">
        <v>0.66724711687641547</v>
      </c>
      <c r="G261" s="43">
        <v>3.4402786161006795</v>
      </c>
      <c r="H261" s="42">
        <v>0.97935466141409921</v>
      </c>
      <c r="I261" s="43">
        <v>1.603613266661561</v>
      </c>
      <c r="J261" s="42">
        <v>0.78992624943606848</v>
      </c>
      <c r="K261" s="43">
        <v>0.68851297233036401</v>
      </c>
      <c r="L261" s="43">
        <v>789.00489013739548</v>
      </c>
      <c r="M261" s="44">
        <v>325.27235057554782</v>
      </c>
      <c r="N261" s="44">
        <v>584.1816641083833</v>
      </c>
      <c r="O261" s="45" t="s">
        <v>5074</v>
      </c>
      <c r="P261" s="46">
        <v>4</v>
      </c>
      <c r="Q261" s="43">
        <v>789.00489013739548</v>
      </c>
      <c r="R261" s="43">
        <v>792.4451687534962</v>
      </c>
      <c r="S261" s="47">
        <v>0</v>
      </c>
      <c r="T261" s="48">
        <v>789.80615624130598</v>
      </c>
      <c r="U261" s="48">
        <v>786.71695358845125</v>
      </c>
      <c r="V261" s="48">
        <v>782.20275744667845</v>
      </c>
      <c r="W261" s="48">
        <v>792.4451687534962</v>
      </c>
    </row>
    <row r="262" spans="1:23" ht="13.2" x14ac:dyDescent="0.25">
      <c r="A262" s="41">
        <v>260</v>
      </c>
      <c r="B262" s="42">
        <v>0.46247851777005872</v>
      </c>
      <c r="C262" s="14" t="s">
        <v>5077</v>
      </c>
      <c r="D262" s="42">
        <v>0.52692715289393777</v>
      </c>
      <c r="E262" s="43">
        <v>44.742344376045438</v>
      </c>
      <c r="F262" s="42">
        <v>0.89130672760834295</v>
      </c>
      <c r="G262" s="43">
        <v>3.5478272292520048</v>
      </c>
      <c r="H262" s="42">
        <v>0.80290822303058029</v>
      </c>
      <c r="I262" s="43">
        <v>1.4021891546027263</v>
      </c>
      <c r="J262" s="42">
        <v>0.28207592260189163</v>
      </c>
      <c r="K262" s="43">
        <v>3.6951212122480226</v>
      </c>
      <c r="L262" s="43">
        <v>792.70001134964355</v>
      </c>
      <c r="M262" s="44">
        <v>311.40671685727625</v>
      </c>
      <c r="N262" s="44">
        <v>559.27930470056799</v>
      </c>
      <c r="O262" s="45" t="s">
        <v>5074</v>
      </c>
      <c r="P262" s="46">
        <v>3</v>
      </c>
      <c r="Q262" s="43">
        <v>792.70001134964355</v>
      </c>
      <c r="R262" s="43">
        <v>796.24783857889554</v>
      </c>
      <c r="S262" s="47">
        <v>0</v>
      </c>
      <c r="T262" s="48">
        <v>789.80615624130598</v>
      </c>
      <c r="U262" s="48">
        <v>786.71695358845125</v>
      </c>
      <c r="V262" s="48">
        <v>796.24783857889554</v>
      </c>
      <c r="W262" s="48">
        <v>792.4451687534962</v>
      </c>
    </row>
    <row r="263" spans="1:23" ht="13.2" x14ac:dyDescent="0.25">
      <c r="A263" s="41">
        <v>261</v>
      </c>
      <c r="B263" s="42">
        <v>0.89720485960003216</v>
      </c>
      <c r="C263" s="14" t="s">
        <v>5075</v>
      </c>
      <c r="D263" s="42">
        <v>0.39106168942109759</v>
      </c>
      <c r="E263" s="43">
        <v>307.37431825947681</v>
      </c>
      <c r="F263" s="42">
        <v>0.43071959839701635</v>
      </c>
      <c r="G263" s="43">
        <v>9.2071320008100628</v>
      </c>
      <c r="H263" s="42">
        <v>1.1657739529226786E-2</v>
      </c>
      <c r="I263" s="43">
        <v>1.6526940701482986</v>
      </c>
      <c r="J263" s="42">
        <v>7.1025832123600793E-2</v>
      </c>
      <c r="K263" s="43">
        <v>7.7217857967448955</v>
      </c>
      <c r="L263" s="43">
        <v>800.42179714638849</v>
      </c>
      <c r="M263" s="44">
        <v>2139.3252550859584</v>
      </c>
      <c r="N263" s="44">
        <v>3842.1789782434603</v>
      </c>
      <c r="O263" s="45" t="s">
        <v>5074</v>
      </c>
      <c r="P263" s="46">
        <v>2</v>
      </c>
      <c r="Q263" s="43">
        <v>800.42179714638849</v>
      </c>
      <c r="R263" s="43">
        <v>809.62892914719851</v>
      </c>
      <c r="S263" s="47">
        <v>0</v>
      </c>
      <c r="T263" s="48">
        <v>789.80615624130598</v>
      </c>
      <c r="U263" s="48">
        <v>809.62892914719851</v>
      </c>
      <c r="V263" s="48">
        <v>796.24783857889554</v>
      </c>
      <c r="W263" s="48">
        <v>792.4451687534962</v>
      </c>
    </row>
    <row r="264" spans="1:23" ht="13.2" x14ac:dyDescent="0.25">
      <c r="A264" s="41">
        <v>262</v>
      </c>
      <c r="B264" s="42">
        <v>0.74535148252982253</v>
      </c>
      <c r="C264" s="14" t="s">
        <v>5079</v>
      </c>
      <c r="D264" s="42">
        <v>0.64859389869896411</v>
      </c>
      <c r="E264" s="43">
        <v>8.9457816960968923</v>
      </c>
      <c r="F264" s="42">
        <v>0.23136783914238579</v>
      </c>
      <c r="G264" s="43">
        <v>1.4654504623056623</v>
      </c>
      <c r="H264" s="42">
        <v>2.4584425624732127E-2</v>
      </c>
      <c r="I264" s="43">
        <v>0.24958268409912088</v>
      </c>
      <c r="J264" s="42">
        <v>0.86319895315132988</v>
      </c>
      <c r="K264" s="43">
        <v>0.42951847530590509</v>
      </c>
      <c r="L264" s="43">
        <v>800.85131562169443</v>
      </c>
      <c r="M264" s="44">
        <v>62.262640604834367</v>
      </c>
      <c r="N264" s="44">
        <v>111.82227120121115</v>
      </c>
      <c r="O264" s="45" t="s">
        <v>5074</v>
      </c>
      <c r="P264" s="46">
        <v>1</v>
      </c>
      <c r="Q264" s="43">
        <v>800.85131562169443</v>
      </c>
      <c r="R264" s="43">
        <v>802.31676608400005</v>
      </c>
      <c r="S264" s="47">
        <v>0</v>
      </c>
      <c r="T264" s="48">
        <v>802.31676608400005</v>
      </c>
      <c r="U264" s="48">
        <v>809.62892914719851</v>
      </c>
      <c r="V264" s="48">
        <v>796.24783857889554</v>
      </c>
      <c r="W264" s="48">
        <v>792.4451687534962</v>
      </c>
    </row>
    <row r="265" spans="1:23" ht="13.2" x14ac:dyDescent="0.25">
      <c r="A265" s="41">
        <v>263</v>
      </c>
      <c r="B265" s="42">
        <v>0.70963016325125017</v>
      </c>
      <c r="C265" s="14" t="s">
        <v>5079</v>
      </c>
      <c r="D265" s="42">
        <v>0.61962173302640289</v>
      </c>
      <c r="E265" s="43">
        <v>8.858865199079208</v>
      </c>
      <c r="F265" s="42">
        <v>0.33730171915949403</v>
      </c>
      <c r="G265" s="43">
        <v>1.4771031891075443</v>
      </c>
      <c r="H265" s="42">
        <v>0.61621990269805305</v>
      </c>
      <c r="I265" s="43">
        <v>0.46006872943425647</v>
      </c>
      <c r="J265" s="42">
        <v>0.90567442258152853</v>
      </c>
      <c r="K265" s="43">
        <v>0.289271224809864</v>
      </c>
      <c r="L265" s="43">
        <v>801.14058684650433</v>
      </c>
      <c r="M265" s="44">
        <v>61.657701785591286</v>
      </c>
      <c r="N265" s="44">
        <v>110.73581498849011</v>
      </c>
      <c r="O265" s="45" t="s">
        <v>5074</v>
      </c>
      <c r="P265" s="46">
        <v>4</v>
      </c>
      <c r="Q265" s="43">
        <v>801.14058684650433</v>
      </c>
      <c r="R265" s="43">
        <v>802.61769003561187</v>
      </c>
      <c r="S265" s="47">
        <v>0</v>
      </c>
      <c r="T265" s="48">
        <v>802.31676608400005</v>
      </c>
      <c r="U265" s="48">
        <v>809.62892914719851</v>
      </c>
      <c r="V265" s="48">
        <v>796.24783857889554</v>
      </c>
      <c r="W265" s="48">
        <v>802.61769003561187</v>
      </c>
    </row>
    <row r="266" spans="1:23" ht="13.2" x14ac:dyDescent="0.25">
      <c r="A266" s="41">
        <v>264</v>
      </c>
      <c r="B266" s="42">
        <v>0.19038346465229219</v>
      </c>
      <c r="C266" s="14" t="s">
        <v>5073</v>
      </c>
      <c r="D266" s="42">
        <v>0.5086363025515509</v>
      </c>
      <c r="E266" s="43">
        <v>341.03635630618612</v>
      </c>
      <c r="F266" s="42">
        <v>0.31364056622313363</v>
      </c>
      <c r="G266" s="43">
        <v>9.3616949722784089</v>
      </c>
      <c r="H266" s="42">
        <v>3.5628507396033272E-2</v>
      </c>
      <c r="I266" s="43">
        <v>2.731176904326643</v>
      </c>
      <c r="J266" s="42">
        <v>1.3409328187540792E-2</v>
      </c>
      <c r="K266" s="43">
        <v>12.5892107469056</v>
      </c>
      <c r="L266" s="43">
        <v>813.7297975934099</v>
      </c>
      <c r="M266" s="44">
        <v>2373.6130398910555</v>
      </c>
      <c r="N266" s="44">
        <v>4262.9544538273267</v>
      </c>
      <c r="O266" s="45" t="s">
        <v>5074</v>
      </c>
      <c r="P266" s="46">
        <v>3</v>
      </c>
      <c r="Q266" s="43">
        <v>813.7297975934099</v>
      </c>
      <c r="R266" s="43">
        <v>823.09149256568833</v>
      </c>
      <c r="S266" s="47">
        <v>0</v>
      </c>
      <c r="T266" s="48">
        <v>802.31676608400005</v>
      </c>
      <c r="U266" s="48">
        <v>809.62892914719851</v>
      </c>
      <c r="V266" s="48">
        <v>823.09149256568833</v>
      </c>
      <c r="W266" s="48">
        <v>802.61769003561187</v>
      </c>
    </row>
    <row r="267" spans="1:23" ht="13.2" x14ac:dyDescent="0.25">
      <c r="A267" s="41">
        <v>265</v>
      </c>
      <c r="B267" s="42">
        <v>0.6341373122456192</v>
      </c>
      <c r="C267" s="14" t="s">
        <v>5076</v>
      </c>
      <c r="D267" s="42">
        <v>0.8818015851461336</v>
      </c>
      <c r="E267" s="43">
        <v>43.81801585146134</v>
      </c>
      <c r="F267" s="42">
        <v>0.25565131393058754</v>
      </c>
      <c r="G267" s="43">
        <v>3.1575996044080701</v>
      </c>
      <c r="H267" s="42">
        <v>0.47545625710648309</v>
      </c>
      <c r="I267" s="43">
        <v>0.81676084749834765</v>
      </c>
      <c r="J267" s="42">
        <v>0.29849611469474441</v>
      </c>
      <c r="K267" s="43">
        <v>3.529922225787443</v>
      </c>
      <c r="L267" s="43">
        <v>817.25971981919736</v>
      </c>
      <c r="M267" s="44">
        <v>304.97339032617094</v>
      </c>
      <c r="N267" s="44">
        <v>547.72519814326677</v>
      </c>
      <c r="O267" s="45" t="s">
        <v>5074</v>
      </c>
      <c r="P267" s="46">
        <v>1</v>
      </c>
      <c r="Q267" s="43">
        <v>817.25971981919736</v>
      </c>
      <c r="R267" s="43">
        <v>820.41731942360548</v>
      </c>
      <c r="S267" s="47">
        <v>0</v>
      </c>
      <c r="T267" s="48">
        <v>820.41731942360548</v>
      </c>
      <c r="U267" s="48">
        <v>809.62892914719851</v>
      </c>
      <c r="V267" s="48">
        <v>823.09149256568833</v>
      </c>
      <c r="W267" s="48">
        <v>802.61769003561187</v>
      </c>
    </row>
    <row r="268" spans="1:23" ht="13.2" x14ac:dyDescent="0.25">
      <c r="A268" s="41">
        <v>266</v>
      </c>
      <c r="B268" s="42">
        <v>0.71744821533441927</v>
      </c>
      <c r="C268" s="14" t="s">
        <v>5079</v>
      </c>
      <c r="D268" s="42">
        <v>0.96276547012979419</v>
      </c>
      <c r="E268" s="43">
        <v>9.8882964103893833</v>
      </c>
      <c r="F268" s="42">
        <v>0.66630374159026129</v>
      </c>
      <c r="G268" s="43">
        <v>1.5132934115749288</v>
      </c>
      <c r="H268" s="42">
        <v>0.70760647566411949</v>
      </c>
      <c r="I268" s="43">
        <v>0.49057452721700234</v>
      </c>
      <c r="J268" s="42">
        <v>0.14104076434906607</v>
      </c>
      <c r="K268" s="43">
        <v>5.7188505738080497</v>
      </c>
      <c r="L268" s="43">
        <v>822.97857039300538</v>
      </c>
      <c r="M268" s="44">
        <v>68.822543016310107</v>
      </c>
      <c r="N268" s="44">
        <v>123.60370512986729</v>
      </c>
      <c r="O268" s="45" t="s">
        <v>5074</v>
      </c>
      <c r="P268" s="46">
        <v>4</v>
      </c>
      <c r="Q268" s="43">
        <v>822.97857039300538</v>
      </c>
      <c r="R268" s="43">
        <v>824.49186380458036</v>
      </c>
      <c r="S268" s="47">
        <v>0</v>
      </c>
      <c r="T268" s="48">
        <v>820.41731942360548</v>
      </c>
      <c r="U268" s="48">
        <v>809.62892914719851</v>
      </c>
      <c r="V268" s="48">
        <v>823.09149256568833</v>
      </c>
      <c r="W268" s="48">
        <v>824.49186380458036</v>
      </c>
    </row>
    <row r="269" spans="1:23" ht="13.2" x14ac:dyDescent="0.25">
      <c r="A269" s="41">
        <v>267</v>
      </c>
      <c r="B269" s="42">
        <v>0.35041407512054501</v>
      </c>
      <c r="C269" s="14" t="s">
        <v>5077</v>
      </c>
      <c r="D269" s="42">
        <v>0.46052597112046834</v>
      </c>
      <c r="E269" s="43">
        <v>44.144733740084213</v>
      </c>
      <c r="F269" s="42">
        <v>0.46421524345139753</v>
      </c>
      <c r="G269" s="43">
        <v>3.3428233168566708</v>
      </c>
      <c r="H269" s="42">
        <v>0.35024188335530548</v>
      </c>
      <c r="I269" s="43">
        <v>1.1550874230494652</v>
      </c>
      <c r="J269" s="42">
        <v>0.84302793575591772</v>
      </c>
      <c r="K269" s="43">
        <v>0.4985552789163622</v>
      </c>
      <c r="L269" s="43">
        <v>823.47712567192173</v>
      </c>
      <c r="M269" s="44">
        <v>307.24734683098615</v>
      </c>
      <c r="N269" s="44">
        <v>551.80917175105265</v>
      </c>
      <c r="O269" s="45" t="s">
        <v>5074</v>
      </c>
      <c r="P269" s="46">
        <v>2</v>
      </c>
      <c r="Q269" s="43">
        <v>823.47712567192173</v>
      </c>
      <c r="R269" s="43">
        <v>826.81994898877838</v>
      </c>
      <c r="S269" s="47">
        <v>0</v>
      </c>
      <c r="T269" s="48">
        <v>820.41731942360548</v>
      </c>
      <c r="U269" s="48">
        <v>826.81994898877838</v>
      </c>
      <c r="V269" s="48">
        <v>823.09149256568833</v>
      </c>
      <c r="W269" s="48">
        <v>824.49186380458036</v>
      </c>
    </row>
    <row r="270" spans="1:23" ht="13.2" x14ac:dyDescent="0.25">
      <c r="A270" s="41">
        <v>268</v>
      </c>
      <c r="B270" s="42">
        <v>0.5469000649391208</v>
      </c>
      <c r="C270" s="14" t="s">
        <v>5076</v>
      </c>
      <c r="D270" s="42">
        <v>0.30272873598277977</v>
      </c>
      <c r="E270" s="43">
        <v>38.027287359827795</v>
      </c>
      <c r="F270" s="42">
        <v>2.1397682382444702E-2</v>
      </c>
      <c r="G270" s="43">
        <v>3.0498429338959245</v>
      </c>
      <c r="H270" s="42">
        <v>0.44940358467837965</v>
      </c>
      <c r="I270" s="43">
        <v>0.80735894726855972</v>
      </c>
      <c r="J270" s="42">
        <v>0.97392272575475403</v>
      </c>
      <c r="K270" s="43">
        <v>7.7148366406972826E-2</v>
      </c>
      <c r="L270" s="43">
        <v>823.55427403832869</v>
      </c>
      <c r="M270" s="44">
        <v>264.66992002440145</v>
      </c>
      <c r="N270" s="44">
        <v>475.34109199784746</v>
      </c>
      <c r="O270" s="45" t="s">
        <v>5074</v>
      </c>
      <c r="P270" s="46">
        <v>1</v>
      </c>
      <c r="Q270" s="43">
        <v>823.55427403832869</v>
      </c>
      <c r="R270" s="43">
        <v>826.60411697222457</v>
      </c>
      <c r="S270" s="47">
        <v>0</v>
      </c>
      <c r="T270" s="48">
        <v>826.60411697222457</v>
      </c>
      <c r="U270" s="48">
        <v>826.81994898877838</v>
      </c>
      <c r="V270" s="48">
        <v>823.09149256568833</v>
      </c>
      <c r="W270" s="48">
        <v>824.49186380458036</v>
      </c>
    </row>
    <row r="271" spans="1:23" ht="13.2" x14ac:dyDescent="0.25">
      <c r="A271" s="41">
        <v>269</v>
      </c>
      <c r="B271" s="42">
        <v>0.1972228778513255</v>
      </c>
      <c r="C271" s="14" t="s">
        <v>5073</v>
      </c>
      <c r="D271" s="42">
        <v>0.88289142348006899</v>
      </c>
      <c r="E271" s="43">
        <v>385.9469708176083</v>
      </c>
      <c r="F271" s="42">
        <v>0.31880410775486573</v>
      </c>
      <c r="G271" s="43">
        <v>9.3778568572727306</v>
      </c>
      <c r="H271" s="42">
        <v>0.8795966137571245</v>
      </c>
      <c r="I271" s="43">
        <v>3.6994961902368679</v>
      </c>
      <c r="J271" s="42">
        <v>2.5650023494684149E-2</v>
      </c>
      <c r="K271" s="43">
        <v>10.695505960273538</v>
      </c>
      <c r="L271" s="43">
        <v>834.24977999860221</v>
      </c>
      <c r="M271" s="44">
        <v>2686.1909168905536</v>
      </c>
      <c r="N271" s="44">
        <v>4824.3371352201038</v>
      </c>
      <c r="O271" s="45" t="s">
        <v>5074</v>
      </c>
      <c r="P271" s="46">
        <v>3</v>
      </c>
      <c r="Q271" s="43">
        <v>834.24977999860221</v>
      </c>
      <c r="R271" s="43">
        <v>843.62763685587493</v>
      </c>
      <c r="S271" s="47">
        <v>0</v>
      </c>
      <c r="T271" s="48">
        <v>826.60411697222457</v>
      </c>
      <c r="U271" s="48">
        <v>826.81994898877838</v>
      </c>
      <c r="V271" s="48">
        <v>843.62763685587493</v>
      </c>
      <c r="W271" s="48">
        <v>824.49186380458036</v>
      </c>
    </row>
    <row r="272" spans="1:23" ht="13.2" x14ac:dyDescent="0.25">
      <c r="A272" s="41">
        <v>270</v>
      </c>
      <c r="B272" s="42">
        <v>0.57749343504081174</v>
      </c>
      <c r="C272" s="14" t="s">
        <v>5076</v>
      </c>
      <c r="D272" s="42">
        <v>0.73209725307864004</v>
      </c>
      <c r="E272" s="43">
        <v>42.320972530786399</v>
      </c>
      <c r="F272" s="42">
        <v>0.6523166693059339</v>
      </c>
      <c r="G272" s="43">
        <v>3.3400656678807294</v>
      </c>
      <c r="H272" s="42">
        <v>0.87611240561870507</v>
      </c>
      <c r="I272" s="43">
        <v>1.0137514391283449</v>
      </c>
      <c r="J272" s="42">
        <v>0.47409842092269028</v>
      </c>
      <c r="K272" s="43">
        <v>2.1790958825216484</v>
      </c>
      <c r="L272" s="43">
        <v>836.42887588112387</v>
      </c>
      <c r="M272" s="44">
        <v>294.55396881427333</v>
      </c>
      <c r="N272" s="44">
        <v>529.01215663483003</v>
      </c>
      <c r="O272" s="45" t="s">
        <v>5074</v>
      </c>
      <c r="P272" s="46">
        <v>4</v>
      </c>
      <c r="Q272" s="43">
        <v>836.42887588112387</v>
      </c>
      <c r="R272" s="43">
        <v>839.76894154900458</v>
      </c>
      <c r="S272" s="47">
        <v>0</v>
      </c>
      <c r="T272" s="48">
        <v>826.60411697222457</v>
      </c>
      <c r="U272" s="48">
        <v>826.81994898877838</v>
      </c>
      <c r="V272" s="48">
        <v>843.62763685587493</v>
      </c>
      <c r="W272" s="48">
        <v>839.76894154900458</v>
      </c>
    </row>
    <row r="273" spans="1:23" ht="13.2" x14ac:dyDescent="0.25">
      <c r="A273" s="41">
        <v>271</v>
      </c>
      <c r="B273" s="42">
        <v>0.14622228692575465</v>
      </c>
      <c r="C273" s="14" t="s">
        <v>5073</v>
      </c>
      <c r="D273" s="42">
        <v>0.12428103765672122</v>
      </c>
      <c r="E273" s="43">
        <v>294.91372451880653</v>
      </c>
      <c r="F273" s="42">
        <v>0.36634149978232639</v>
      </c>
      <c r="G273" s="43">
        <v>9.5266488943186829</v>
      </c>
      <c r="H273" s="42">
        <v>5.7061122756945491E-2</v>
      </c>
      <c r="I273" s="43">
        <v>2.792560564901386</v>
      </c>
      <c r="J273" s="42">
        <v>0.13749295060406111</v>
      </c>
      <c r="K273" s="43">
        <v>5.7932339606536587</v>
      </c>
      <c r="L273" s="43">
        <v>842.22210984177752</v>
      </c>
      <c r="M273" s="44">
        <v>2052.5995226508935</v>
      </c>
      <c r="N273" s="44">
        <v>3686.4215564850815</v>
      </c>
      <c r="O273" s="45" t="s">
        <v>5074</v>
      </c>
      <c r="P273" s="46">
        <v>1</v>
      </c>
      <c r="Q273" s="43">
        <v>842.22210984177752</v>
      </c>
      <c r="R273" s="43">
        <v>851.74875873609619</v>
      </c>
      <c r="S273" s="47">
        <v>0</v>
      </c>
      <c r="T273" s="48">
        <v>851.74875873609619</v>
      </c>
      <c r="U273" s="48">
        <v>826.81994898877838</v>
      </c>
      <c r="V273" s="48">
        <v>843.62763685587493</v>
      </c>
      <c r="W273" s="48">
        <v>839.76894154900458</v>
      </c>
    </row>
    <row r="274" spans="1:23" ht="13.2" x14ac:dyDescent="0.25">
      <c r="A274" s="41">
        <v>272</v>
      </c>
      <c r="B274" s="42">
        <v>0.92574017072363768</v>
      </c>
      <c r="C274" s="14" t="s">
        <v>5075</v>
      </c>
      <c r="D274" s="42">
        <v>0.12980970886061421</v>
      </c>
      <c r="E274" s="43">
        <v>289.08667962024299</v>
      </c>
      <c r="F274" s="42">
        <v>0.97777715976246504</v>
      </c>
      <c r="G274" s="43">
        <v>10.295776547927305</v>
      </c>
      <c r="H274" s="42">
        <v>0.99898956296918429</v>
      </c>
      <c r="I274" s="43">
        <v>3.4550458671351407</v>
      </c>
      <c r="J274" s="42">
        <v>0.57443722736762703</v>
      </c>
      <c r="K274" s="43">
        <v>1.6185823429823907</v>
      </c>
      <c r="L274" s="43">
        <v>843.84069218475986</v>
      </c>
      <c r="M274" s="44">
        <v>2012.0432901568911</v>
      </c>
      <c r="N274" s="44">
        <v>3613.5834952530372</v>
      </c>
      <c r="O274" s="45" t="s">
        <v>5074</v>
      </c>
      <c r="P274" s="46">
        <v>2</v>
      </c>
      <c r="Q274" s="43">
        <v>843.84069218475986</v>
      </c>
      <c r="R274" s="43">
        <v>854.13646873268715</v>
      </c>
      <c r="S274" s="47">
        <v>0</v>
      </c>
      <c r="T274" s="48">
        <v>851.74875873609619</v>
      </c>
      <c r="U274" s="48">
        <v>854.13646873268715</v>
      </c>
      <c r="V274" s="48">
        <v>843.62763685587493</v>
      </c>
      <c r="W274" s="48">
        <v>839.76894154900458</v>
      </c>
    </row>
    <row r="275" spans="1:23" ht="13.2" x14ac:dyDescent="0.25">
      <c r="A275" s="41">
        <v>273</v>
      </c>
      <c r="B275" s="42">
        <v>0.59802004536521625</v>
      </c>
      <c r="C275" s="14" t="s">
        <v>5076</v>
      </c>
      <c r="D275" s="42">
        <v>0.78814748245670807</v>
      </c>
      <c r="E275" s="43">
        <v>42.881474824567078</v>
      </c>
      <c r="F275" s="42">
        <v>0.66037219793553104</v>
      </c>
      <c r="G275" s="43">
        <v>3.3437712110503441</v>
      </c>
      <c r="H275" s="42">
        <v>0.50490458565992513</v>
      </c>
      <c r="I275" s="43">
        <v>0.8276739117182077</v>
      </c>
      <c r="J275" s="42">
        <v>0.77758153284787268</v>
      </c>
      <c r="K275" s="43">
        <v>0.73450153292714249</v>
      </c>
      <c r="L275" s="43">
        <v>844.57519371768706</v>
      </c>
      <c r="M275" s="44">
        <v>298.45506477898687</v>
      </c>
      <c r="N275" s="44">
        <v>536.01843530708845</v>
      </c>
      <c r="O275" s="45" t="s">
        <v>5074</v>
      </c>
      <c r="P275" s="46">
        <v>4</v>
      </c>
      <c r="Q275" s="43">
        <v>844.57519371768706</v>
      </c>
      <c r="R275" s="43">
        <v>847.91896492873741</v>
      </c>
      <c r="S275" s="47">
        <v>0</v>
      </c>
      <c r="T275" s="48">
        <v>851.74875873609619</v>
      </c>
      <c r="U275" s="48">
        <v>854.13646873268715</v>
      </c>
      <c r="V275" s="48">
        <v>843.62763685587493</v>
      </c>
      <c r="W275" s="48">
        <v>847.91896492873741</v>
      </c>
    </row>
    <row r="276" spans="1:23" ht="13.2" x14ac:dyDescent="0.25">
      <c r="A276" s="41">
        <v>274</v>
      </c>
      <c r="B276" s="42">
        <v>0.37309955124421956</v>
      </c>
      <c r="C276" s="14" t="s">
        <v>5077</v>
      </c>
      <c r="D276" s="42">
        <v>2.6707304654040981E-3</v>
      </c>
      <c r="E276" s="43">
        <v>40.024036574188635</v>
      </c>
      <c r="F276" s="42">
        <v>0.96976387266524311</v>
      </c>
      <c r="G276" s="43">
        <v>3.5854866588793168</v>
      </c>
      <c r="H276" s="42">
        <v>0.68228405978637008</v>
      </c>
      <c r="I276" s="43">
        <v>1.321883386908042</v>
      </c>
      <c r="J276" s="42">
        <v>0.34675185351946941</v>
      </c>
      <c r="K276" s="43">
        <v>3.0923967135639678</v>
      </c>
      <c r="L276" s="43">
        <v>847.66759043125103</v>
      </c>
      <c r="M276" s="44">
        <v>278.56729455635292</v>
      </c>
      <c r="N276" s="44">
        <v>500.30045717735794</v>
      </c>
      <c r="O276" s="45" t="s">
        <v>5074</v>
      </c>
      <c r="P276" s="46">
        <v>3</v>
      </c>
      <c r="Q276" s="43">
        <v>847.66759043125103</v>
      </c>
      <c r="R276" s="43">
        <v>851.25307709013032</v>
      </c>
      <c r="S276" s="47">
        <v>0</v>
      </c>
      <c r="T276" s="48">
        <v>851.74875873609619</v>
      </c>
      <c r="U276" s="48">
        <v>854.13646873268715</v>
      </c>
      <c r="V276" s="48">
        <v>851.25307709013032</v>
      </c>
      <c r="W276" s="48">
        <v>847.91896492873741</v>
      </c>
    </row>
    <row r="277" spans="1:23" ht="13.2" x14ac:dyDescent="0.25">
      <c r="A277" s="41">
        <v>275</v>
      </c>
      <c r="B277" s="42">
        <v>0.60111544076405254</v>
      </c>
      <c r="C277" s="14" t="s">
        <v>5076</v>
      </c>
      <c r="D277" s="42">
        <v>0.15117373045122889</v>
      </c>
      <c r="E277" s="43">
        <v>36.511737304512287</v>
      </c>
      <c r="F277" s="42">
        <v>0.9258152776983638</v>
      </c>
      <c r="G277" s="43">
        <v>3.4658750277412471</v>
      </c>
      <c r="H277" s="42">
        <v>0.14724681486713087</v>
      </c>
      <c r="I277" s="43">
        <v>0.67584604380564683</v>
      </c>
      <c r="J277" s="42">
        <v>0.47665265690379433</v>
      </c>
      <c r="K277" s="43">
        <v>2.1634079881434802</v>
      </c>
      <c r="L277" s="43">
        <v>849.83099841939452</v>
      </c>
      <c r="M277" s="44">
        <v>254.12169163940553</v>
      </c>
      <c r="N277" s="44">
        <v>456.39671630640362</v>
      </c>
      <c r="O277" s="45" t="s">
        <v>5074</v>
      </c>
      <c r="P277" s="46">
        <v>4</v>
      </c>
      <c r="Q277" s="43">
        <v>849.83099841939452</v>
      </c>
      <c r="R277" s="43">
        <v>853.29687344713579</v>
      </c>
      <c r="S277" s="47">
        <v>0</v>
      </c>
      <c r="T277" s="48">
        <v>851.74875873609619</v>
      </c>
      <c r="U277" s="48">
        <v>854.13646873268715</v>
      </c>
      <c r="V277" s="48">
        <v>851.25307709013032</v>
      </c>
      <c r="W277" s="48">
        <v>853.29687344713579</v>
      </c>
    </row>
    <row r="278" spans="1:23" ht="13.2" x14ac:dyDescent="0.25">
      <c r="A278" s="41">
        <v>276</v>
      </c>
      <c r="B278" s="42">
        <v>0.73586873418459142</v>
      </c>
      <c r="C278" s="14" t="s">
        <v>5079</v>
      </c>
      <c r="D278" s="42">
        <v>0.37690455297795339</v>
      </c>
      <c r="E278" s="43">
        <v>8.1307136589338604</v>
      </c>
      <c r="F278" s="42">
        <v>0.52318157373144369</v>
      </c>
      <c r="G278" s="43">
        <v>1.4975499731104589</v>
      </c>
      <c r="H278" s="42">
        <v>0.28115127714404431</v>
      </c>
      <c r="I278" s="43">
        <v>0.36767566226022319</v>
      </c>
      <c r="J278" s="42">
        <v>0.80172413624903383</v>
      </c>
      <c r="K278" s="43">
        <v>0.64522832131704533</v>
      </c>
      <c r="L278" s="43">
        <v>850.47622674071158</v>
      </c>
      <c r="M278" s="44">
        <v>56.875396032879287</v>
      </c>
      <c r="N278" s="44">
        <v>101.63392073667326</v>
      </c>
      <c r="O278" s="45" t="s">
        <v>5074</v>
      </c>
      <c r="P278" s="46">
        <v>3</v>
      </c>
      <c r="Q278" s="43">
        <v>851.25307709013032</v>
      </c>
      <c r="R278" s="43">
        <v>852.75062706324081</v>
      </c>
      <c r="S278" s="43">
        <v>0.7768503494187371</v>
      </c>
      <c r="T278" s="48">
        <v>851.74875873609619</v>
      </c>
      <c r="U278" s="48">
        <v>854.13646873268715</v>
      </c>
      <c r="V278" s="48">
        <v>852.75062706324081</v>
      </c>
      <c r="W278" s="48">
        <v>853.29687344713579</v>
      </c>
    </row>
    <row r="279" spans="1:23" ht="13.2" x14ac:dyDescent="0.25">
      <c r="A279" s="41">
        <v>277</v>
      </c>
      <c r="B279" s="42">
        <v>0.34002586889081909</v>
      </c>
      <c r="C279" s="14" t="s">
        <v>5077</v>
      </c>
      <c r="D279" s="42">
        <v>3.1551436535805201E-2</v>
      </c>
      <c r="E279" s="43">
        <v>40.283962928822248</v>
      </c>
      <c r="F279" s="42">
        <v>0.62703570706166123</v>
      </c>
      <c r="G279" s="43">
        <v>3.4209771393895974</v>
      </c>
      <c r="H279" s="42">
        <v>8.2432757635802378E-2</v>
      </c>
      <c r="I279" s="43">
        <v>0.97226663272058489</v>
      </c>
      <c r="J279" s="42">
        <v>0.85803967987095919</v>
      </c>
      <c r="K279" s="43">
        <v>0.44702170402242764</v>
      </c>
      <c r="L279" s="43">
        <v>850.92324844473399</v>
      </c>
      <c r="M279" s="44">
        <v>281.1789980958618</v>
      </c>
      <c r="N279" s="44">
        <v>503.5495366102781</v>
      </c>
      <c r="O279" s="45" t="s">
        <v>5074</v>
      </c>
      <c r="P279" s="46">
        <v>1</v>
      </c>
      <c r="Q279" s="43">
        <v>851.74875873609619</v>
      </c>
      <c r="R279" s="43">
        <v>855.1697358754858</v>
      </c>
      <c r="S279" s="43">
        <v>0.82551029136220677</v>
      </c>
      <c r="T279" s="48">
        <v>855.1697358754858</v>
      </c>
      <c r="U279" s="48">
        <v>854.13646873268715</v>
      </c>
      <c r="V279" s="48">
        <v>852.75062706324081</v>
      </c>
      <c r="W279" s="48">
        <v>853.29687344713579</v>
      </c>
    </row>
    <row r="280" spans="1:23" ht="13.2" x14ac:dyDescent="0.25">
      <c r="A280" s="41">
        <v>278</v>
      </c>
      <c r="B280" s="42">
        <v>0.97027315430821537</v>
      </c>
      <c r="C280" s="14" t="s">
        <v>5080</v>
      </c>
      <c r="D280" s="42">
        <v>0.39431082801628431</v>
      </c>
      <c r="E280" s="43">
        <v>94.857770700407102</v>
      </c>
      <c r="F280" s="42">
        <v>0.70313975154568431</v>
      </c>
      <c r="G280" s="43">
        <v>4.5896954658346694</v>
      </c>
      <c r="H280" s="42">
        <v>0.16707752606229742</v>
      </c>
      <c r="I280" s="43">
        <v>1.6905014144013331</v>
      </c>
      <c r="J280" s="42">
        <v>0.19120479151197001</v>
      </c>
      <c r="K280" s="43">
        <v>4.8303947984519411</v>
      </c>
      <c r="L280" s="43">
        <v>855.75364324318593</v>
      </c>
      <c r="M280" s="44">
        <v>660.21008407483339</v>
      </c>
      <c r="N280" s="44">
        <v>1185.7221337550889</v>
      </c>
      <c r="O280" s="45" t="s">
        <v>5074</v>
      </c>
      <c r="P280" s="46">
        <v>3</v>
      </c>
      <c r="Q280" s="43">
        <v>855.75364324318593</v>
      </c>
      <c r="R280" s="43">
        <v>860.3433387090206</v>
      </c>
      <c r="S280" s="47">
        <v>0</v>
      </c>
      <c r="T280" s="48">
        <v>855.1697358754858</v>
      </c>
      <c r="U280" s="48">
        <v>854.13646873268715</v>
      </c>
      <c r="V280" s="48">
        <v>860.3433387090206</v>
      </c>
      <c r="W280" s="48">
        <v>853.29687344713579</v>
      </c>
    </row>
    <row r="281" spans="1:23" ht="13.2" x14ac:dyDescent="0.25">
      <c r="A281" s="41">
        <v>279</v>
      </c>
      <c r="B281" s="42">
        <v>0.62772740778873093</v>
      </c>
      <c r="C281" s="14" t="s">
        <v>5076</v>
      </c>
      <c r="D281" s="42">
        <v>0.43558548318016599</v>
      </c>
      <c r="E281" s="43">
        <v>39.355854831801658</v>
      </c>
      <c r="F281" s="42">
        <v>0.39852641168913172</v>
      </c>
      <c r="G281" s="43">
        <v>3.2233221493770006</v>
      </c>
      <c r="H281" s="42">
        <v>0.64755279787236486</v>
      </c>
      <c r="I281" s="43">
        <v>0.88585796748009371</v>
      </c>
      <c r="J281" s="42">
        <v>0.29301444408158511</v>
      </c>
      <c r="K281" s="43">
        <v>3.5840390480974076</v>
      </c>
      <c r="L281" s="43">
        <v>859.33768229128339</v>
      </c>
      <c r="M281" s="44">
        <v>273.91674962933956</v>
      </c>
      <c r="N281" s="44">
        <v>491.94818539752072</v>
      </c>
      <c r="O281" s="45" t="s">
        <v>5074</v>
      </c>
      <c r="P281" s="46">
        <v>4</v>
      </c>
      <c r="Q281" s="43">
        <v>859.33768229128339</v>
      </c>
      <c r="R281" s="43">
        <v>862.56100444066044</v>
      </c>
      <c r="S281" s="47">
        <v>0</v>
      </c>
      <c r="T281" s="48">
        <v>855.1697358754858</v>
      </c>
      <c r="U281" s="48">
        <v>854.13646873268715</v>
      </c>
      <c r="V281" s="48">
        <v>860.3433387090206</v>
      </c>
      <c r="W281" s="48">
        <v>862.56100444066044</v>
      </c>
    </row>
    <row r="282" spans="1:23" ht="13.2" x14ac:dyDescent="0.25">
      <c r="A282" s="41">
        <v>280</v>
      </c>
      <c r="B282" s="42">
        <v>0.33967084639690392</v>
      </c>
      <c r="C282" s="14" t="s">
        <v>5077</v>
      </c>
      <c r="D282" s="42">
        <v>8.7734752375509012E-2</v>
      </c>
      <c r="E282" s="43">
        <v>40.789612771379581</v>
      </c>
      <c r="F282" s="42">
        <v>0.16083379004189455</v>
      </c>
      <c r="G282" s="43">
        <v>3.1972002192201097</v>
      </c>
      <c r="H282" s="42">
        <v>0.3365054304415851</v>
      </c>
      <c r="I282" s="43">
        <v>1.148054528714928</v>
      </c>
      <c r="J282" s="42">
        <v>0.17374172535433513</v>
      </c>
      <c r="K282" s="43">
        <v>5.1100304219889905</v>
      </c>
      <c r="L282" s="43">
        <v>864.44771271327238</v>
      </c>
      <c r="M282" s="44">
        <v>283.8957048888019</v>
      </c>
      <c r="N282" s="44">
        <v>509.87015964224474</v>
      </c>
      <c r="O282" s="45" t="s">
        <v>5074</v>
      </c>
      <c r="P282" s="46">
        <v>2</v>
      </c>
      <c r="Q282" s="43">
        <v>864.44771271327238</v>
      </c>
      <c r="R282" s="43">
        <v>867.6449129324925</v>
      </c>
      <c r="S282" s="47">
        <v>0</v>
      </c>
      <c r="T282" s="48">
        <v>855.1697358754858</v>
      </c>
      <c r="U282" s="48">
        <v>867.6449129324925</v>
      </c>
      <c r="V282" s="48">
        <v>860.3433387090206</v>
      </c>
      <c r="W282" s="48">
        <v>862.56100444066044</v>
      </c>
    </row>
    <row r="283" spans="1:23" ht="13.2" x14ac:dyDescent="0.25">
      <c r="A283" s="41">
        <v>281</v>
      </c>
      <c r="B283" s="42">
        <v>0.91753137061257439</v>
      </c>
      <c r="C283" s="14" t="s">
        <v>5075</v>
      </c>
      <c r="D283" s="42">
        <v>0.37680484139211701</v>
      </c>
      <c r="E283" s="43">
        <v>306.37633889744819</v>
      </c>
      <c r="F283" s="42">
        <v>0.55075415947975315</v>
      </c>
      <c r="G283" s="43">
        <v>9.4460007773647092</v>
      </c>
      <c r="H283" s="42">
        <v>0.53944398208495414</v>
      </c>
      <c r="I283" s="43">
        <v>2.5402541816553241</v>
      </c>
      <c r="J283" s="42">
        <v>0.46641590421386803</v>
      </c>
      <c r="K283" s="43">
        <v>2.2267957506080975</v>
      </c>
      <c r="L283" s="43">
        <v>866.67450846388044</v>
      </c>
      <c r="M283" s="44">
        <v>2132.3793187262395</v>
      </c>
      <c r="N283" s="44">
        <v>3829.7042362181023</v>
      </c>
      <c r="O283" s="45" t="s">
        <v>5074</v>
      </c>
      <c r="P283" s="46">
        <v>1</v>
      </c>
      <c r="Q283" s="43">
        <v>866.67450846388044</v>
      </c>
      <c r="R283" s="43">
        <v>876.12050924124514</v>
      </c>
      <c r="S283" s="47">
        <v>0</v>
      </c>
      <c r="T283" s="48">
        <v>876.12050924124514</v>
      </c>
      <c r="U283" s="48">
        <v>867.6449129324925</v>
      </c>
      <c r="V283" s="48">
        <v>860.3433387090206</v>
      </c>
      <c r="W283" s="48">
        <v>862.56100444066044</v>
      </c>
    </row>
    <row r="284" spans="1:23" ht="13.2" x14ac:dyDescent="0.25">
      <c r="A284" s="41">
        <v>282</v>
      </c>
      <c r="B284" s="42">
        <v>0.405097534603019</v>
      </c>
      <c r="C284" s="14" t="s">
        <v>5077</v>
      </c>
      <c r="D284" s="42">
        <v>0.44592103615678896</v>
      </c>
      <c r="E284" s="43">
        <v>44.013289325411101</v>
      </c>
      <c r="F284" s="42">
        <v>0.18484482503721716</v>
      </c>
      <c r="G284" s="43">
        <v>3.2087255160178643</v>
      </c>
      <c r="H284" s="42">
        <v>0.30453101978848268</v>
      </c>
      <c r="I284" s="43">
        <v>1.1311059756692012</v>
      </c>
      <c r="J284" s="42">
        <v>0.96784937007718219</v>
      </c>
      <c r="K284" s="43">
        <v>9.5412593396675072E-2</v>
      </c>
      <c r="L284" s="43">
        <v>866.76992105727709</v>
      </c>
      <c r="M284" s="44">
        <v>306.33249370486124</v>
      </c>
      <c r="N284" s="44">
        <v>550.16611656763871</v>
      </c>
      <c r="O284" s="45" t="s">
        <v>5074</v>
      </c>
      <c r="P284" s="46">
        <v>3</v>
      </c>
      <c r="Q284" s="43">
        <v>866.76992105727709</v>
      </c>
      <c r="R284" s="43">
        <v>869.97864657329501</v>
      </c>
      <c r="S284" s="47">
        <v>0</v>
      </c>
      <c r="T284" s="48">
        <v>876.12050924124514</v>
      </c>
      <c r="U284" s="48">
        <v>867.6449129324925</v>
      </c>
      <c r="V284" s="48">
        <v>869.97864657329501</v>
      </c>
      <c r="W284" s="48">
        <v>862.56100444066044</v>
      </c>
    </row>
    <row r="285" spans="1:23" ht="13.2" x14ac:dyDescent="0.25">
      <c r="A285" s="41">
        <v>283</v>
      </c>
      <c r="B285" s="42">
        <v>0.94486366768594066</v>
      </c>
      <c r="C285" s="14" t="s">
        <v>5080</v>
      </c>
      <c r="D285" s="42">
        <v>0.66859088636403474</v>
      </c>
      <c r="E285" s="43">
        <v>101.71477215910087</v>
      </c>
      <c r="F285" s="42">
        <v>0.71726104091725362</v>
      </c>
      <c r="G285" s="43">
        <v>4.597320962095317</v>
      </c>
      <c r="H285" s="42">
        <v>0.4062687374680623</v>
      </c>
      <c r="I285" s="43">
        <v>1.9648705654906651</v>
      </c>
      <c r="J285" s="42">
        <v>0.94236997232882769</v>
      </c>
      <c r="K285" s="43">
        <v>0.17330607174072551</v>
      </c>
      <c r="L285" s="43">
        <v>866.94322712901783</v>
      </c>
      <c r="M285" s="44">
        <v>707.93481422734203</v>
      </c>
      <c r="N285" s="44">
        <v>1271.4346519887608</v>
      </c>
      <c r="O285" s="45" t="s">
        <v>5074</v>
      </c>
      <c r="P285" s="46">
        <v>4</v>
      </c>
      <c r="Q285" s="43">
        <v>866.94322712901783</v>
      </c>
      <c r="R285" s="43">
        <v>871.54054809111312</v>
      </c>
      <c r="S285" s="47">
        <v>0</v>
      </c>
      <c r="T285" s="48">
        <v>876.12050924124514</v>
      </c>
      <c r="U285" s="48">
        <v>867.6449129324925</v>
      </c>
      <c r="V285" s="48">
        <v>869.97864657329501</v>
      </c>
      <c r="W285" s="48">
        <v>871.54054809111312</v>
      </c>
    </row>
    <row r="286" spans="1:23" ht="13.2" x14ac:dyDescent="0.25">
      <c r="A286" s="41">
        <v>284</v>
      </c>
      <c r="B286" s="42">
        <v>0.8503265878419981</v>
      </c>
      <c r="C286" s="14" t="s">
        <v>5081</v>
      </c>
      <c r="D286" s="42">
        <v>0.33576364784304225</v>
      </c>
      <c r="E286" s="43">
        <v>273.43054591372169</v>
      </c>
      <c r="F286" s="42">
        <v>0.45806188576764517</v>
      </c>
      <c r="G286" s="43">
        <v>8.6434812669099692</v>
      </c>
      <c r="H286" s="42">
        <v>0.93254333545106616</v>
      </c>
      <c r="I286" s="43">
        <v>4.6326945016775989</v>
      </c>
      <c r="J286" s="42">
        <v>0.1675776318495989</v>
      </c>
      <c r="K286" s="43">
        <v>5.2154994492228957</v>
      </c>
      <c r="L286" s="43">
        <v>872.1587265782407</v>
      </c>
      <c r="M286" s="44">
        <v>1903.0765995595029</v>
      </c>
      <c r="N286" s="44">
        <v>3417.8818239215211</v>
      </c>
      <c r="O286" s="45" t="s">
        <v>5074</v>
      </c>
      <c r="P286" s="46">
        <v>2</v>
      </c>
      <c r="Q286" s="43">
        <v>872.1587265782407</v>
      </c>
      <c r="R286" s="43">
        <v>880.80220784515063</v>
      </c>
      <c r="S286" s="47">
        <v>0</v>
      </c>
      <c r="T286" s="48">
        <v>876.12050924124514</v>
      </c>
      <c r="U286" s="48">
        <v>880.80220784515063</v>
      </c>
      <c r="V286" s="48">
        <v>869.97864657329501</v>
      </c>
      <c r="W286" s="48">
        <v>871.54054809111312</v>
      </c>
    </row>
    <row r="287" spans="1:23" ht="13.2" x14ac:dyDescent="0.25">
      <c r="A287" s="41">
        <v>285</v>
      </c>
      <c r="B287" s="42">
        <v>0.62979039951683502</v>
      </c>
      <c r="C287" s="14" t="s">
        <v>5076</v>
      </c>
      <c r="D287" s="42">
        <v>0.33689170579281247</v>
      </c>
      <c r="E287" s="43">
        <v>38.368917057928122</v>
      </c>
      <c r="F287" s="42">
        <v>0.13872072712458705</v>
      </c>
      <c r="G287" s="43">
        <v>3.1038115344773103</v>
      </c>
      <c r="H287" s="42">
        <v>0.59045299915152272</v>
      </c>
      <c r="I287" s="43">
        <v>0.86136574266980359</v>
      </c>
      <c r="J287" s="42">
        <v>0.25054863432913488</v>
      </c>
      <c r="K287" s="43">
        <v>4.0411743891480194</v>
      </c>
      <c r="L287" s="43">
        <v>876.19990096738877</v>
      </c>
      <c r="M287" s="44">
        <v>267.04766272317971</v>
      </c>
      <c r="N287" s="44">
        <v>479.61146322410156</v>
      </c>
      <c r="O287" s="45" t="s">
        <v>5074</v>
      </c>
      <c r="P287" s="46">
        <v>3</v>
      </c>
      <c r="Q287" s="43">
        <v>876.19990096738877</v>
      </c>
      <c r="R287" s="43">
        <v>879.30371250186613</v>
      </c>
      <c r="S287" s="47">
        <v>0</v>
      </c>
      <c r="T287" s="48">
        <v>876.12050924124514</v>
      </c>
      <c r="U287" s="48">
        <v>880.80220784515063</v>
      </c>
      <c r="V287" s="48">
        <v>879.30371250186613</v>
      </c>
      <c r="W287" s="48">
        <v>871.54054809111312</v>
      </c>
    </row>
    <row r="288" spans="1:23" ht="13.2" x14ac:dyDescent="0.25">
      <c r="A288" s="41">
        <v>286</v>
      </c>
      <c r="B288" s="42">
        <v>0.93769264916781925</v>
      </c>
      <c r="C288" s="14" t="s">
        <v>5080</v>
      </c>
      <c r="D288" s="42">
        <v>0.32899201024742425</v>
      </c>
      <c r="E288" s="43">
        <v>93.224800256185603</v>
      </c>
      <c r="F288" s="42">
        <v>0.89799303975794142</v>
      </c>
      <c r="G288" s="43">
        <v>4.6949162414692882</v>
      </c>
      <c r="H288" s="42">
        <v>0.33663903332158879</v>
      </c>
      <c r="I288" s="43">
        <v>1.8962472319392645</v>
      </c>
      <c r="J288" s="42">
        <v>0.55907556347505916</v>
      </c>
      <c r="K288" s="43">
        <v>1.697724492845593</v>
      </c>
      <c r="L288" s="43">
        <v>877.89762546023439</v>
      </c>
      <c r="M288" s="44">
        <v>648.84460978305174</v>
      </c>
      <c r="N288" s="44">
        <v>1165.3100032023201</v>
      </c>
      <c r="O288" s="45" t="s">
        <v>5074</v>
      </c>
      <c r="P288" s="46">
        <v>4</v>
      </c>
      <c r="Q288" s="43">
        <v>877.89762546023439</v>
      </c>
      <c r="R288" s="43">
        <v>882.59254170170368</v>
      </c>
      <c r="S288" s="47">
        <v>0</v>
      </c>
      <c r="T288" s="48">
        <v>876.12050924124514</v>
      </c>
      <c r="U288" s="48">
        <v>880.80220784515063</v>
      </c>
      <c r="V288" s="48">
        <v>879.30371250186613</v>
      </c>
      <c r="W288" s="48">
        <v>882.59254170170368</v>
      </c>
    </row>
    <row r="289" spans="1:23" ht="13.2" x14ac:dyDescent="0.25">
      <c r="A289" s="41">
        <v>287</v>
      </c>
      <c r="B289" s="42">
        <v>0.72442926872727897</v>
      </c>
      <c r="C289" s="14" t="s">
        <v>5079</v>
      </c>
      <c r="D289" s="42">
        <v>0.10066421986588474</v>
      </c>
      <c r="E289" s="43">
        <v>7.3019926595976541</v>
      </c>
      <c r="F289" s="42">
        <v>0.58270820769607468</v>
      </c>
      <c r="G289" s="43">
        <v>1.5040979028465682</v>
      </c>
      <c r="H289" s="42">
        <v>0.85155125467644599</v>
      </c>
      <c r="I289" s="43">
        <v>0.55077764310086408</v>
      </c>
      <c r="J289" s="42">
        <v>0.82432625713959629</v>
      </c>
      <c r="K289" s="43">
        <v>0.56405513666243512</v>
      </c>
      <c r="L289" s="43">
        <v>878.46168059689683</v>
      </c>
      <c r="M289" s="44">
        <v>50.821868910799672</v>
      </c>
      <c r="N289" s="44">
        <v>91.274908244970675</v>
      </c>
      <c r="O289" s="45" t="s">
        <v>5074</v>
      </c>
      <c r="P289" s="46">
        <v>1</v>
      </c>
      <c r="Q289" s="43">
        <v>878.46168059689683</v>
      </c>
      <c r="R289" s="43">
        <v>879.96577849974335</v>
      </c>
      <c r="S289" s="47">
        <v>0</v>
      </c>
      <c r="T289" s="48">
        <v>879.96577849974335</v>
      </c>
      <c r="U289" s="48">
        <v>880.80220784515063</v>
      </c>
      <c r="V289" s="48">
        <v>879.30371250186613</v>
      </c>
      <c r="W289" s="48">
        <v>882.59254170170368</v>
      </c>
    </row>
    <row r="290" spans="1:23" ht="13.2" x14ac:dyDescent="0.25">
      <c r="A290" s="41">
        <v>288</v>
      </c>
      <c r="B290" s="42">
        <v>0.13530123240095621</v>
      </c>
      <c r="C290" s="14" t="s">
        <v>5073</v>
      </c>
      <c r="D290" s="42">
        <v>0.75599814753793093</v>
      </c>
      <c r="E290" s="43">
        <v>370.71977770455169</v>
      </c>
      <c r="F290" s="42">
        <v>0.2886665204021458</v>
      </c>
      <c r="G290" s="43">
        <v>9.2835262088587172</v>
      </c>
      <c r="H290" s="42">
        <v>0.11200832767039925</v>
      </c>
      <c r="I290" s="43">
        <v>2.9098932684316723</v>
      </c>
      <c r="J290" s="42">
        <v>0.13375151722400985</v>
      </c>
      <c r="K290" s="43">
        <v>5.8737855461005717</v>
      </c>
      <c r="L290" s="43">
        <v>884.33546614299735</v>
      </c>
      <c r="M290" s="44">
        <v>2580.2096528236798</v>
      </c>
      <c r="N290" s="44">
        <v>4633.9972213068959</v>
      </c>
      <c r="O290" s="45" t="s">
        <v>5074</v>
      </c>
      <c r="P290" s="46">
        <v>3</v>
      </c>
      <c r="Q290" s="43">
        <v>884.33546614299735</v>
      </c>
      <c r="R290" s="43">
        <v>893.61899235185604</v>
      </c>
      <c r="S290" s="47">
        <v>0</v>
      </c>
      <c r="T290" s="48">
        <v>879.96577849974335</v>
      </c>
      <c r="U290" s="48">
        <v>880.80220784515063</v>
      </c>
      <c r="V290" s="48">
        <v>893.61899235185604</v>
      </c>
      <c r="W290" s="48">
        <v>882.59254170170368</v>
      </c>
    </row>
    <row r="291" spans="1:23" ht="13.2" x14ac:dyDescent="0.25">
      <c r="A291" s="41">
        <v>289</v>
      </c>
      <c r="B291" s="42">
        <v>0.21634324091316351</v>
      </c>
      <c r="C291" s="14" t="s">
        <v>5073</v>
      </c>
      <c r="D291" s="42">
        <v>0.20521692941208228</v>
      </c>
      <c r="E291" s="43">
        <v>304.62603152944985</v>
      </c>
      <c r="F291" s="42">
        <v>0.18156559215000159</v>
      </c>
      <c r="G291" s="43">
        <v>8.9483003034295052</v>
      </c>
      <c r="H291" s="42">
        <v>0.93940942731658439</v>
      </c>
      <c r="I291" s="43">
        <v>3.7868265271837003</v>
      </c>
      <c r="J291" s="42">
        <v>0.94914008348674517</v>
      </c>
      <c r="K291" s="43">
        <v>0.15240548783412003</v>
      </c>
      <c r="L291" s="43">
        <v>884.48787163083148</v>
      </c>
      <c r="M291" s="44">
        <v>2120.197179444971</v>
      </c>
      <c r="N291" s="44">
        <v>3807.8253941181229</v>
      </c>
      <c r="O291" s="45" t="s">
        <v>5074</v>
      </c>
      <c r="P291" s="46">
        <v>1</v>
      </c>
      <c r="Q291" s="43">
        <v>884.48787163083148</v>
      </c>
      <c r="R291" s="43">
        <v>893.43617193426098</v>
      </c>
      <c r="S291" s="47">
        <v>0</v>
      </c>
      <c r="T291" s="48">
        <v>893.43617193426098</v>
      </c>
      <c r="U291" s="48">
        <v>880.80220784515063</v>
      </c>
      <c r="V291" s="48">
        <v>893.61899235185604</v>
      </c>
      <c r="W291" s="48">
        <v>882.59254170170368</v>
      </c>
    </row>
    <row r="292" spans="1:23" ht="13.2" x14ac:dyDescent="0.25">
      <c r="A292" s="41">
        <v>290</v>
      </c>
      <c r="B292" s="42">
        <v>0.86960172041766426</v>
      </c>
      <c r="C292" s="14" t="s">
        <v>5081</v>
      </c>
      <c r="D292" s="42">
        <v>0.27581415850474228</v>
      </c>
      <c r="E292" s="43">
        <v>271.0325663401897</v>
      </c>
      <c r="F292" s="42">
        <v>3.4321052038260295E-2</v>
      </c>
      <c r="G292" s="43">
        <v>8.2239778415178773</v>
      </c>
      <c r="H292" s="42">
        <v>0.72127993112489575</v>
      </c>
      <c r="I292" s="43">
        <v>4.2533808616501929</v>
      </c>
      <c r="J292" s="42">
        <v>0.94949161305534258</v>
      </c>
      <c r="K292" s="43">
        <v>0.15132432636659446</v>
      </c>
      <c r="L292" s="43">
        <v>884.63919595719813</v>
      </c>
      <c r="M292" s="44">
        <v>1886.3866617277204</v>
      </c>
      <c r="N292" s="44">
        <v>3387.9070792523712</v>
      </c>
      <c r="O292" s="45" t="s">
        <v>5074</v>
      </c>
      <c r="P292" s="46">
        <v>2</v>
      </c>
      <c r="Q292" s="43">
        <v>884.63919595719813</v>
      </c>
      <c r="R292" s="43">
        <v>892.86317379871605</v>
      </c>
      <c r="S292" s="47">
        <v>0</v>
      </c>
      <c r="T292" s="48">
        <v>893.43617193426098</v>
      </c>
      <c r="U292" s="48">
        <v>892.86317379871605</v>
      </c>
      <c r="V292" s="48">
        <v>893.61899235185604</v>
      </c>
      <c r="W292" s="48">
        <v>882.59254170170368</v>
      </c>
    </row>
    <row r="293" spans="1:23" ht="13.2" x14ac:dyDescent="0.25">
      <c r="A293" s="41">
        <v>291</v>
      </c>
      <c r="B293" s="42">
        <v>0.99935689009696105</v>
      </c>
      <c r="C293" s="14" t="s">
        <v>5080</v>
      </c>
      <c r="D293" s="42">
        <v>0.99962458992359438</v>
      </c>
      <c r="E293" s="43">
        <v>109.99061474808985</v>
      </c>
      <c r="F293" s="42">
        <v>0.59267851691352136</v>
      </c>
      <c r="G293" s="43">
        <v>4.5300463991333011</v>
      </c>
      <c r="H293" s="42">
        <v>0.68050142502435551</v>
      </c>
      <c r="I293" s="43">
        <v>2.2416482116087812</v>
      </c>
      <c r="J293" s="42">
        <v>0.10662461123737721</v>
      </c>
      <c r="K293" s="43">
        <v>6.5355939248197865</v>
      </c>
      <c r="L293" s="43">
        <v>891.17478988201788</v>
      </c>
      <c r="M293" s="44">
        <v>765.5346786467054</v>
      </c>
      <c r="N293" s="44">
        <v>1374.8826843511231</v>
      </c>
      <c r="O293" s="45" t="s">
        <v>5074</v>
      </c>
      <c r="P293" s="46">
        <v>4</v>
      </c>
      <c r="Q293" s="43">
        <v>891.17478988201788</v>
      </c>
      <c r="R293" s="43">
        <v>895.70483628115119</v>
      </c>
      <c r="S293" s="47">
        <v>0</v>
      </c>
      <c r="T293" s="48">
        <v>893.43617193426098</v>
      </c>
      <c r="U293" s="48">
        <v>892.86317379871605</v>
      </c>
      <c r="V293" s="48">
        <v>893.61899235185604</v>
      </c>
      <c r="W293" s="48">
        <v>895.70483628115119</v>
      </c>
    </row>
    <row r="294" spans="1:23" ht="13.2" x14ac:dyDescent="0.25">
      <c r="A294" s="41">
        <v>292</v>
      </c>
      <c r="B294" s="42">
        <v>0.80315584121418926</v>
      </c>
      <c r="C294" s="14" t="s">
        <v>5078</v>
      </c>
      <c r="D294" s="42">
        <v>0.44873299424011864</v>
      </c>
      <c r="E294" s="43">
        <v>187.94931976960476</v>
      </c>
      <c r="F294" s="42">
        <v>0.7593734794107142</v>
      </c>
      <c r="G294" s="43">
        <v>6.1110298662637499</v>
      </c>
      <c r="H294" s="42">
        <v>0.61295206500820443</v>
      </c>
      <c r="I294" s="43">
        <v>3.2952470144385475</v>
      </c>
      <c r="J294" s="42">
        <v>0.50814372743859126</v>
      </c>
      <c r="K294" s="43">
        <v>1.9766158931139246</v>
      </c>
      <c r="L294" s="43">
        <v>893.15140577513182</v>
      </c>
      <c r="M294" s="44">
        <v>1308.1272655964492</v>
      </c>
      <c r="N294" s="44">
        <v>2349.3664971200596</v>
      </c>
      <c r="O294" s="45" t="s">
        <v>5074</v>
      </c>
      <c r="P294" s="46">
        <v>2</v>
      </c>
      <c r="Q294" s="43">
        <v>893.15140577513182</v>
      </c>
      <c r="R294" s="43">
        <v>899.26243564139554</v>
      </c>
      <c r="S294" s="47">
        <v>0</v>
      </c>
      <c r="T294" s="48">
        <v>893.43617193426098</v>
      </c>
      <c r="U294" s="48">
        <v>899.26243564139554</v>
      </c>
      <c r="V294" s="48">
        <v>893.61899235185604</v>
      </c>
      <c r="W294" s="48">
        <v>895.70483628115119</v>
      </c>
    </row>
    <row r="295" spans="1:23" ht="13.2" x14ac:dyDescent="0.25">
      <c r="A295" s="41">
        <v>293</v>
      </c>
      <c r="B295" s="42">
        <v>0.41005066708198312</v>
      </c>
      <c r="C295" s="14" t="s">
        <v>5077</v>
      </c>
      <c r="D295" s="42">
        <v>5.8760583893750135E-2</v>
      </c>
      <c r="E295" s="43">
        <v>40.528845255043748</v>
      </c>
      <c r="F295" s="42">
        <v>0.93304169035192652</v>
      </c>
      <c r="G295" s="43">
        <v>3.5678600113689249</v>
      </c>
      <c r="H295" s="42">
        <v>0.6917689864951041</v>
      </c>
      <c r="I295" s="43">
        <v>1.3275701997997431</v>
      </c>
      <c r="J295" s="42">
        <v>0.24438170913810922</v>
      </c>
      <c r="K295" s="43">
        <v>4.1139383776519001</v>
      </c>
      <c r="L295" s="43">
        <v>897.26534415278377</v>
      </c>
      <c r="M295" s="44">
        <v>282.08076297510451</v>
      </c>
      <c r="N295" s="44">
        <v>506.61056568804685</v>
      </c>
      <c r="O295" s="45" t="s">
        <v>5074</v>
      </c>
      <c r="P295" s="46">
        <v>1</v>
      </c>
      <c r="Q295" s="43">
        <v>897.26534415278377</v>
      </c>
      <c r="R295" s="43">
        <v>900.83320416415268</v>
      </c>
      <c r="S295" s="47">
        <v>0</v>
      </c>
      <c r="T295" s="48">
        <v>900.83320416415268</v>
      </c>
      <c r="U295" s="48">
        <v>899.26243564139554</v>
      </c>
      <c r="V295" s="48">
        <v>893.61899235185604</v>
      </c>
      <c r="W295" s="48">
        <v>895.70483628115119</v>
      </c>
    </row>
    <row r="296" spans="1:23" ht="13.2" x14ac:dyDescent="0.25">
      <c r="A296" s="41">
        <v>294</v>
      </c>
      <c r="B296" s="42">
        <v>0.93653905714700891</v>
      </c>
      <c r="C296" s="14" t="s">
        <v>5080</v>
      </c>
      <c r="D296" s="42">
        <v>0.14623357083007393</v>
      </c>
      <c r="E296" s="43">
        <v>88.655839270751855</v>
      </c>
      <c r="F296" s="42">
        <v>0.90662187473225497</v>
      </c>
      <c r="G296" s="43">
        <v>4.6995758123554179</v>
      </c>
      <c r="H296" s="42">
        <v>0.24817465257280258</v>
      </c>
      <c r="I296" s="43">
        <v>1.797805570152065</v>
      </c>
      <c r="J296" s="42">
        <v>0.38570969010969142</v>
      </c>
      <c r="K296" s="43">
        <v>2.7815190967779215</v>
      </c>
      <c r="L296" s="43">
        <v>900.04686324956174</v>
      </c>
      <c r="M296" s="44">
        <v>617.04464132443286</v>
      </c>
      <c r="N296" s="44">
        <v>1108.1979908843982</v>
      </c>
      <c r="O296" s="45" t="s">
        <v>5074</v>
      </c>
      <c r="P296" s="46">
        <v>3</v>
      </c>
      <c r="Q296" s="43">
        <v>900.04686324956174</v>
      </c>
      <c r="R296" s="43">
        <v>904.74643906191716</v>
      </c>
      <c r="S296" s="47">
        <v>0</v>
      </c>
      <c r="T296" s="48">
        <v>900.83320416415268</v>
      </c>
      <c r="U296" s="48">
        <v>899.26243564139554</v>
      </c>
      <c r="V296" s="48">
        <v>904.74643906191716</v>
      </c>
      <c r="W296" s="48">
        <v>895.70483628115119</v>
      </c>
    </row>
    <row r="297" spans="1:23" ht="13.2" x14ac:dyDescent="0.25">
      <c r="A297" s="41">
        <v>295</v>
      </c>
      <c r="B297" s="42">
        <v>0.89406578005015191</v>
      </c>
      <c r="C297" s="14" t="s">
        <v>5075</v>
      </c>
      <c r="D297" s="42">
        <v>0.31467392496516644</v>
      </c>
      <c r="E297" s="43">
        <v>302.02717474756167</v>
      </c>
      <c r="F297" s="42">
        <v>8.7088589597068999E-2</v>
      </c>
      <c r="G297" s="43">
        <v>8.5233062932981678</v>
      </c>
      <c r="H297" s="42">
        <v>0.60673500718862516</v>
      </c>
      <c r="I297" s="43">
        <v>2.613134742126658</v>
      </c>
      <c r="J297" s="42">
        <v>5.9976592222217746E-2</v>
      </c>
      <c r="K297" s="43">
        <v>8.2154771460148996</v>
      </c>
      <c r="L297" s="43">
        <v>908.26234039557664</v>
      </c>
      <c r="M297" s="44">
        <v>2102.1091362430293</v>
      </c>
      <c r="N297" s="44">
        <v>3775.3396843445207</v>
      </c>
      <c r="O297" s="45" t="s">
        <v>5074</v>
      </c>
      <c r="P297" s="46">
        <v>4</v>
      </c>
      <c r="Q297" s="43">
        <v>908.26234039557664</v>
      </c>
      <c r="R297" s="43">
        <v>916.78564668887486</v>
      </c>
      <c r="S297" s="47">
        <v>0</v>
      </c>
      <c r="T297" s="48">
        <v>900.83320416415268</v>
      </c>
      <c r="U297" s="48">
        <v>899.26243564139554</v>
      </c>
      <c r="V297" s="48">
        <v>904.74643906191716</v>
      </c>
      <c r="W297" s="48">
        <v>916.78564668887486</v>
      </c>
    </row>
    <row r="298" spans="1:23" ht="13.2" x14ac:dyDescent="0.25">
      <c r="A298" s="41">
        <v>296</v>
      </c>
      <c r="B298" s="42">
        <v>9.3046329027529021E-3</v>
      </c>
      <c r="C298" s="14" t="s">
        <v>5073</v>
      </c>
      <c r="D298" s="42">
        <v>0.26621840068428704</v>
      </c>
      <c r="E298" s="43">
        <v>311.94620808211442</v>
      </c>
      <c r="F298" s="42">
        <v>0.65553495877214474</v>
      </c>
      <c r="G298" s="43">
        <v>10.431824420956813</v>
      </c>
      <c r="H298" s="42">
        <v>0.79938615011022718</v>
      </c>
      <c r="I298" s="43">
        <v>3.612107763138614</v>
      </c>
      <c r="J298" s="42">
        <v>0.7036481717152745</v>
      </c>
      <c r="K298" s="43">
        <v>1.0262096462191144</v>
      </c>
      <c r="L298" s="43">
        <v>909.2885500417957</v>
      </c>
      <c r="M298" s="44">
        <v>2171.1456082515165</v>
      </c>
      <c r="N298" s="44">
        <v>3899.3276010264303</v>
      </c>
      <c r="O298" s="45" t="s">
        <v>5074</v>
      </c>
      <c r="P298" s="46">
        <v>2</v>
      </c>
      <c r="Q298" s="43">
        <v>909.2885500417957</v>
      </c>
      <c r="R298" s="43">
        <v>919.72037446275249</v>
      </c>
      <c r="S298" s="47">
        <v>0</v>
      </c>
      <c r="T298" s="48">
        <v>900.83320416415268</v>
      </c>
      <c r="U298" s="48">
        <v>919.72037446275249</v>
      </c>
      <c r="V298" s="48">
        <v>904.74643906191716</v>
      </c>
      <c r="W298" s="48">
        <v>916.78564668887486</v>
      </c>
    </row>
    <row r="299" spans="1:23" ht="13.2" x14ac:dyDescent="0.25">
      <c r="A299" s="41">
        <v>297</v>
      </c>
      <c r="B299" s="42">
        <v>0.44516031325103728</v>
      </c>
      <c r="C299" s="14" t="s">
        <v>5077</v>
      </c>
      <c r="D299" s="42">
        <v>0.9425501287647291</v>
      </c>
      <c r="E299" s="43">
        <v>48.482951158882564</v>
      </c>
      <c r="F299" s="42">
        <v>0.7252180565731684</v>
      </c>
      <c r="G299" s="43">
        <v>3.4681046671551208</v>
      </c>
      <c r="H299" s="42">
        <v>5.7753399041366484E-2</v>
      </c>
      <c r="I299" s="43">
        <v>0.94419162130613532</v>
      </c>
      <c r="J299" s="42">
        <v>0.44867527645485256</v>
      </c>
      <c r="K299" s="43">
        <v>2.3400171325799297</v>
      </c>
      <c r="L299" s="43">
        <v>911.62856717437558</v>
      </c>
      <c r="M299" s="44">
        <v>337.44134006582266</v>
      </c>
      <c r="N299" s="44">
        <v>606.03688948603201</v>
      </c>
      <c r="O299" s="45" t="s">
        <v>5074</v>
      </c>
      <c r="P299" s="46">
        <v>1</v>
      </c>
      <c r="Q299" s="43">
        <v>911.62856717437558</v>
      </c>
      <c r="R299" s="43">
        <v>915.09667184153068</v>
      </c>
      <c r="S299" s="47">
        <v>0</v>
      </c>
      <c r="T299" s="48">
        <v>915.09667184153068</v>
      </c>
      <c r="U299" s="48">
        <v>919.72037446275249</v>
      </c>
      <c r="V299" s="48">
        <v>904.74643906191716</v>
      </c>
      <c r="W299" s="48">
        <v>916.78564668887486</v>
      </c>
    </row>
    <row r="300" spans="1:23" ht="13.2" x14ac:dyDescent="0.25">
      <c r="A300" s="41">
        <v>298</v>
      </c>
      <c r="B300" s="42">
        <v>0.68667695936126494</v>
      </c>
      <c r="C300" s="14" t="s">
        <v>5079</v>
      </c>
      <c r="D300" s="42">
        <v>0.43791675541452912</v>
      </c>
      <c r="E300" s="43">
        <v>8.3137502662435878</v>
      </c>
      <c r="F300" s="42">
        <v>0.85944231499891832</v>
      </c>
      <c r="G300" s="43">
        <v>1.5345386546498809</v>
      </c>
      <c r="H300" s="42">
        <v>0.69150952049135672</v>
      </c>
      <c r="I300" s="43">
        <v>0.4848870716895507</v>
      </c>
      <c r="J300" s="42">
        <v>0.35673182148334187</v>
      </c>
      <c r="K300" s="43">
        <v>3.0095503060485189</v>
      </c>
      <c r="L300" s="43">
        <v>914.63811748042406</v>
      </c>
      <c r="M300" s="44">
        <v>57.863701853055368</v>
      </c>
      <c r="N300" s="44">
        <v>103.92187832804484</v>
      </c>
      <c r="O300" s="45" t="s">
        <v>5074</v>
      </c>
      <c r="P300" s="46">
        <v>3</v>
      </c>
      <c r="Q300" s="43">
        <v>914.63811748042406</v>
      </c>
      <c r="R300" s="43">
        <v>916.17265613507391</v>
      </c>
      <c r="S300" s="47">
        <v>0</v>
      </c>
      <c r="T300" s="48">
        <v>915.09667184153068</v>
      </c>
      <c r="U300" s="48">
        <v>919.72037446275249</v>
      </c>
      <c r="V300" s="48">
        <v>916.17265613507391</v>
      </c>
      <c r="W300" s="48">
        <v>916.78564668887486</v>
      </c>
    </row>
    <row r="301" spans="1:23" ht="13.2" x14ac:dyDescent="0.25">
      <c r="A301" s="41">
        <v>299</v>
      </c>
      <c r="B301" s="42">
        <v>0.5072905055746858</v>
      </c>
      <c r="C301" s="14" t="s">
        <v>5076</v>
      </c>
      <c r="D301" s="42">
        <v>0.20092764971820995</v>
      </c>
      <c r="E301" s="43">
        <v>37.0092764971821</v>
      </c>
      <c r="F301" s="42">
        <v>0.56828314930586288</v>
      </c>
      <c r="G301" s="43">
        <v>3.3014102486806971</v>
      </c>
      <c r="H301" s="42">
        <v>0.98123428736870844</v>
      </c>
      <c r="I301" s="43">
        <v>1.1275127629388342</v>
      </c>
      <c r="J301" s="42">
        <v>0.47431834529820754</v>
      </c>
      <c r="K301" s="43">
        <v>2.1777418048642456</v>
      </c>
      <c r="L301" s="43">
        <v>916.8158592852883</v>
      </c>
      <c r="M301" s="44">
        <v>257.58456442038744</v>
      </c>
      <c r="N301" s="44">
        <v>462.61595621477625</v>
      </c>
      <c r="O301" s="45" t="s">
        <v>5074</v>
      </c>
      <c r="P301" s="46">
        <v>1</v>
      </c>
      <c r="Q301" s="43">
        <v>916.8158592852883</v>
      </c>
      <c r="R301" s="43">
        <v>920.11726953396897</v>
      </c>
      <c r="S301" s="47">
        <v>0</v>
      </c>
      <c r="T301" s="48">
        <v>920.11726953396897</v>
      </c>
      <c r="U301" s="48">
        <v>919.72037446275249</v>
      </c>
      <c r="V301" s="48">
        <v>916.17265613507391</v>
      </c>
      <c r="W301" s="48">
        <v>916.78564668887486</v>
      </c>
    </row>
    <row r="302" spans="1:23" ht="13.2" x14ac:dyDescent="0.25">
      <c r="A302" s="41">
        <v>300</v>
      </c>
      <c r="B302" s="42">
        <v>0.21584344479061823</v>
      </c>
      <c r="C302" s="14" t="s">
        <v>5073</v>
      </c>
      <c r="D302" s="42">
        <v>0.28207604972742312</v>
      </c>
      <c r="E302" s="43">
        <v>313.84912596729077</v>
      </c>
      <c r="F302" s="42">
        <v>0.10880848491043248</v>
      </c>
      <c r="G302" s="43">
        <v>8.7205705577696548</v>
      </c>
      <c r="H302" s="42">
        <v>0.91548148352442382</v>
      </c>
      <c r="I302" s="43">
        <v>3.7482285016990957</v>
      </c>
      <c r="J302" s="42">
        <v>0.28849943740689171</v>
      </c>
      <c r="K302" s="43">
        <v>3.6293785199960622</v>
      </c>
      <c r="L302" s="43">
        <v>920.44523780528436</v>
      </c>
      <c r="M302" s="44">
        <v>2184.3899167323439</v>
      </c>
      <c r="N302" s="44">
        <v>3923.1140745911348</v>
      </c>
      <c r="O302" s="45" t="s">
        <v>5074</v>
      </c>
      <c r="P302" s="46">
        <v>3</v>
      </c>
      <c r="Q302" s="43">
        <v>920.44523780528436</v>
      </c>
      <c r="R302" s="43">
        <v>929.165808363054</v>
      </c>
      <c r="S302" s="47">
        <v>0</v>
      </c>
      <c r="T302" s="48">
        <v>920.11726953396897</v>
      </c>
      <c r="U302" s="48">
        <v>919.72037446275249</v>
      </c>
      <c r="V302" s="48">
        <v>929.165808363054</v>
      </c>
      <c r="W302" s="48">
        <v>916.78564668887486</v>
      </c>
    </row>
    <row r="303" spans="1:23" ht="13.2" x14ac:dyDescent="0.25">
      <c r="A303" s="41">
        <v>301</v>
      </c>
      <c r="B303" s="42">
        <v>0.99818565230732115</v>
      </c>
      <c r="C303" s="14" t="s">
        <v>5080</v>
      </c>
      <c r="D303" s="42">
        <v>0.44504278965529187</v>
      </c>
      <c r="E303" s="43">
        <v>96.126069741382295</v>
      </c>
      <c r="F303" s="42">
        <v>0.32158692056387056</v>
      </c>
      <c r="G303" s="43">
        <v>4.3836569371044902</v>
      </c>
      <c r="H303" s="42">
        <v>0.94108752251653349</v>
      </c>
      <c r="I303" s="43">
        <v>2.6743583879934265</v>
      </c>
      <c r="J303" s="42">
        <v>0.18055277884963564</v>
      </c>
      <c r="K303" s="43">
        <v>4.9977580740195995</v>
      </c>
      <c r="L303" s="43">
        <v>925.44299587930391</v>
      </c>
      <c r="M303" s="44">
        <v>669.03744540002072</v>
      </c>
      <c r="N303" s="44">
        <v>1201.5758717672786</v>
      </c>
      <c r="O303" s="45" t="s">
        <v>5074</v>
      </c>
      <c r="P303" s="46">
        <v>4</v>
      </c>
      <c r="Q303" s="43">
        <v>925.44299587930391</v>
      </c>
      <c r="R303" s="43">
        <v>929.82665281640834</v>
      </c>
      <c r="S303" s="47">
        <v>0</v>
      </c>
      <c r="T303" s="48">
        <v>920.11726953396897</v>
      </c>
      <c r="U303" s="48">
        <v>919.72037446275249</v>
      </c>
      <c r="V303" s="48">
        <v>929.165808363054</v>
      </c>
      <c r="W303" s="48">
        <v>929.82665281640834</v>
      </c>
    </row>
    <row r="304" spans="1:23" ht="13.2" x14ac:dyDescent="0.25">
      <c r="A304" s="41">
        <v>302</v>
      </c>
      <c r="B304" s="42">
        <v>8.6350635665632156E-2</v>
      </c>
      <c r="C304" s="14" t="s">
        <v>5073</v>
      </c>
      <c r="D304" s="42">
        <v>0.2639672822616842</v>
      </c>
      <c r="E304" s="43">
        <v>311.67607387140208</v>
      </c>
      <c r="F304" s="42">
        <v>0.61264257580630599</v>
      </c>
      <c r="G304" s="43">
        <v>10.297571262273738</v>
      </c>
      <c r="H304" s="42">
        <v>0.3556299374232208</v>
      </c>
      <c r="I304" s="43">
        <v>3.2303731280207613</v>
      </c>
      <c r="J304" s="42">
        <v>0.39372533252170555</v>
      </c>
      <c r="K304" s="43">
        <v>2.7214649295435245</v>
      </c>
      <c r="L304" s="43">
        <v>928.16446080884748</v>
      </c>
      <c r="M304" s="44">
        <v>2169.2654741449583</v>
      </c>
      <c r="N304" s="44">
        <v>3895.950923392526</v>
      </c>
      <c r="O304" s="45" t="s">
        <v>5074</v>
      </c>
      <c r="P304" s="46">
        <v>2</v>
      </c>
      <c r="Q304" s="43">
        <v>928.16446080884748</v>
      </c>
      <c r="R304" s="43">
        <v>938.46203207112126</v>
      </c>
      <c r="S304" s="47">
        <v>0</v>
      </c>
      <c r="T304" s="48">
        <v>920.11726953396897</v>
      </c>
      <c r="U304" s="48">
        <v>938.46203207112126</v>
      </c>
      <c r="V304" s="48">
        <v>929.165808363054</v>
      </c>
      <c r="W304" s="48">
        <v>929.82665281640834</v>
      </c>
    </row>
    <row r="305" spans="1:23" ht="13.2" x14ac:dyDescent="0.25">
      <c r="A305" s="41">
        <v>303</v>
      </c>
      <c r="B305" s="42">
        <v>0.13125163788499852</v>
      </c>
      <c r="C305" s="14" t="s">
        <v>5073</v>
      </c>
      <c r="D305" s="42">
        <v>0.10468647307934541</v>
      </c>
      <c r="E305" s="43">
        <v>292.56237676952145</v>
      </c>
      <c r="F305" s="42">
        <v>0.72373834332625309</v>
      </c>
      <c r="G305" s="43">
        <v>10.645301014611173</v>
      </c>
      <c r="H305" s="42">
        <v>3.8061077258578074E-2</v>
      </c>
      <c r="I305" s="43">
        <v>2.7389385190543107</v>
      </c>
      <c r="J305" s="42">
        <v>8.6759780574012443E-2</v>
      </c>
      <c r="K305" s="43">
        <v>7.1375536412885188</v>
      </c>
      <c r="L305" s="43">
        <v>935.30201445013597</v>
      </c>
      <c r="M305" s="44">
        <v>2036.2341423158693</v>
      </c>
      <c r="N305" s="44">
        <v>3657.0297096190179</v>
      </c>
      <c r="O305" s="45" t="s">
        <v>5074</v>
      </c>
      <c r="P305" s="46">
        <v>1</v>
      </c>
      <c r="Q305" s="43">
        <v>935.30201445013597</v>
      </c>
      <c r="R305" s="43">
        <v>945.94731546474713</v>
      </c>
      <c r="S305" s="47">
        <v>0</v>
      </c>
      <c r="T305" s="48">
        <v>945.94731546474713</v>
      </c>
      <c r="U305" s="48">
        <v>938.46203207112126</v>
      </c>
      <c r="V305" s="48">
        <v>929.165808363054</v>
      </c>
      <c r="W305" s="48">
        <v>929.82665281640834</v>
      </c>
    </row>
    <row r="306" spans="1:23" ht="13.2" x14ac:dyDescent="0.25">
      <c r="A306" s="41">
        <v>304</v>
      </c>
      <c r="B306" s="42">
        <v>0.29589590397472304</v>
      </c>
      <c r="C306" s="14" t="s">
        <v>5077</v>
      </c>
      <c r="D306" s="42">
        <v>0.60169947175388205</v>
      </c>
      <c r="E306" s="43">
        <v>45.415295245784939</v>
      </c>
      <c r="F306" s="42">
        <v>0.28535707634191826</v>
      </c>
      <c r="G306" s="43">
        <v>3.2569713966441207</v>
      </c>
      <c r="H306" s="42">
        <v>0.4596339773664409</v>
      </c>
      <c r="I306" s="43">
        <v>1.2068826608350689</v>
      </c>
      <c r="J306" s="42">
        <v>0.71831182097937529</v>
      </c>
      <c r="K306" s="43">
        <v>0.96598981942585027</v>
      </c>
      <c r="L306" s="43">
        <v>936.26800426956186</v>
      </c>
      <c r="M306" s="44">
        <v>316.0904549106632</v>
      </c>
      <c r="N306" s="44">
        <v>567.69119057231171</v>
      </c>
      <c r="O306" s="45" t="s">
        <v>5074</v>
      </c>
      <c r="P306" s="46">
        <v>3</v>
      </c>
      <c r="Q306" s="43">
        <v>936.26800426956186</v>
      </c>
      <c r="R306" s="43">
        <v>939.52497566620593</v>
      </c>
      <c r="S306" s="47">
        <v>0</v>
      </c>
      <c r="T306" s="48">
        <v>945.94731546474713</v>
      </c>
      <c r="U306" s="48">
        <v>938.46203207112126</v>
      </c>
      <c r="V306" s="48">
        <v>939.52497566620593</v>
      </c>
      <c r="W306" s="48">
        <v>929.82665281640834</v>
      </c>
    </row>
    <row r="307" spans="1:23" ht="13.2" x14ac:dyDescent="0.25">
      <c r="A307" s="41">
        <v>305</v>
      </c>
      <c r="B307" s="42">
        <v>0.45595164059472815</v>
      </c>
      <c r="C307" s="14" t="s">
        <v>5077</v>
      </c>
      <c r="D307" s="42">
        <v>0.37669688573884635</v>
      </c>
      <c r="E307" s="43">
        <v>43.390271971649618</v>
      </c>
      <c r="F307" s="42">
        <v>0.85587039909133245</v>
      </c>
      <c r="G307" s="43">
        <v>3.5308177915638397</v>
      </c>
      <c r="H307" s="42">
        <v>0.14818344598085781</v>
      </c>
      <c r="I307" s="43">
        <v>1.030967617975137</v>
      </c>
      <c r="J307" s="42">
        <v>0.52255723323792092</v>
      </c>
      <c r="K307" s="43">
        <v>1.8949511353123689</v>
      </c>
      <c r="L307" s="43">
        <v>938.1629554048742</v>
      </c>
      <c r="M307" s="44">
        <v>301.99629292268133</v>
      </c>
      <c r="N307" s="44">
        <v>542.37839964562022</v>
      </c>
      <c r="O307" s="45" t="s">
        <v>5074</v>
      </c>
      <c r="P307" s="46">
        <v>4</v>
      </c>
      <c r="Q307" s="43">
        <v>938.1629554048742</v>
      </c>
      <c r="R307" s="43">
        <v>941.69377319643809</v>
      </c>
      <c r="S307" s="47">
        <v>0</v>
      </c>
      <c r="T307" s="48">
        <v>945.94731546474713</v>
      </c>
      <c r="U307" s="48">
        <v>938.46203207112126</v>
      </c>
      <c r="V307" s="48">
        <v>939.52497566620593</v>
      </c>
      <c r="W307" s="48">
        <v>941.69377319643809</v>
      </c>
    </row>
    <row r="308" spans="1:23" ht="13.2" x14ac:dyDescent="0.25">
      <c r="A308" s="41">
        <v>306</v>
      </c>
      <c r="B308" s="42">
        <v>5.0791296200263916E-2</v>
      </c>
      <c r="C308" s="14" t="s">
        <v>5073</v>
      </c>
      <c r="D308" s="42">
        <v>0.85444369020613087</v>
      </c>
      <c r="E308" s="43">
        <v>382.53324282473568</v>
      </c>
      <c r="F308" s="42">
        <v>0.35557630581575272</v>
      </c>
      <c r="G308" s="43">
        <v>9.4929538372033058</v>
      </c>
      <c r="H308" s="42">
        <v>0.12257391173512391</v>
      </c>
      <c r="I308" s="43">
        <v>2.9287900040843837</v>
      </c>
      <c r="J308" s="42">
        <v>0.81256685304109322</v>
      </c>
      <c r="K308" s="43">
        <v>0.60600609488219537</v>
      </c>
      <c r="L308" s="43">
        <v>938.76896149975641</v>
      </c>
      <c r="M308" s="44">
        <v>2662.4313700601601</v>
      </c>
      <c r="N308" s="44">
        <v>4781.6655353091955</v>
      </c>
      <c r="O308" s="45" t="s">
        <v>5074</v>
      </c>
      <c r="P308" s="46">
        <v>2</v>
      </c>
      <c r="Q308" s="43">
        <v>938.76896149975641</v>
      </c>
      <c r="R308" s="43">
        <v>948.26191533695976</v>
      </c>
      <c r="S308" s="47">
        <v>0</v>
      </c>
      <c r="T308" s="48">
        <v>945.94731546474713</v>
      </c>
      <c r="U308" s="48">
        <v>948.26191533695976</v>
      </c>
      <c r="V308" s="48">
        <v>939.52497566620593</v>
      </c>
      <c r="W308" s="48">
        <v>941.69377319643809</v>
      </c>
    </row>
    <row r="309" spans="1:23" ht="13.2" x14ac:dyDescent="0.25">
      <c r="A309" s="41">
        <v>307</v>
      </c>
      <c r="B309" s="42">
        <v>0.31319417167138036</v>
      </c>
      <c r="C309" s="14" t="s">
        <v>5077</v>
      </c>
      <c r="D309" s="42">
        <v>7.3725031723140288E-4</v>
      </c>
      <c r="E309" s="43">
        <v>40.006635252855084</v>
      </c>
      <c r="F309" s="42">
        <v>0.64372023550966762</v>
      </c>
      <c r="G309" s="43">
        <v>3.4289857130446406</v>
      </c>
      <c r="H309" s="42">
        <v>0.89714767546260155</v>
      </c>
      <c r="I309" s="43">
        <v>1.4848638894982311</v>
      </c>
      <c r="J309" s="42">
        <v>0.20663533276255958</v>
      </c>
      <c r="K309" s="43">
        <v>4.6037947934918559</v>
      </c>
      <c r="L309" s="43">
        <v>943.37275629324824</v>
      </c>
      <c r="M309" s="44">
        <v>278.44618135987139</v>
      </c>
      <c r="N309" s="44">
        <v>500.08294066068856</v>
      </c>
      <c r="O309" s="45" t="s">
        <v>5074</v>
      </c>
      <c r="P309" s="46">
        <v>3</v>
      </c>
      <c r="Q309" s="43">
        <v>943.37275629324824</v>
      </c>
      <c r="R309" s="43">
        <v>946.8017420062929</v>
      </c>
      <c r="S309" s="47">
        <v>0</v>
      </c>
      <c r="T309" s="48">
        <v>945.94731546474713</v>
      </c>
      <c r="U309" s="48">
        <v>948.26191533695976</v>
      </c>
      <c r="V309" s="48">
        <v>946.8017420062929</v>
      </c>
      <c r="W309" s="48">
        <v>941.69377319643809</v>
      </c>
    </row>
    <row r="310" spans="1:23" ht="13.2" x14ac:dyDescent="0.25">
      <c r="A310" s="41">
        <v>308</v>
      </c>
      <c r="B310" s="42">
        <v>0.14940254536895201</v>
      </c>
      <c r="C310" s="14" t="s">
        <v>5073</v>
      </c>
      <c r="D310" s="42">
        <v>0.7439662007354042</v>
      </c>
      <c r="E310" s="43">
        <v>369.27594408824848</v>
      </c>
      <c r="F310" s="42">
        <v>0.81241504466739256</v>
      </c>
      <c r="G310" s="43">
        <v>10.922859089808938</v>
      </c>
      <c r="H310" s="42">
        <v>0.62436093745024923</v>
      </c>
      <c r="I310" s="43">
        <v>3.4677506942262424</v>
      </c>
      <c r="J310" s="42">
        <v>0.8615453219327821</v>
      </c>
      <c r="K310" s="43">
        <v>0.43511712769196653</v>
      </c>
      <c r="L310" s="43">
        <v>943.80787342094015</v>
      </c>
      <c r="M310" s="44">
        <v>2570.1605708542093</v>
      </c>
      <c r="N310" s="44">
        <v>4615.9493011031063</v>
      </c>
      <c r="O310" s="45" t="s">
        <v>5074</v>
      </c>
      <c r="P310" s="46">
        <v>4</v>
      </c>
      <c r="Q310" s="43">
        <v>943.80787342094015</v>
      </c>
      <c r="R310" s="43">
        <v>954.73073251074914</v>
      </c>
      <c r="S310" s="47">
        <v>0</v>
      </c>
      <c r="T310" s="48">
        <v>945.94731546474713</v>
      </c>
      <c r="U310" s="48">
        <v>948.26191533695976</v>
      </c>
      <c r="V310" s="48">
        <v>946.8017420062929</v>
      </c>
      <c r="W310" s="48">
        <v>954.73073251074914</v>
      </c>
    </row>
    <row r="311" spans="1:23" ht="13.2" x14ac:dyDescent="0.25">
      <c r="A311" s="41">
        <v>309</v>
      </c>
      <c r="B311" s="42">
        <v>0.19912611003924446</v>
      </c>
      <c r="C311" s="14" t="s">
        <v>5073</v>
      </c>
      <c r="D311" s="42">
        <v>0.86044901928885331</v>
      </c>
      <c r="E311" s="43">
        <v>383.25388231466241</v>
      </c>
      <c r="F311" s="42">
        <v>0.37596772442384052</v>
      </c>
      <c r="G311" s="43">
        <v>9.556778977446621</v>
      </c>
      <c r="H311" s="42">
        <v>0.14863253903977225</v>
      </c>
      <c r="I311" s="43">
        <v>2.9721745530623802</v>
      </c>
      <c r="J311" s="42">
        <v>4.9181122821374386E-2</v>
      </c>
      <c r="K311" s="43">
        <v>8.7948771141641622</v>
      </c>
      <c r="L311" s="43">
        <v>952.60275053510429</v>
      </c>
      <c r="M311" s="44">
        <v>2667.4470209100505</v>
      </c>
      <c r="N311" s="44">
        <v>4790.6735289332801</v>
      </c>
      <c r="O311" s="45" t="s">
        <v>5074</v>
      </c>
      <c r="P311" s="46">
        <v>1</v>
      </c>
      <c r="Q311" s="43">
        <v>952.60275053510429</v>
      </c>
      <c r="R311" s="43">
        <v>962.15952951255088</v>
      </c>
      <c r="S311" s="47">
        <v>0</v>
      </c>
      <c r="T311" s="48">
        <v>962.15952951255088</v>
      </c>
      <c r="U311" s="48">
        <v>948.26191533695976</v>
      </c>
      <c r="V311" s="48">
        <v>946.8017420062929</v>
      </c>
      <c r="W311" s="48">
        <v>954.73073251074914</v>
      </c>
    </row>
    <row r="312" spans="1:23" ht="13.2" x14ac:dyDescent="0.25">
      <c r="A312" s="41">
        <v>310</v>
      </c>
      <c r="B312" s="42">
        <v>0.68060019411174588</v>
      </c>
      <c r="C312" s="14" t="s">
        <v>5079</v>
      </c>
      <c r="D312" s="42">
        <v>0.51023979974456124</v>
      </c>
      <c r="E312" s="43">
        <v>8.5307193992336838</v>
      </c>
      <c r="F312" s="42">
        <v>0.3748057616757256</v>
      </c>
      <c r="G312" s="43">
        <v>1.4812286337843299</v>
      </c>
      <c r="H312" s="42">
        <v>3.2589233029908141E-2</v>
      </c>
      <c r="I312" s="43">
        <v>0.25708698015301579</v>
      </c>
      <c r="J312" s="42">
        <v>6.5245053761287156E-2</v>
      </c>
      <c r="K312" s="43">
        <v>7.9696497520506648</v>
      </c>
      <c r="L312" s="43">
        <v>960.57240028715501</v>
      </c>
      <c r="M312" s="44">
        <v>59.37380701866644</v>
      </c>
      <c r="N312" s="44">
        <v>106.63399249042105</v>
      </c>
      <c r="O312" s="45" t="s">
        <v>5074</v>
      </c>
      <c r="P312" s="46">
        <v>3</v>
      </c>
      <c r="Q312" s="43">
        <v>960.57240028715501</v>
      </c>
      <c r="R312" s="43">
        <v>962.05362892093933</v>
      </c>
      <c r="S312" s="47">
        <v>0</v>
      </c>
      <c r="T312" s="48">
        <v>962.15952951255088</v>
      </c>
      <c r="U312" s="48">
        <v>948.26191533695976</v>
      </c>
      <c r="V312" s="48">
        <v>962.05362892093933</v>
      </c>
      <c r="W312" s="48">
        <v>954.73073251074914</v>
      </c>
    </row>
    <row r="313" spans="1:23" ht="13.2" x14ac:dyDescent="0.25">
      <c r="A313" s="41">
        <v>311</v>
      </c>
      <c r="B313" s="42">
        <v>0.49524795240501313</v>
      </c>
      <c r="C313" s="14" t="s">
        <v>5076</v>
      </c>
      <c r="D313" s="42">
        <v>7.0112900375441142E-2</v>
      </c>
      <c r="E313" s="43">
        <v>35.70112900375441</v>
      </c>
      <c r="F313" s="42">
        <v>0.14763337706571136</v>
      </c>
      <c r="G313" s="43">
        <v>3.1079113534502274</v>
      </c>
      <c r="H313" s="42">
        <v>0.91909624911802645</v>
      </c>
      <c r="I313" s="43">
        <v>1.049490697141497</v>
      </c>
      <c r="J313" s="42">
        <v>0.15619912890540397</v>
      </c>
      <c r="K313" s="43">
        <v>5.4207988857871214</v>
      </c>
      <c r="L313" s="43">
        <v>965.99319917294213</v>
      </c>
      <c r="M313" s="44">
        <v>248.47985786613069</v>
      </c>
      <c r="N313" s="44">
        <v>446.26411254693011</v>
      </c>
      <c r="O313" s="45" t="s">
        <v>5074</v>
      </c>
      <c r="P313" s="46">
        <v>2</v>
      </c>
      <c r="Q313" s="43">
        <v>965.99319917294213</v>
      </c>
      <c r="R313" s="43">
        <v>969.1011105263924</v>
      </c>
      <c r="S313" s="47">
        <v>0</v>
      </c>
      <c r="T313" s="48">
        <v>962.15952951255088</v>
      </c>
      <c r="U313" s="48">
        <v>969.1011105263924</v>
      </c>
      <c r="V313" s="48">
        <v>962.05362892093933</v>
      </c>
      <c r="W313" s="48">
        <v>954.73073251074914</v>
      </c>
    </row>
    <row r="314" spans="1:23" ht="13.2" x14ac:dyDescent="0.25">
      <c r="A314" s="41">
        <v>312</v>
      </c>
      <c r="B314" s="42">
        <v>0.82717721342443362</v>
      </c>
      <c r="C314" s="14" t="s">
        <v>5078</v>
      </c>
      <c r="D314" s="42">
        <v>0.62331125122649189</v>
      </c>
      <c r="E314" s="43">
        <v>194.93245004905967</v>
      </c>
      <c r="F314" s="42">
        <v>0.63258372230109927</v>
      </c>
      <c r="G314" s="43">
        <v>5.9956511872940004</v>
      </c>
      <c r="H314" s="42">
        <v>0.89249918325454891</v>
      </c>
      <c r="I314" s="43">
        <v>3.8650763330955118</v>
      </c>
      <c r="J314" s="42">
        <v>0.67514272391569929</v>
      </c>
      <c r="K314" s="43">
        <v>1.1469523142260454</v>
      </c>
      <c r="L314" s="43">
        <v>967.14015148716817</v>
      </c>
      <c r="M314" s="44">
        <v>1356.7298523414552</v>
      </c>
      <c r="N314" s="44">
        <v>2436.6556256132458</v>
      </c>
      <c r="O314" s="45" t="s">
        <v>5074</v>
      </c>
      <c r="P314" s="46">
        <v>4</v>
      </c>
      <c r="Q314" s="43">
        <v>967.14015148716817</v>
      </c>
      <c r="R314" s="43">
        <v>973.13580267446218</v>
      </c>
      <c r="S314" s="47">
        <v>0</v>
      </c>
      <c r="T314" s="48">
        <v>962.15952951255088</v>
      </c>
      <c r="U314" s="48">
        <v>969.1011105263924</v>
      </c>
      <c r="V314" s="48">
        <v>962.05362892093933</v>
      </c>
      <c r="W314" s="48">
        <v>973.13580267446218</v>
      </c>
    </row>
    <row r="315" spans="1:23" ht="13.2" x14ac:dyDescent="0.25">
      <c r="A315" s="41">
        <v>313</v>
      </c>
      <c r="B315" s="42">
        <v>0.414661725244793</v>
      </c>
      <c r="C315" s="14" t="s">
        <v>5077</v>
      </c>
      <c r="D315" s="42">
        <v>0.28034903494657437</v>
      </c>
      <c r="E315" s="43">
        <v>42.523141314519172</v>
      </c>
      <c r="F315" s="42">
        <v>0.44953039262887573</v>
      </c>
      <c r="G315" s="43">
        <v>3.3357745884618604</v>
      </c>
      <c r="H315" s="42">
        <v>4.8926525306388052E-2</v>
      </c>
      <c r="I315" s="43">
        <v>0.93271604692085919</v>
      </c>
      <c r="J315" s="42">
        <v>0.8966715614761559</v>
      </c>
      <c r="K315" s="43">
        <v>0.31843981364648327</v>
      </c>
      <c r="L315" s="43">
        <v>967.45859130081465</v>
      </c>
      <c r="M315" s="44">
        <v>295.96106354905345</v>
      </c>
      <c r="N315" s="44">
        <v>531.53926643148964</v>
      </c>
      <c r="O315" s="45" t="s">
        <v>5074</v>
      </c>
      <c r="P315" s="46">
        <v>3</v>
      </c>
      <c r="Q315" s="43">
        <v>967.45859130081465</v>
      </c>
      <c r="R315" s="43">
        <v>970.79436588927649</v>
      </c>
      <c r="S315" s="47">
        <v>0</v>
      </c>
      <c r="T315" s="48">
        <v>962.15952951255088</v>
      </c>
      <c r="U315" s="48">
        <v>969.1011105263924</v>
      </c>
      <c r="V315" s="48">
        <v>970.79436588927649</v>
      </c>
      <c r="W315" s="48">
        <v>973.13580267446218</v>
      </c>
    </row>
    <row r="316" spans="1:23" ht="13.2" x14ac:dyDescent="0.25">
      <c r="A316" s="41">
        <v>314</v>
      </c>
      <c r="B316" s="42">
        <v>0.70300204432709235</v>
      </c>
      <c r="C316" s="14" t="s">
        <v>5079</v>
      </c>
      <c r="D316" s="42">
        <v>0.9499694993486486</v>
      </c>
      <c r="E316" s="43">
        <v>9.849908498045945</v>
      </c>
      <c r="F316" s="42">
        <v>0.45303925520416316</v>
      </c>
      <c r="G316" s="43">
        <v>1.489834318072458</v>
      </c>
      <c r="H316" s="42">
        <v>0.63840465556755877</v>
      </c>
      <c r="I316" s="43">
        <v>0.46710667320666699</v>
      </c>
      <c r="J316" s="42">
        <v>0.98144453669965481</v>
      </c>
      <c r="K316" s="43">
        <v>5.4685476127902991E-2</v>
      </c>
      <c r="L316" s="43">
        <v>967.51327677694258</v>
      </c>
      <c r="M316" s="44">
        <v>68.55536314639977</v>
      </c>
      <c r="N316" s="44">
        <v>123.12385622557431</v>
      </c>
      <c r="O316" s="45" t="s">
        <v>5074</v>
      </c>
      <c r="P316" s="46">
        <v>1</v>
      </c>
      <c r="Q316" s="43">
        <v>967.51327677694258</v>
      </c>
      <c r="R316" s="43">
        <v>969.00311109501502</v>
      </c>
      <c r="S316" s="47">
        <v>0</v>
      </c>
      <c r="T316" s="48">
        <v>969.00311109501502</v>
      </c>
      <c r="U316" s="48">
        <v>969.1011105263924</v>
      </c>
      <c r="V316" s="48">
        <v>970.79436588927649</v>
      </c>
      <c r="W316" s="48">
        <v>973.13580267446218</v>
      </c>
    </row>
    <row r="317" spans="1:23" ht="13.2" x14ac:dyDescent="0.25">
      <c r="A317" s="41">
        <v>315</v>
      </c>
      <c r="B317" s="42">
        <v>0.43958593878875762</v>
      </c>
      <c r="C317" s="14" t="s">
        <v>5077</v>
      </c>
      <c r="D317" s="42">
        <v>0.25689830270451414</v>
      </c>
      <c r="E317" s="43">
        <v>42.312084724340629</v>
      </c>
      <c r="F317" s="42">
        <v>0.11944517731640729</v>
      </c>
      <c r="G317" s="43">
        <v>3.1773336851118756</v>
      </c>
      <c r="H317" s="42">
        <v>0.9559085387531242</v>
      </c>
      <c r="I317" s="43">
        <v>1.5591413561008975</v>
      </c>
      <c r="J317" s="42">
        <v>0.13260398997580819</v>
      </c>
      <c r="K317" s="43">
        <v>5.8989433908548436</v>
      </c>
      <c r="L317" s="43">
        <v>973.41222016779739</v>
      </c>
      <c r="M317" s="44">
        <v>294.4921096814108</v>
      </c>
      <c r="N317" s="44">
        <v>528.90105905425787</v>
      </c>
      <c r="O317" s="45" t="s">
        <v>5074</v>
      </c>
      <c r="P317" s="46">
        <v>1</v>
      </c>
      <c r="Q317" s="43">
        <v>973.41222016779739</v>
      </c>
      <c r="R317" s="43">
        <v>976.58955385290926</v>
      </c>
      <c r="S317" s="47">
        <v>0</v>
      </c>
      <c r="T317" s="48">
        <v>976.58955385290926</v>
      </c>
      <c r="U317" s="48">
        <v>969.1011105263924</v>
      </c>
      <c r="V317" s="48">
        <v>970.79436588927649</v>
      </c>
      <c r="W317" s="48">
        <v>973.13580267446218</v>
      </c>
    </row>
    <row r="318" spans="1:23" ht="13.2" x14ac:dyDescent="0.25">
      <c r="A318" s="41">
        <v>316</v>
      </c>
      <c r="B318" s="42">
        <v>0.12855042802568079</v>
      </c>
      <c r="C318" s="14" t="s">
        <v>5073</v>
      </c>
      <c r="D318" s="42">
        <v>0.87334539223152463</v>
      </c>
      <c r="E318" s="43">
        <v>384.80144706778299</v>
      </c>
      <c r="F318" s="42">
        <v>0.71114012445841923</v>
      </c>
      <c r="G318" s="43">
        <v>10.605868589554852</v>
      </c>
      <c r="H318" s="42">
        <v>0.98780009615598252</v>
      </c>
      <c r="I318" s="43">
        <v>3.9043447446137272</v>
      </c>
      <c r="J318" s="42">
        <v>0.42718998269512781</v>
      </c>
      <c r="K318" s="43">
        <v>2.4832888769589436</v>
      </c>
      <c r="L318" s="43">
        <v>975.8955090447563</v>
      </c>
      <c r="M318" s="44">
        <v>2678.2180715917698</v>
      </c>
      <c r="N318" s="44">
        <v>4810.0180883472876</v>
      </c>
      <c r="O318" s="45" t="s">
        <v>5074</v>
      </c>
      <c r="P318" s="46">
        <v>2</v>
      </c>
      <c r="Q318" s="43">
        <v>975.8955090447563</v>
      </c>
      <c r="R318" s="43">
        <v>986.5013776343111</v>
      </c>
      <c r="S318" s="47">
        <v>0</v>
      </c>
      <c r="T318" s="48">
        <v>976.58955385290926</v>
      </c>
      <c r="U318" s="48">
        <v>986.5013776343111</v>
      </c>
      <c r="V318" s="48">
        <v>970.79436588927649</v>
      </c>
      <c r="W318" s="48">
        <v>973.13580267446218</v>
      </c>
    </row>
    <row r="319" spans="1:23" ht="13.2" x14ac:dyDescent="0.25">
      <c r="A319" s="41">
        <v>317</v>
      </c>
      <c r="B319" s="42">
        <v>0.87808155355885698</v>
      </c>
      <c r="C319" s="14" t="s">
        <v>5081</v>
      </c>
      <c r="D319" s="42">
        <v>0.17007350231058593</v>
      </c>
      <c r="E319" s="43">
        <v>266.80294009242346</v>
      </c>
      <c r="F319" s="42">
        <v>6.8569473954182808E-2</v>
      </c>
      <c r="G319" s="43">
        <v>8.2578837792146409</v>
      </c>
      <c r="H319" s="42">
        <v>7.5769532041516874E-2</v>
      </c>
      <c r="I319" s="43">
        <v>3.389280187118525</v>
      </c>
      <c r="J319" s="42">
        <v>0.75245735177419026</v>
      </c>
      <c r="K319" s="43">
        <v>0.8303969616010286</v>
      </c>
      <c r="L319" s="43">
        <v>976.72590600635738</v>
      </c>
      <c r="M319" s="44">
        <v>1856.9484630432673</v>
      </c>
      <c r="N319" s="44">
        <v>3335.0367511552931</v>
      </c>
      <c r="O319" s="45" t="s">
        <v>5074</v>
      </c>
      <c r="P319" s="46">
        <v>3</v>
      </c>
      <c r="Q319" s="43">
        <v>976.72590600635738</v>
      </c>
      <c r="R319" s="43">
        <v>984.98378978557207</v>
      </c>
      <c r="S319" s="47">
        <v>0</v>
      </c>
      <c r="T319" s="48">
        <v>976.58955385290926</v>
      </c>
      <c r="U319" s="48">
        <v>986.5013776343111</v>
      </c>
      <c r="V319" s="48">
        <v>984.98378978557207</v>
      </c>
      <c r="W319" s="48">
        <v>973.13580267446218</v>
      </c>
    </row>
    <row r="320" spans="1:23" ht="13.2" x14ac:dyDescent="0.25">
      <c r="A320" s="41">
        <v>318</v>
      </c>
      <c r="B320" s="42">
        <v>0.5455978799358</v>
      </c>
      <c r="C320" s="14" t="s">
        <v>5076</v>
      </c>
      <c r="D320" s="42">
        <v>0.78323608347365448</v>
      </c>
      <c r="E320" s="43">
        <v>42.832360834736548</v>
      </c>
      <c r="F320" s="42">
        <v>0.51397993066999126</v>
      </c>
      <c r="G320" s="43">
        <v>3.2764307681081961</v>
      </c>
      <c r="H320" s="42">
        <v>0.91623441312286746</v>
      </c>
      <c r="I320" s="43">
        <v>1.0468518223236165</v>
      </c>
      <c r="J320" s="42">
        <v>0.55863928681176123</v>
      </c>
      <c r="K320" s="43">
        <v>1.7000037871417117</v>
      </c>
      <c r="L320" s="43">
        <v>978.42590979349905</v>
      </c>
      <c r="M320" s="44">
        <v>298.1132314097664</v>
      </c>
      <c r="N320" s="44">
        <v>535.40451043420683</v>
      </c>
      <c r="O320" s="45" t="s">
        <v>5074</v>
      </c>
      <c r="P320" s="46">
        <v>4</v>
      </c>
      <c r="Q320" s="43">
        <v>978.42590979349905</v>
      </c>
      <c r="R320" s="43">
        <v>981.70234056160723</v>
      </c>
      <c r="S320" s="47">
        <v>0</v>
      </c>
      <c r="T320" s="48">
        <v>976.58955385290926</v>
      </c>
      <c r="U320" s="48">
        <v>986.5013776343111</v>
      </c>
      <c r="V320" s="48">
        <v>984.98378978557207</v>
      </c>
      <c r="W320" s="48">
        <v>981.70234056160723</v>
      </c>
    </row>
    <row r="321" spans="1:23" ht="13.2" x14ac:dyDescent="0.25">
      <c r="A321" s="41">
        <v>319</v>
      </c>
      <c r="B321" s="42">
        <v>0.53101629276341589</v>
      </c>
      <c r="C321" s="14" t="s">
        <v>5076</v>
      </c>
      <c r="D321" s="42">
        <v>0.36684797069376707</v>
      </c>
      <c r="E321" s="43">
        <v>38.668479706937674</v>
      </c>
      <c r="F321" s="42">
        <v>9.0554988519547033E-2</v>
      </c>
      <c r="G321" s="43">
        <v>3.0816552947189915</v>
      </c>
      <c r="H321" s="42">
        <v>0.51440144493915207</v>
      </c>
      <c r="I321" s="43">
        <v>0.83126215895702082</v>
      </c>
      <c r="J321" s="42">
        <v>0.53727328802331975</v>
      </c>
      <c r="K321" s="43">
        <v>1.8138639348399479</v>
      </c>
      <c r="L321" s="43">
        <v>980.23977372833895</v>
      </c>
      <c r="M321" s="44">
        <v>269.13261876028622</v>
      </c>
      <c r="N321" s="44">
        <v>483.35599633672092</v>
      </c>
      <c r="O321" s="45" t="s">
        <v>5074</v>
      </c>
      <c r="P321" s="46">
        <v>1</v>
      </c>
      <c r="Q321" s="43">
        <v>980.23977372833895</v>
      </c>
      <c r="R321" s="43">
        <v>983.32142902305793</v>
      </c>
      <c r="S321" s="47">
        <v>0</v>
      </c>
      <c r="T321" s="48">
        <v>983.32142902305793</v>
      </c>
      <c r="U321" s="48">
        <v>986.5013776343111</v>
      </c>
      <c r="V321" s="48">
        <v>984.98378978557207</v>
      </c>
      <c r="W321" s="48">
        <v>981.70234056160723</v>
      </c>
    </row>
    <row r="322" spans="1:23" ht="13.2" x14ac:dyDescent="0.25">
      <c r="A322" s="41">
        <v>320</v>
      </c>
      <c r="B322" s="42">
        <v>0.29188296212436771</v>
      </c>
      <c r="C322" s="14" t="s">
        <v>5077</v>
      </c>
      <c r="D322" s="42">
        <v>0.95966600904225652</v>
      </c>
      <c r="E322" s="43">
        <v>48.636994081380308</v>
      </c>
      <c r="F322" s="42">
        <v>0.5358370079360143</v>
      </c>
      <c r="G322" s="43">
        <v>3.3772017638092868</v>
      </c>
      <c r="H322" s="42">
        <v>0.56777064016450696</v>
      </c>
      <c r="I322" s="43">
        <v>1.2589748171294843</v>
      </c>
      <c r="J322" s="42">
        <v>0.89695577178939978</v>
      </c>
      <c r="K322" s="43">
        <v>0.31751452540503677</v>
      </c>
      <c r="L322" s="43">
        <v>980.55728825374399</v>
      </c>
      <c r="M322" s="44">
        <v>339.9550708263028</v>
      </c>
      <c r="N322" s="44">
        <v>607.96242601725385</v>
      </c>
      <c r="O322" s="45" t="s">
        <v>5074</v>
      </c>
      <c r="P322" s="46">
        <v>4</v>
      </c>
      <c r="Q322" s="43">
        <v>981.70234056160723</v>
      </c>
      <c r="R322" s="43">
        <v>985.07954232541647</v>
      </c>
      <c r="S322" s="43">
        <v>1.1450523078632386</v>
      </c>
      <c r="T322" s="48">
        <v>983.32142902305793</v>
      </c>
      <c r="U322" s="48">
        <v>986.5013776343111</v>
      </c>
      <c r="V322" s="48">
        <v>984.98378978557207</v>
      </c>
      <c r="W322" s="48">
        <v>985.07954232541647</v>
      </c>
    </row>
    <row r="323" spans="1:23" ht="13.2" x14ac:dyDescent="0.25">
      <c r="A323" s="41">
        <v>321</v>
      </c>
      <c r="B323" s="42">
        <v>0.77817369661208879</v>
      </c>
      <c r="C323" s="14" t="s">
        <v>5078</v>
      </c>
      <c r="D323" s="42">
        <v>4.4489183018211829E-2</v>
      </c>
      <c r="E323" s="43">
        <v>171.77956732072846</v>
      </c>
      <c r="F323" s="42">
        <v>0.82949933494883554</v>
      </c>
      <c r="G323" s="43">
        <v>6.1748443948034399</v>
      </c>
      <c r="H323" s="42">
        <v>0.85264165646053924</v>
      </c>
      <c r="I323" s="43">
        <v>3.756633476491591</v>
      </c>
      <c r="J323" s="42">
        <v>0.82535592505026423</v>
      </c>
      <c r="K323" s="43">
        <v>0.56041039819215277</v>
      </c>
      <c r="L323" s="43">
        <v>981.11769865193617</v>
      </c>
      <c r="M323" s="44">
        <v>1203.8643958375874</v>
      </c>
      <c r="N323" s="44">
        <v>2147.2445915091057</v>
      </c>
      <c r="O323" s="45" t="s">
        <v>5074</v>
      </c>
      <c r="P323" s="46">
        <v>1</v>
      </c>
      <c r="Q323" s="43">
        <v>983.32142902305793</v>
      </c>
      <c r="R323" s="43">
        <v>989.4962734178614</v>
      </c>
      <c r="S323" s="43">
        <v>2.2037303711217646</v>
      </c>
      <c r="T323" s="48">
        <v>989.4962734178614</v>
      </c>
      <c r="U323" s="48">
        <v>986.5013776343111</v>
      </c>
      <c r="V323" s="48">
        <v>984.98378978557207</v>
      </c>
      <c r="W323" s="48">
        <v>985.07954232541647</v>
      </c>
    </row>
    <row r="324" spans="1:23" ht="13.2" x14ac:dyDescent="0.25">
      <c r="A324" s="41">
        <v>322</v>
      </c>
      <c r="B324" s="42">
        <v>4.3280236908830816E-2</v>
      </c>
      <c r="C324" s="14" t="s">
        <v>5073</v>
      </c>
      <c r="D324" s="42">
        <v>0.50847661751717177</v>
      </c>
      <c r="E324" s="43">
        <v>341.01719410206061</v>
      </c>
      <c r="F324" s="42">
        <v>0.51390871615796752</v>
      </c>
      <c r="G324" s="43">
        <v>9.988534281574438</v>
      </c>
      <c r="H324" s="42">
        <v>0.37789878685860839</v>
      </c>
      <c r="I324" s="43">
        <v>3.2528932064296452</v>
      </c>
      <c r="J324" s="42">
        <v>0.45033177102465732</v>
      </c>
      <c r="K324" s="43">
        <v>2.3292575151046</v>
      </c>
      <c r="L324" s="43">
        <v>983.44695616704075</v>
      </c>
      <c r="M324" s="44">
        <v>2378.4788265874749</v>
      </c>
      <c r="N324" s="44">
        <v>4262.7149262757575</v>
      </c>
      <c r="O324" s="45" t="s">
        <v>5074</v>
      </c>
      <c r="P324" s="46">
        <v>3</v>
      </c>
      <c r="Q324" s="43">
        <v>984.98378978557207</v>
      </c>
      <c r="R324" s="43">
        <v>994.97232406714647</v>
      </c>
      <c r="S324" s="43">
        <v>1.5368336185313183</v>
      </c>
      <c r="T324" s="48">
        <v>989.4962734178614</v>
      </c>
      <c r="U324" s="48">
        <v>986.5013776343111</v>
      </c>
      <c r="V324" s="48">
        <v>994.97232406714647</v>
      </c>
      <c r="W324" s="48">
        <v>985.07954232541647</v>
      </c>
    </row>
    <row r="325" spans="1:23" ht="13.2" x14ac:dyDescent="0.25">
      <c r="A325" s="41">
        <v>323</v>
      </c>
      <c r="B325" s="42">
        <v>0.96330076361228745</v>
      </c>
      <c r="C325" s="14" t="s">
        <v>5080</v>
      </c>
      <c r="D325" s="42">
        <v>0.6756876887174732</v>
      </c>
      <c r="E325" s="43">
        <v>101.89219221793684</v>
      </c>
      <c r="F325" s="42">
        <v>0.52219839790938349</v>
      </c>
      <c r="G325" s="43">
        <v>4.4919871348710672</v>
      </c>
      <c r="H325" s="42">
        <v>0.76041606243719162</v>
      </c>
      <c r="I325" s="43">
        <v>2.3433028950779096</v>
      </c>
      <c r="J325" s="42">
        <v>1.84642123144419E-2</v>
      </c>
      <c r="K325" s="43">
        <v>11.655243474131778</v>
      </c>
      <c r="L325" s="43">
        <v>995.10219964117255</v>
      </c>
      <c r="M325" s="44">
        <v>709.16965783684043</v>
      </c>
      <c r="N325" s="44">
        <v>1273.6524027242106</v>
      </c>
      <c r="O325" s="45" t="s">
        <v>5074</v>
      </c>
      <c r="P325" s="46">
        <v>4</v>
      </c>
      <c r="Q325" s="43">
        <v>995.10219964117255</v>
      </c>
      <c r="R325" s="43">
        <v>999.59418677604367</v>
      </c>
      <c r="S325" s="47">
        <v>0</v>
      </c>
      <c r="T325" s="48">
        <v>989.4962734178614</v>
      </c>
      <c r="U325" s="48">
        <v>986.5013776343111</v>
      </c>
      <c r="V325" s="48">
        <v>994.97232406714647</v>
      </c>
      <c r="W325" s="48">
        <v>999.59418677604367</v>
      </c>
    </row>
    <row r="326" spans="1:23" ht="13.2" x14ac:dyDescent="0.25">
      <c r="A326" s="41">
        <v>324</v>
      </c>
      <c r="B326" s="42">
        <v>0.61513864231069504</v>
      </c>
      <c r="C326" s="14" t="s">
        <v>5076</v>
      </c>
      <c r="D326" s="42">
        <v>0.12072815565426283</v>
      </c>
      <c r="E326" s="43">
        <v>36.207281556542625</v>
      </c>
      <c r="F326" s="42">
        <v>0.50542635773561262</v>
      </c>
      <c r="G326" s="43">
        <v>3.2724961245583817</v>
      </c>
      <c r="H326" s="42">
        <v>0.28024581646558167</v>
      </c>
      <c r="I326" s="43">
        <v>0.74259353136011719</v>
      </c>
      <c r="J326" s="42">
        <v>0.63978831825768034</v>
      </c>
      <c r="K326" s="43">
        <v>1.3039938979898973</v>
      </c>
      <c r="L326" s="43">
        <v>996.40619353916247</v>
      </c>
      <c r="M326" s="44">
        <v>252.00267963353667</v>
      </c>
      <c r="N326" s="44">
        <v>452.59101945678282</v>
      </c>
      <c r="O326" s="45" t="s">
        <v>5074</v>
      </c>
      <c r="P326" s="46">
        <v>2</v>
      </c>
      <c r="Q326" s="43">
        <v>996.40619353916247</v>
      </c>
      <c r="R326" s="43">
        <v>999.67868966372089</v>
      </c>
      <c r="S326" s="47">
        <v>0</v>
      </c>
      <c r="T326" s="48">
        <v>989.4962734178614</v>
      </c>
      <c r="U326" s="48">
        <v>999.67868966372089</v>
      </c>
      <c r="V326" s="48">
        <v>994.97232406714647</v>
      </c>
      <c r="W326" s="48">
        <v>999.59418677604367</v>
      </c>
    </row>
    <row r="327" spans="1:23" ht="13.2" x14ac:dyDescent="0.25">
      <c r="A327" s="41">
        <v>325</v>
      </c>
      <c r="B327" s="42">
        <v>0.1225838112284354</v>
      </c>
      <c r="C327" s="14" t="s">
        <v>5073</v>
      </c>
      <c r="D327" s="42">
        <v>0.29052095734072891</v>
      </c>
      <c r="E327" s="43">
        <v>314.86251488088749</v>
      </c>
      <c r="F327" s="42">
        <v>0.8686535227432165</v>
      </c>
      <c r="G327" s="43">
        <v>11.098885526186267</v>
      </c>
      <c r="H327" s="42">
        <v>0.97708009834265341</v>
      </c>
      <c r="I327" s="43">
        <v>3.8688896409774958</v>
      </c>
      <c r="J327" s="42">
        <v>0.72282975107563185</v>
      </c>
      <c r="K327" s="43">
        <v>0.94768338757026238</v>
      </c>
      <c r="L327" s="43">
        <v>997.35387692673271</v>
      </c>
      <c r="M327" s="44">
        <v>2191.4431035709767</v>
      </c>
      <c r="N327" s="44">
        <v>3935.7814360110938</v>
      </c>
      <c r="O327" s="45" t="s">
        <v>5074</v>
      </c>
      <c r="P327" s="46">
        <v>1</v>
      </c>
      <c r="Q327" s="43">
        <v>997.35387692673271</v>
      </c>
      <c r="R327" s="43">
        <v>1008.4527624529189</v>
      </c>
      <c r="S327" s="47">
        <v>0</v>
      </c>
      <c r="T327" s="48">
        <v>1008.4527624529189</v>
      </c>
      <c r="U327" s="48">
        <v>999.67868966372089</v>
      </c>
      <c r="V327" s="48">
        <v>994.97232406714647</v>
      </c>
      <c r="W327" s="48">
        <v>999.59418677604367</v>
      </c>
    </row>
    <row r="328" spans="1:23" ht="13.2" x14ac:dyDescent="0.25">
      <c r="A328" s="41">
        <v>326</v>
      </c>
      <c r="B328" s="42">
        <v>0.66354511196890154</v>
      </c>
      <c r="C328" s="14" t="s">
        <v>5079</v>
      </c>
      <c r="D328" s="42">
        <v>0.89963598172163406</v>
      </c>
      <c r="E328" s="43">
        <v>9.6989079451649012</v>
      </c>
      <c r="F328" s="42">
        <v>5.4611148803779458E-2</v>
      </c>
      <c r="G328" s="43">
        <v>1.4460072263684156</v>
      </c>
      <c r="H328" s="42">
        <v>9.4598556912782863E-2</v>
      </c>
      <c r="I328" s="43">
        <v>0.29726178947191073</v>
      </c>
      <c r="J328" s="42">
        <v>0.13508119580106864</v>
      </c>
      <c r="K328" s="43">
        <v>5.8449028641290779</v>
      </c>
      <c r="L328" s="43">
        <v>1003.1987797908617</v>
      </c>
      <c r="M328" s="44">
        <v>67.504399298347707</v>
      </c>
      <c r="N328" s="44">
        <v>121.23634931456127</v>
      </c>
      <c r="O328" s="45" t="s">
        <v>5074</v>
      </c>
      <c r="P328" s="46">
        <v>3</v>
      </c>
      <c r="Q328" s="43">
        <v>1003.1987797908617</v>
      </c>
      <c r="R328" s="43">
        <v>1004.6447870172302</v>
      </c>
      <c r="S328" s="47">
        <v>0</v>
      </c>
      <c r="T328" s="48">
        <v>1008.4527624529189</v>
      </c>
      <c r="U328" s="48">
        <v>999.67868966372089</v>
      </c>
      <c r="V328" s="48">
        <v>1004.6447870172302</v>
      </c>
      <c r="W328" s="48">
        <v>999.59418677604367</v>
      </c>
    </row>
    <row r="329" spans="1:23" ht="13.2" x14ac:dyDescent="0.25">
      <c r="A329" s="41">
        <v>327</v>
      </c>
      <c r="B329" s="42">
        <v>0.49957671971040624</v>
      </c>
      <c r="C329" s="14" t="s">
        <v>5076</v>
      </c>
      <c r="D329" s="42">
        <v>0.41151190987392883</v>
      </c>
      <c r="E329" s="43">
        <v>39.115119098739285</v>
      </c>
      <c r="F329" s="42">
        <v>0.33391884729914312</v>
      </c>
      <c r="G329" s="43">
        <v>3.1936026697576056</v>
      </c>
      <c r="H329" s="42">
        <v>0.74143655213594273</v>
      </c>
      <c r="I329" s="43">
        <v>0.93093167149971734</v>
      </c>
      <c r="J329" s="42">
        <v>0.14908002603290604</v>
      </c>
      <c r="K329" s="43">
        <v>5.5569986269995972</v>
      </c>
      <c r="L329" s="43">
        <v>1008.7557784178614</v>
      </c>
      <c r="M329" s="44">
        <v>272.24122892722545</v>
      </c>
      <c r="N329" s="44">
        <v>488.93898873424109</v>
      </c>
      <c r="O329" s="45" t="s">
        <v>5074</v>
      </c>
      <c r="P329" s="46">
        <v>4</v>
      </c>
      <c r="Q329" s="43">
        <v>1008.7557784178614</v>
      </c>
      <c r="R329" s="43">
        <v>1011.949381087619</v>
      </c>
      <c r="S329" s="47">
        <v>0</v>
      </c>
      <c r="T329" s="48">
        <v>1008.4527624529189</v>
      </c>
      <c r="U329" s="48">
        <v>999.67868966372089</v>
      </c>
      <c r="V329" s="48">
        <v>1004.6447870172302</v>
      </c>
      <c r="W329" s="48">
        <v>1011.949381087619</v>
      </c>
    </row>
    <row r="330" spans="1:23" ht="13.2" x14ac:dyDescent="0.25">
      <c r="A330" s="41">
        <v>328</v>
      </c>
      <c r="B330" s="42">
        <v>0.90246836883130876</v>
      </c>
      <c r="C330" s="14" t="s">
        <v>5075</v>
      </c>
      <c r="D330" s="42">
        <v>0.63376488007314735</v>
      </c>
      <c r="E330" s="43">
        <v>324.3635416051203</v>
      </c>
      <c r="F330" s="42">
        <v>0.95913970142562854</v>
      </c>
      <c r="G330" s="43">
        <v>10.258688005837001</v>
      </c>
      <c r="H330" s="42">
        <v>0.48365144035017649</v>
      </c>
      <c r="I330" s="43">
        <v>2.4835155721697308</v>
      </c>
      <c r="J330" s="42">
        <v>0.38588482345728431</v>
      </c>
      <c r="K330" s="43">
        <v>2.780193690127311</v>
      </c>
      <c r="L330" s="43">
        <v>1011.5359721079888</v>
      </c>
      <c r="M330" s="44">
        <v>2257.5702495716373</v>
      </c>
      <c r="N330" s="44">
        <v>4054.5442700640037</v>
      </c>
      <c r="O330" s="45" t="s">
        <v>5074</v>
      </c>
      <c r="P330" s="46">
        <v>2</v>
      </c>
      <c r="Q330" s="43">
        <v>1011.5359721079888</v>
      </c>
      <c r="R330" s="43">
        <v>1021.7946601138258</v>
      </c>
      <c r="S330" s="47">
        <v>0</v>
      </c>
      <c r="T330" s="48">
        <v>1008.4527624529189</v>
      </c>
      <c r="U330" s="48">
        <v>1021.7946601138258</v>
      </c>
      <c r="V330" s="48">
        <v>1004.6447870172302</v>
      </c>
      <c r="W330" s="48">
        <v>1011.949381087619</v>
      </c>
    </row>
    <row r="331" spans="1:23" ht="13.2" x14ac:dyDescent="0.25">
      <c r="A331" s="41">
        <v>329</v>
      </c>
      <c r="B331" s="42">
        <v>0.40790118202935027</v>
      </c>
      <c r="C331" s="14" t="s">
        <v>5077</v>
      </c>
      <c r="D331" s="42">
        <v>0.187153350183346</v>
      </c>
      <c r="E331" s="43">
        <v>41.684380151650117</v>
      </c>
      <c r="F331" s="42">
        <v>0.90234987991971427</v>
      </c>
      <c r="G331" s="43">
        <v>3.553127942361463</v>
      </c>
      <c r="H331" s="42">
        <v>0.40600930825155662</v>
      </c>
      <c r="I331" s="43">
        <v>1.182313158249308</v>
      </c>
      <c r="J331" s="42">
        <v>0.11595336818879161</v>
      </c>
      <c r="K331" s="43">
        <v>6.2907070571423809</v>
      </c>
      <c r="L331" s="43">
        <v>1017.8266791651312</v>
      </c>
      <c r="M331" s="44">
        <v>290.12328585548482</v>
      </c>
      <c r="N331" s="44">
        <v>521.05475189562651</v>
      </c>
      <c r="O331" s="45" t="s">
        <v>5074</v>
      </c>
      <c r="P331" s="46">
        <v>3</v>
      </c>
      <c r="Q331" s="43">
        <v>1017.8266791651312</v>
      </c>
      <c r="R331" s="43">
        <v>1021.3798071074926</v>
      </c>
      <c r="S331" s="47">
        <v>0</v>
      </c>
      <c r="T331" s="48">
        <v>1008.4527624529189</v>
      </c>
      <c r="U331" s="48">
        <v>1021.7946601138258</v>
      </c>
      <c r="V331" s="48">
        <v>1021.3798071074926</v>
      </c>
      <c r="W331" s="48">
        <v>1011.949381087619</v>
      </c>
    </row>
    <row r="332" spans="1:23" ht="13.2" x14ac:dyDescent="0.25">
      <c r="A332" s="41">
        <v>330</v>
      </c>
      <c r="B332" s="42">
        <v>0.7523203942702712</v>
      </c>
      <c r="C332" s="14" t="s">
        <v>5079</v>
      </c>
      <c r="D332" s="42">
        <v>0.57640866915528133</v>
      </c>
      <c r="E332" s="43">
        <v>8.7292260074658437</v>
      </c>
      <c r="F332" s="42">
        <v>0.11216164059571998</v>
      </c>
      <c r="G332" s="43">
        <v>1.4523377804655291</v>
      </c>
      <c r="H332" s="42">
        <v>0.32694853671218665</v>
      </c>
      <c r="I332" s="43">
        <v>0.3808171830087469</v>
      </c>
      <c r="J332" s="42">
        <v>0.4852067984106051</v>
      </c>
      <c r="K332" s="43">
        <v>2.1114747166333241</v>
      </c>
      <c r="L332" s="43">
        <v>1019.9381538817645</v>
      </c>
      <c r="M332" s="44">
        <v>60.755413011962268</v>
      </c>
      <c r="N332" s="44">
        <v>109.11532509332305</v>
      </c>
      <c r="O332" s="45" t="s">
        <v>5074</v>
      </c>
      <c r="P332" s="46">
        <v>1</v>
      </c>
      <c r="Q332" s="43">
        <v>1019.9381538817645</v>
      </c>
      <c r="R332" s="43">
        <v>1021.39049166223</v>
      </c>
      <c r="S332" s="47">
        <v>0</v>
      </c>
      <c r="T332" s="48">
        <v>1021.39049166223</v>
      </c>
      <c r="U332" s="48">
        <v>1021.7946601138258</v>
      </c>
      <c r="V332" s="48">
        <v>1021.3798071074926</v>
      </c>
      <c r="W332" s="48">
        <v>1011.949381087619</v>
      </c>
    </row>
    <row r="333" spans="1:23" ht="13.2" x14ac:dyDescent="0.25">
      <c r="A333" s="41">
        <v>331</v>
      </c>
      <c r="B333" s="42">
        <v>0.31826035832905225</v>
      </c>
      <c r="C333" s="14" t="s">
        <v>5077</v>
      </c>
      <c r="D333" s="42">
        <v>0.79508361164251506</v>
      </c>
      <c r="E333" s="43">
        <v>47.155752504782633</v>
      </c>
      <c r="F333" s="42">
        <v>2.0805203365536967E-2</v>
      </c>
      <c r="G333" s="43">
        <v>3.1299864976154579</v>
      </c>
      <c r="H333" s="42">
        <v>0.25326796632877924</v>
      </c>
      <c r="I333" s="43">
        <v>1.1019544135765538</v>
      </c>
      <c r="J333" s="42">
        <v>0.33378935713963087</v>
      </c>
      <c r="K333" s="43">
        <v>3.2036354808942846</v>
      </c>
      <c r="L333" s="43">
        <v>1023.1417893626588</v>
      </c>
      <c r="M333" s="44">
        <v>328.20403743328711</v>
      </c>
      <c r="N333" s="44">
        <v>589.44690630978289</v>
      </c>
      <c r="O333" s="45" t="s">
        <v>5074</v>
      </c>
      <c r="P333" s="46">
        <v>4</v>
      </c>
      <c r="Q333" s="43">
        <v>1023.1417893626588</v>
      </c>
      <c r="R333" s="43">
        <v>1026.2717758602741</v>
      </c>
      <c r="S333" s="47">
        <v>0</v>
      </c>
      <c r="T333" s="48">
        <v>1021.39049166223</v>
      </c>
      <c r="U333" s="48">
        <v>1021.7946601138258</v>
      </c>
      <c r="V333" s="48">
        <v>1021.3798071074926</v>
      </c>
      <c r="W333" s="48">
        <v>1026.2717758602741</v>
      </c>
    </row>
    <row r="334" spans="1:23" ht="13.2" x14ac:dyDescent="0.25">
      <c r="A334" s="41">
        <v>332</v>
      </c>
      <c r="B334" s="42">
        <v>0.2018287899912469</v>
      </c>
      <c r="C334" s="14" t="s">
        <v>5073</v>
      </c>
      <c r="D334" s="42">
        <v>0.53879612616207273</v>
      </c>
      <c r="E334" s="43">
        <v>344.65553513944872</v>
      </c>
      <c r="F334" s="42">
        <v>9.403586997372837E-2</v>
      </c>
      <c r="G334" s="43">
        <v>8.6743322730177699</v>
      </c>
      <c r="H334" s="42">
        <v>0.52860396612836236</v>
      </c>
      <c r="I334" s="43">
        <v>3.3904526653295748</v>
      </c>
      <c r="J334" s="42">
        <v>0.98885575821104266</v>
      </c>
      <c r="K334" s="43">
        <v>3.2720595889093443E-2</v>
      </c>
      <c r="L334" s="43">
        <v>1023.1745099585479</v>
      </c>
      <c r="M334" s="44">
        <v>2398.802524570563</v>
      </c>
      <c r="N334" s="44">
        <v>4308.1941892431087</v>
      </c>
      <c r="O334" s="45" t="s">
        <v>5074</v>
      </c>
      <c r="P334" s="46">
        <v>3</v>
      </c>
      <c r="Q334" s="43">
        <v>1023.1745099585479</v>
      </c>
      <c r="R334" s="43">
        <v>1031.8488422315656</v>
      </c>
      <c r="S334" s="47">
        <v>0</v>
      </c>
      <c r="T334" s="48">
        <v>1021.39049166223</v>
      </c>
      <c r="U334" s="48">
        <v>1021.7946601138258</v>
      </c>
      <c r="V334" s="48">
        <v>1031.8488422315656</v>
      </c>
      <c r="W334" s="48">
        <v>1026.2717758602741</v>
      </c>
    </row>
    <row r="335" spans="1:23" ht="13.2" x14ac:dyDescent="0.25">
      <c r="A335" s="41">
        <v>333</v>
      </c>
      <c r="B335" s="42">
        <v>0.60307218162485965</v>
      </c>
      <c r="C335" s="14" t="s">
        <v>5076</v>
      </c>
      <c r="D335" s="42">
        <v>0.19525506542774618</v>
      </c>
      <c r="E335" s="43">
        <v>36.952550654277459</v>
      </c>
      <c r="F335" s="42">
        <v>0.40991706513330206</v>
      </c>
      <c r="G335" s="43">
        <v>3.2285618499613191</v>
      </c>
      <c r="H335" s="42">
        <v>0.67497695548225989</v>
      </c>
      <c r="I335" s="43">
        <v>0.89832724275306663</v>
      </c>
      <c r="J335" s="42">
        <v>0.48896005446508528</v>
      </c>
      <c r="K335" s="43">
        <v>2.0889765870201114</v>
      </c>
      <c r="L335" s="43">
        <v>1025.263486545568</v>
      </c>
      <c r="M335" s="44">
        <v>257.18975255377114</v>
      </c>
      <c r="N335" s="44">
        <v>461.90688317846826</v>
      </c>
      <c r="O335" s="45" t="s">
        <v>5074</v>
      </c>
      <c r="P335" s="46">
        <v>1</v>
      </c>
      <c r="Q335" s="43">
        <v>1025.263486545568</v>
      </c>
      <c r="R335" s="43">
        <v>1028.4920483955293</v>
      </c>
      <c r="S335" s="47">
        <v>0</v>
      </c>
      <c r="T335" s="48">
        <v>1028.4920483955293</v>
      </c>
      <c r="U335" s="48">
        <v>1021.7946601138258</v>
      </c>
      <c r="V335" s="48">
        <v>1031.8488422315656</v>
      </c>
      <c r="W335" s="48">
        <v>1026.2717758602741</v>
      </c>
    </row>
    <row r="336" spans="1:23" ht="13.2" x14ac:dyDescent="0.25">
      <c r="A336" s="41">
        <v>334</v>
      </c>
      <c r="B336" s="42">
        <v>0.70679444200675678</v>
      </c>
      <c r="C336" s="14" t="s">
        <v>5079</v>
      </c>
      <c r="D336" s="42">
        <v>0.49071724270038181</v>
      </c>
      <c r="E336" s="43">
        <v>8.4721517281011458</v>
      </c>
      <c r="F336" s="42">
        <v>0.59054179889640857</v>
      </c>
      <c r="G336" s="43">
        <v>1.504959597878605</v>
      </c>
      <c r="H336" s="42">
        <v>5.9943990344155575E-2</v>
      </c>
      <c r="I336" s="43">
        <v>0.27742350440541658</v>
      </c>
      <c r="J336" s="42">
        <v>0.74266355146777985</v>
      </c>
      <c r="K336" s="43">
        <v>0.86864864591058155</v>
      </c>
      <c r="L336" s="43">
        <v>1026.1321351914785</v>
      </c>
      <c r="M336" s="44">
        <v>58.966176027583977</v>
      </c>
      <c r="N336" s="44">
        <v>105.90189660126433</v>
      </c>
      <c r="O336" s="45" t="s">
        <v>5074</v>
      </c>
      <c r="P336" s="46">
        <v>2</v>
      </c>
      <c r="Q336" s="43">
        <v>1026.1321351914785</v>
      </c>
      <c r="R336" s="43">
        <v>1027.637094789357</v>
      </c>
      <c r="S336" s="47">
        <v>0</v>
      </c>
      <c r="T336" s="48">
        <v>1028.4920483955293</v>
      </c>
      <c r="U336" s="48">
        <v>1027.637094789357</v>
      </c>
      <c r="V336" s="48">
        <v>1031.8488422315656</v>
      </c>
      <c r="W336" s="48">
        <v>1026.2717758602741</v>
      </c>
    </row>
    <row r="337" spans="1:23" ht="13.2" x14ac:dyDescent="0.25">
      <c r="A337" s="41">
        <v>335</v>
      </c>
      <c r="B337" s="42">
        <v>0.52014285210526678</v>
      </c>
      <c r="C337" s="14" t="s">
        <v>5076</v>
      </c>
      <c r="D337" s="42">
        <v>0.25303646514799283</v>
      </c>
      <c r="E337" s="43">
        <v>37.530364651479928</v>
      </c>
      <c r="F337" s="42">
        <v>0.99428640864523421</v>
      </c>
      <c r="G337" s="43">
        <v>3.4973717479768078</v>
      </c>
      <c r="H337" s="42">
        <v>5.6486154467093833E-2</v>
      </c>
      <c r="I337" s="43">
        <v>0.60891323353059401</v>
      </c>
      <c r="J337" s="42">
        <v>8.8400285266526171E-2</v>
      </c>
      <c r="K337" s="43">
        <v>7.0828615542973541</v>
      </c>
      <c r="L337" s="43">
        <v>1033.2149967457758</v>
      </c>
      <c r="M337" s="44">
        <v>261.21133797430031</v>
      </c>
      <c r="N337" s="44">
        <v>469.12955814349908</v>
      </c>
      <c r="O337" s="45" t="s">
        <v>5074</v>
      </c>
      <c r="P337" s="46">
        <v>4</v>
      </c>
      <c r="Q337" s="43">
        <v>1033.2149967457758</v>
      </c>
      <c r="R337" s="43">
        <v>1036.7123684937526</v>
      </c>
      <c r="S337" s="47">
        <v>0</v>
      </c>
      <c r="T337" s="48">
        <v>1028.4920483955293</v>
      </c>
      <c r="U337" s="48">
        <v>1027.637094789357</v>
      </c>
      <c r="V337" s="48">
        <v>1031.8488422315656</v>
      </c>
      <c r="W337" s="48">
        <v>1036.7123684937526</v>
      </c>
    </row>
    <row r="338" spans="1:23" ht="13.2" x14ac:dyDescent="0.25">
      <c r="A338" s="41">
        <v>336</v>
      </c>
      <c r="B338" s="42">
        <v>0.95696921039231553</v>
      </c>
      <c r="C338" s="14" t="s">
        <v>5080</v>
      </c>
      <c r="D338" s="42">
        <v>0.6470642148736232</v>
      </c>
      <c r="E338" s="43">
        <v>101.17660537184058</v>
      </c>
      <c r="F338" s="42">
        <v>3.4398463570698382E-2</v>
      </c>
      <c r="G338" s="43">
        <v>4.2285751703281775</v>
      </c>
      <c r="H338" s="42">
        <v>0.57471096263020804</v>
      </c>
      <c r="I338" s="43">
        <v>2.125059849323609</v>
      </c>
      <c r="J338" s="42">
        <v>0.23720799304414913</v>
      </c>
      <c r="K338" s="43">
        <v>4.2009282187980528</v>
      </c>
      <c r="L338" s="43">
        <v>1037.4159249645738</v>
      </c>
      <c r="M338" s="44">
        <v>704.18917338801043</v>
      </c>
      <c r="N338" s="44">
        <v>1264.7075671480072</v>
      </c>
      <c r="O338" s="45" t="s">
        <v>5074</v>
      </c>
      <c r="P338" s="46">
        <v>2</v>
      </c>
      <c r="Q338" s="43">
        <v>1037.4159249645738</v>
      </c>
      <c r="R338" s="43">
        <v>1041.644500134902</v>
      </c>
      <c r="S338" s="47">
        <v>0</v>
      </c>
      <c r="T338" s="48">
        <v>1028.4920483955293</v>
      </c>
      <c r="U338" s="48">
        <v>1041.644500134902</v>
      </c>
      <c r="V338" s="48">
        <v>1031.8488422315656</v>
      </c>
      <c r="W338" s="48">
        <v>1036.7123684937526</v>
      </c>
    </row>
    <row r="339" spans="1:23" ht="13.2" x14ac:dyDescent="0.25">
      <c r="A339" s="41">
        <v>337</v>
      </c>
      <c r="B339" s="42">
        <v>0.1067577582349804</v>
      </c>
      <c r="C339" s="14" t="s">
        <v>5073</v>
      </c>
      <c r="D339" s="42">
        <v>0.42966202666501607</v>
      </c>
      <c r="E339" s="43">
        <v>331.55944319980193</v>
      </c>
      <c r="F339" s="42">
        <v>0.65707053181578901</v>
      </c>
      <c r="G339" s="43">
        <v>10.43663076458342</v>
      </c>
      <c r="H339" s="42">
        <v>0.79910662202122928</v>
      </c>
      <c r="I339" s="43">
        <v>3.6118376196949553</v>
      </c>
      <c r="J339" s="42">
        <v>0.42215583260271505</v>
      </c>
      <c r="K339" s="43">
        <v>2.5179000336924862</v>
      </c>
      <c r="L339" s="43">
        <v>1039.9338249982663</v>
      </c>
      <c r="M339" s="44">
        <v>2307.6537246706216</v>
      </c>
      <c r="N339" s="44">
        <v>4144.4930399975237</v>
      </c>
      <c r="O339" s="45" t="s">
        <v>5074</v>
      </c>
      <c r="P339" s="46">
        <v>1</v>
      </c>
      <c r="Q339" s="43">
        <v>1039.9338249982663</v>
      </c>
      <c r="R339" s="43">
        <v>1050.3704557628498</v>
      </c>
      <c r="S339" s="47">
        <v>0</v>
      </c>
      <c r="T339" s="48">
        <v>1050.3704557628498</v>
      </c>
      <c r="U339" s="48">
        <v>1041.644500134902</v>
      </c>
      <c r="V339" s="48">
        <v>1031.8488422315656</v>
      </c>
      <c r="W339" s="48">
        <v>1036.7123684937526</v>
      </c>
    </row>
    <row r="340" spans="1:23" ht="13.2" x14ac:dyDescent="0.25">
      <c r="A340" s="41">
        <v>338</v>
      </c>
      <c r="B340" s="42">
        <v>0.40939898016368925</v>
      </c>
      <c r="C340" s="14" t="s">
        <v>5077</v>
      </c>
      <c r="D340" s="42">
        <v>0.30959291072077721</v>
      </c>
      <c r="E340" s="43">
        <v>42.786336196486992</v>
      </c>
      <c r="F340" s="42">
        <v>0.61185344756201532</v>
      </c>
      <c r="G340" s="43">
        <v>3.4136896548297675</v>
      </c>
      <c r="H340" s="42">
        <v>0.83193910952282102</v>
      </c>
      <c r="I340" s="43">
        <v>1.4249956350987669</v>
      </c>
      <c r="J340" s="42">
        <v>0.91841441947892977</v>
      </c>
      <c r="K340" s="43">
        <v>0.24848628580421678</v>
      </c>
      <c r="L340" s="43">
        <v>1040.1823112840705</v>
      </c>
      <c r="M340" s="44">
        <v>297.79289992754946</v>
      </c>
      <c r="N340" s="44">
        <v>534.82920245608739</v>
      </c>
      <c r="O340" s="45" t="s">
        <v>5074</v>
      </c>
      <c r="P340" s="46">
        <v>3</v>
      </c>
      <c r="Q340" s="43">
        <v>1040.1823112840705</v>
      </c>
      <c r="R340" s="43">
        <v>1043.5960009389003</v>
      </c>
      <c r="S340" s="47">
        <v>0</v>
      </c>
      <c r="T340" s="48">
        <v>1050.3704557628498</v>
      </c>
      <c r="U340" s="48">
        <v>1041.644500134902</v>
      </c>
      <c r="V340" s="48">
        <v>1043.5960009389003</v>
      </c>
      <c r="W340" s="48">
        <v>1036.7123684937526</v>
      </c>
    </row>
    <row r="341" spans="1:23" ht="13.2" x14ac:dyDescent="0.25">
      <c r="A341" s="41">
        <v>339</v>
      </c>
      <c r="B341" s="42">
        <v>0.23371911152904812</v>
      </c>
      <c r="C341" s="14" t="s">
        <v>5073</v>
      </c>
      <c r="D341" s="42">
        <v>0.77625383472826981</v>
      </c>
      <c r="E341" s="43">
        <v>373.1504601673924</v>
      </c>
      <c r="F341" s="42">
        <v>0.38638701913244416</v>
      </c>
      <c r="G341" s="43">
        <v>9.5893913698845505</v>
      </c>
      <c r="H341" s="42">
        <v>0.32515737755464269</v>
      </c>
      <c r="I341" s="43">
        <v>3.1983810323397708</v>
      </c>
      <c r="J341" s="42">
        <v>5.6010087512438224E-2</v>
      </c>
      <c r="K341" s="43">
        <v>8.4152510082292356</v>
      </c>
      <c r="L341" s="43">
        <v>1048.5975622922997</v>
      </c>
      <c r="M341" s="44">
        <v>2597.1272027650512</v>
      </c>
      <c r="N341" s="44">
        <v>4664.3807520924047</v>
      </c>
      <c r="O341" s="45" t="s">
        <v>5074</v>
      </c>
      <c r="P341" s="46">
        <v>4</v>
      </c>
      <c r="Q341" s="43">
        <v>1048.5975622922997</v>
      </c>
      <c r="R341" s="43">
        <v>1058.1869536621844</v>
      </c>
      <c r="S341" s="47">
        <v>0</v>
      </c>
      <c r="T341" s="48">
        <v>1050.3704557628498</v>
      </c>
      <c r="U341" s="48">
        <v>1041.644500134902</v>
      </c>
      <c r="V341" s="48">
        <v>1043.5960009389003</v>
      </c>
      <c r="W341" s="48">
        <v>1058.1869536621844</v>
      </c>
    </row>
    <row r="342" spans="1:23" ht="13.2" x14ac:dyDescent="0.25">
      <c r="A342" s="41">
        <v>340</v>
      </c>
      <c r="B342" s="42">
        <v>0.66305258714736093</v>
      </c>
      <c r="C342" s="14" t="s">
        <v>5079</v>
      </c>
      <c r="D342" s="42">
        <v>7.975740687910346E-2</v>
      </c>
      <c r="E342" s="43">
        <v>7.2392722206373108</v>
      </c>
      <c r="F342" s="42">
        <v>0.66982138560610893</v>
      </c>
      <c r="G342" s="43">
        <v>1.513680352416672</v>
      </c>
      <c r="H342" s="42">
        <v>0.91401195428986659</v>
      </c>
      <c r="I342" s="43">
        <v>0.58642972723234299</v>
      </c>
      <c r="J342" s="42">
        <v>0.22035028609463492</v>
      </c>
      <c r="K342" s="43">
        <v>4.4161658082639565</v>
      </c>
      <c r="L342" s="43">
        <v>1053.0137281005636</v>
      </c>
      <c r="M342" s="44">
        <v>50.385334655635681</v>
      </c>
      <c r="N342" s="44">
        <v>90.490902757966381</v>
      </c>
      <c r="O342" s="45" t="s">
        <v>5074</v>
      </c>
      <c r="P342" s="46">
        <v>2</v>
      </c>
      <c r="Q342" s="43">
        <v>1053.0137281005636</v>
      </c>
      <c r="R342" s="43">
        <v>1054.5274084529804</v>
      </c>
      <c r="S342" s="47">
        <v>0</v>
      </c>
      <c r="T342" s="48">
        <v>1050.3704557628498</v>
      </c>
      <c r="U342" s="48">
        <v>1054.5274084529804</v>
      </c>
      <c r="V342" s="48">
        <v>1043.5960009389003</v>
      </c>
      <c r="W342" s="48">
        <v>1058.1869536621844</v>
      </c>
    </row>
    <row r="343" spans="1:23" ht="13.2" x14ac:dyDescent="0.25">
      <c r="A343" s="41">
        <v>341</v>
      </c>
      <c r="B343" s="42">
        <v>3.2097618110523383E-2</v>
      </c>
      <c r="C343" s="14" t="s">
        <v>5073</v>
      </c>
      <c r="D343" s="42">
        <v>0.75992136484008344</v>
      </c>
      <c r="E343" s="43">
        <v>371.19056378081001</v>
      </c>
      <c r="F343" s="42">
        <v>0.5819463858296845</v>
      </c>
      <c r="G343" s="43">
        <v>10.201492187646913</v>
      </c>
      <c r="H343" s="42">
        <v>0.78000910150818947</v>
      </c>
      <c r="I343" s="43">
        <v>3.5938064822417055</v>
      </c>
      <c r="J343" s="42">
        <v>0.12182386504571134</v>
      </c>
      <c r="K343" s="43">
        <v>6.1465080483604897</v>
      </c>
      <c r="L343" s="43">
        <v>1059.1602361489242</v>
      </c>
      <c r="M343" s="44">
        <v>2583.4863239144374</v>
      </c>
      <c r="N343" s="44">
        <v>4639.8820472601255</v>
      </c>
      <c r="O343" s="45" t="s">
        <v>5074</v>
      </c>
      <c r="P343" s="46">
        <v>3</v>
      </c>
      <c r="Q343" s="43">
        <v>1059.1602361489242</v>
      </c>
      <c r="R343" s="43">
        <v>1069.3617283365711</v>
      </c>
      <c r="S343" s="47">
        <v>0</v>
      </c>
      <c r="T343" s="48">
        <v>1050.3704557628498</v>
      </c>
      <c r="U343" s="48">
        <v>1054.5274084529804</v>
      </c>
      <c r="V343" s="48">
        <v>1069.3617283365711</v>
      </c>
      <c r="W343" s="48">
        <v>1058.1869536621844</v>
      </c>
    </row>
    <row r="344" spans="1:23" ht="13.2" x14ac:dyDescent="0.25">
      <c r="A344" s="41">
        <v>342</v>
      </c>
      <c r="B344" s="42">
        <v>0.34110115856914835</v>
      </c>
      <c r="C344" s="14" t="s">
        <v>5077</v>
      </c>
      <c r="D344" s="42">
        <v>0.8781032575658072</v>
      </c>
      <c r="E344" s="43">
        <v>47.902929318092262</v>
      </c>
      <c r="F344" s="42">
        <v>0.29693567114739478</v>
      </c>
      <c r="G344" s="43">
        <v>3.2625291221507497</v>
      </c>
      <c r="H344" s="42">
        <v>0.32015256319202134</v>
      </c>
      <c r="I344" s="43">
        <v>1.1394921541790439</v>
      </c>
      <c r="J344" s="42">
        <v>0.41738314526965059</v>
      </c>
      <c r="K344" s="43">
        <v>2.5510968333952753</v>
      </c>
      <c r="L344" s="43">
        <v>1061.7113329823196</v>
      </c>
      <c r="M344" s="44">
        <v>333.40438805392216</v>
      </c>
      <c r="N344" s="44">
        <v>598.78661647615331</v>
      </c>
      <c r="O344" s="45" t="s">
        <v>5074</v>
      </c>
      <c r="P344" s="46">
        <v>1</v>
      </c>
      <c r="Q344" s="43">
        <v>1061.7113329823196</v>
      </c>
      <c r="R344" s="43">
        <v>1064.9738621044703</v>
      </c>
      <c r="S344" s="47">
        <v>0</v>
      </c>
      <c r="T344" s="48">
        <v>1064.9738621044703</v>
      </c>
      <c r="U344" s="48">
        <v>1054.5274084529804</v>
      </c>
      <c r="V344" s="48">
        <v>1069.3617283365711</v>
      </c>
      <c r="W344" s="48">
        <v>1058.1869536621844</v>
      </c>
    </row>
    <row r="345" spans="1:23" ht="13.2" x14ac:dyDescent="0.25">
      <c r="A345" s="41">
        <v>343</v>
      </c>
      <c r="B345" s="42">
        <v>0.15201591102034595</v>
      </c>
      <c r="C345" s="14" t="s">
        <v>5073</v>
      </c>
      <c r="D345" s="42">
        <v>0.7564270872419826</v>
      </c>
      <c r="E345" s="43">
        <v>370.77125046903791</v>
      </c>
      <c r="F345" s="42">
        <v>0.26952740702290434</v>
      </c>
      <c r="G345" s="43">
        <v>9.2236207839816906</v>
      </c>
      <c r="H345" s="42">
        <v>0.57931074573626307</v>
      </c>
      <c r="I345" s="43">
        <v>3.4321835219549821</v>
      </c>
      <c r="J345" s="42">
        <v>0.69118259925915981</v>
      </c>
      <c r="K345" s="43">
        <v>1.0783977707798753</v>
      </c>
      <c r="L345" s="43">
        <v>1062.7897307530995</v>
      </c>
      <c r="M345" s="44">
        <v>2580.5679032645039</v>
      </c>
      <c r="N345" s="44">
        <v>4634.6406308629739</v>
      </c>
      <c r="O345" s="45" t="s">
        <v>5074</v>
      </c>
      <c r="P345" s="46">
        <v>2</v>
      </c>
      <c r="Q345" s="43">
        <v>1062.7897307530995</v>
      </c>
      <c r="R345" s="43">
        <v>1072.0133515370812</v>
      </c>
      <c r="S345" s="47">
        <v>0</v>
      </c>
      <c r="T345" s="48">
        <v>1064.9738621044703</v>
      </c>
      <c r="U345" s="48">
        <v>1072.0133515370812</v>
      </c>
      <c r="V345" s="48">
        <v>1069.3617283365711</v>
      </c>
      <c r="W345" s="48">
        <v>1058.1869536621844</v>
      </c>
    </row>
    <row r="346" spans="1:23" ht="13.2" x14ac:dyDescent="0.25">
      <c r="A346" s="41">
        <v>344</v>
      </c>
      <c r="B346" s="42">
        <v>0.18816779888615376</v>
      </c>
      <c r="C346" s="14" t="s">
        <v>5073</v>
      </c>
      <c r="D346" s="42">
        <v>0.47757692098504723</v>
      </c>
      <c r="E346" s="43">
        <v>337.30923051820565</v>
      </c>
      <c r="F346" s="42">
        <v>0.19653858160438881</v>
      </c>
      <c r="G346" s="43">
        <v>8.9951657604217381</v>
      </c>
      <c r="H346" s="42">
        <v>0.85468099119825336</v>
      </c>
      <c r="I346" s="43">
        <v>3.6698647904247261</v>
      </c>
      <c r="J346" s="42">
        <v>0.34901021856302872</v>
      </c>
      <c r="K346" s="43">
        <v>3.0734425625054662</v>
      </c>
      <c r="L346" s="43">
        <v>1065.8631733156051</v>
      </c>
      <c r="M346" s="44">
        <v>2347.6722444067113</v>
      </c>
      <c r="N346" s="44">
        <v>4216.3653814775707</v>
      </c>
      <c r="O346" s="45" t="s">
        <v>5074</v>
      </c>
      <c r="P346" s="46">
        <v>4</v>
      </c>
      <c r="Q346" s="43">
        <v>1065.8631733156051</v>
      </c>
      <c r="R346" s="43">
        <v>1074.8583390760268</v>
      </c>
      <c r="S346" s="47">
        <v>0</v>
      </c>
      <c r="T346" s="48">
        <v>1064.9738621044703</v>
      </c>
      <c r="U346" s="48">
        <v>1072.0133515370812</v>
      </c>
      <c r="V346" s="48">
        <v>1069.3617283365711</v>
      </c>
      <c r="W346" s="48">
        <v>1074.8583390760268</v>
      </c>
    </row>
    <row r="347" spans="1:23" ht="13.2" x14ac:dyDescent="0.25">
      <c r="A347" s="41">
        <v>345</v>
      </c>
      <c r="B347" s="42">
        <v>0.70618957127732673</v>
      </c>
      <c r="C347" s="14" t="s">
        <v>5079</v>
      </c>
      <c r="D347" s="42">
        <v>0.66826633814175906</v>
      </c>
      <c r="E347" s="43">
        <v>9.0047990144252772</v>
      </c>
      <c r="F347" s="42">
        <v>0.49863135744753823</v>
      </c>
      <c r="G347" s="43">
        <v>1.4948494493192293</v>
      </c>
      <c r="H347" s="42">
        <v>0.83239130947384576</v>
      </c>
      <c r="I347" s="43">
        <v>0.54143990546507881</v>
      </c>
      <c r="J347" s="42">
        <v>0.6165378990660132</v>
      </c>
      <c r="K347" s="43">
        <v>1.4120744049856619</v>
      </c>
      <c r="L347" s="43">
        <v>1067.2752477205906</v>
      </c>
      <c r="M347" s="44">
        <v>62.673401140399932</v>
      </c>
      <c r="N347" s="44">
        <v>112.55998768031597</v>
      </c>
      <c r="O347" s="45" t="s">
        <v>5074</v>
      </c>
      <c r="P347" s="46">
        <v>1</v>
      </c>
      <c r="Q347" s="43">
        <v>1067.2752477205906</v>
      </c>
      <c r="R347" s="43">
        <v>1068.7700971699098</v>
      </c>
      <c r="S347" s="47">
        <v>0</v>
      </c>
      <c r="T347" s="48">
        <v>1068.7700971699098</v>
      </c>
      <c r="U347" s="48">
        <v>1072.0133515370812</v>
      </c>
      <c r="V347" s="48">
        <v>1069.3617283365711</v>
      </c>
      <c r="W347" s="48">
        <v>1074.8583390760268</v>
      </c>
    </row>
    <row r="348" spans="1:23" ht="13.2" x14ac:dyDescent="0.25">
      <c r="A348" s="41">
        <v>346</v>
      </c>
      <c r="B348" s="42">
        <v>0.21857880159215015</v>
      </c>
      <c r="C348" s="14" t="s">
        <v>5073</v>
      </c>
      <c r="D348" s="42">
        <v>0.35185611962892865</v>
      </c>
      <c r="E348" s="43">
        <v>322.22273435547146</v>
      </c>
      <c r="F348" s="42">
        <v>0.77966128838232773</v>
      </c>
      <c r="G348" s="43">
        <v>10.820339832636686</v>
      </c>
      <c r="H348" s="42">
        <v>0.17818054006350251</v>
      </c>
      <c r="I348" s="43">
        <v>3.0169824079166077</v>
      </c>
      <c r="J348" s="42">
        <v>0.43558514743837767</v>
      </c>
      <c r="K348" s="43">
        <v>2.4264671103486335</v>
      </c>
      <c r="L348" s="43">
        <v>1069.7017148309392</v>
      </c>
      <c r="M348" s="44">
        <v>2242.6702311140812</v>
      </c>
      <c r="N348" s="44">
        <v>4027.7841794433934</v>
      </c>
      <c r="O348" s="45" t="s">
        <v>5074</v>
      </c>
      <c r="P348" s="46">
        <v>1</v>
      </c>
      <c r="Q348" s="43">
        <v>1069.7017148309392</v>
      </c>
      <c r="R348" s="43">
        <v>1080.5220546635758</v>
      </c>
      <c r="S348" s="47">
        <v>0</v>
      </c>
      <c r="T348" s="48">
        <v>1080.5220546635758</v>
      </c>
      <c r="U348" s="48">
        <v>1072.0133515370812</v>
      </c>
      <c r="V348" s="48">
        <v>1069.3617283365711</v>
      </c>
      <c r="W348" s="48">
        <v>1074.8583390760268</v>
      </c>
    </row>
    <row r="349" spans="1:23" ht="13.2" x14ac:dyDescent="0.25">
      <c r="A349" s="41">
        <v>347</v>
      </c>
      <c r="B349" s="42">
        <v>0.83967581151038218</v>
      </c>
      <c r="C349" s="14" t="s">
        <v>5081</v>
      </c>
      <c r="D349" s="42">
        <v>0.85229026472768288</v>
      </c>
      <c r="E349" s="43">
        <v>294.09161058910729</v>
      </c>
      <c r="F349" s="42">
        <v>0.92503179233755539</v>
      </c>
      <c r="G349" s="43">
        <v>9.1057814744141794</v>
      </c>
      <c r="H349" s="42">
        <v>1.6276615213731589E-2</v>
      </c>
      <c r="I349" s="43">
        <v>3.1804251380142556</v>
      </c>
      <c r="J349" s="42">
        <v>0.30507458248411984</v>
      </c>
      <c r="K349" s="43">
        <v>3.466274451191715</v>
      </c>
      <c r="L349" s="43">
        <v>1073.167989282131</v>
      </c>
      <c r="M349" s="44">
        <v>2046.8776097001867</v>
      </c>
      <c r="N349" s="44">
        <v>3676.1451323638412</v>
      </c>
      <c r="O349" s="45" t="s">
        <v>5074</v>
      </c>
      <c r="P349" s="46">
        <v>3</v>
      </c>
      <c r="Q349" s="43">
        <v>1073.167989282131</v>
      </c>
      <c r="R349" s="43">
        <v>1082.2737707565452</v>
      </c>
      <c r="S349" s="47">
        <v>0</v>
      </c>
      <c r="T349" s="48">
        <v>1080.5220546635758</v>
      </c>
      <c r="U349" s="48">
        <v>1072.0133515370812</v>
      </c>
      <c r="V349" s="48">
        <v>1082.2737707565452</v>
      </c>
      <c r="W349" s="48">
        <v>1074.8583390760268</v>
      </c>
    </row>
    <row r="350" spans="1:23" ht="13.2" x14ac:dyDescent="0.25">
      <c r="A350" s="41">
        <v>348</v>
      </c>
      <c r="B350" s="42">
        <v>0.74154532549043439</v>
      </c>
      <c r="C350" s="14" t="s">
        <v>5079</v>
      </c>
      <c r="D350" s="42">
        <v>0.2050479111285172</v>
      </c>
      <c r="E350" s="43">
        <v>7.6151437333855512</v>
      </c>
      <c r="F350" s="42">
        <v>0.84640714099929071</v>
      </c>
      <c r="G350" s="43">
        <v>1.533104785509922</v>
      </c>
      <c r="H350" s="42">
        <v>0.31850779024814618</v>
      </c>
      <c r="I350" s="43">
        <v>0.37846786552434197</v>
      </c>
      <c r="J350" s="42">
        <v>0.65169874143400175</v>
      </c>
      <c r="K350" s="43">
        <v>1.2501397864239605</v>
      </c>
      <c r="L350" s="43">
        <v>1074.4181290685549</v>
      </c>
      <c r="M350" s="44">
        <v>53.001400384363436</v>
      </c>
      <c r="N350" s="44">
        <v>95.189296667319383</v>
      </c>
      <c r="O350" s="45" t="s">
        <v>5074</v>
      </c>
      <c r="P350" s="46">
        <v>2</v>
      </c>
      <c r="Q350" s="43">
        <v>1074.4181290685549</v>
      </c>
      <c r="R350" s="43">
        <v>1075.9512338540649</v>
      </c>
      <c r="S350" s="47">
        <v>0</v>
      </c>
      <c r="T350" s="48">
        <v>1080.5220546635758</v>
      </c>
      <c r="U350" s="48">
        <v>1075.9512338540649</v>
      </c>
      <c r="V350" s="48">
        <v>1082.2737707565452</v>
      </c>
      <c r="W350" s="48">
        <v>1074.8583390760268</v>
      </c>
    </row>
    <row r="351" spans="1:23" ht="13.2" x14ac:dyDescent="0.25">
      <c r="A351" s="41">
        <v>349</v>
      </c>
      <c r="B351" s="42">
        <v>0.31972137760357994</v>
      </c>
      <c r="C351" s="14" t="s">
        <v>5077</v>
      </c>
      <c r="D351" s="42">
        <v>0.69819154483181967</v>
      </c>
      <c r="E351" s="43">
        <v>46.283723903486376</v>
      </c>
      <c r="F351" s="42">
        <v>0.75329713046238622</v>
      </c>
      <c r="G351" s="43">
        <v>3.4815826226219455</v>
      </c>
      <c r="H351" s="42">
        <v>0.37821884936570138</v>
      </c>
      <c r="I351" s="43">
        <v>1.1689969996783882</v>
      </c>
      <c r="J351" s="42">
        <v>0.20237638997024687</v>
      </c>
      <c r="K351" s="43">
        <v>4.6646014561098896</v>
      </c>
      <c r="L351" s="43">
        <v>1079.0827305246648</v>
      </c>
      <c r="M351" s="44">
        <v>322.13471836826517</v>
      </c>
      <c r="N351" s="44">
        <v>578.54654879357975</v>
      </c>
      <c r="O351" s="45" t="s">
        <v>5074</v>
      </c>
      <c r="P351" s="46">
        <v>4</v>
      </c>
      <c r="Q351" s="43">
        <v>1079.0827305246648</v>
      </c>
      <c r="R351" s="43">
        <v>1082.5643131472868</v>
      </c>
      <c r="S351" s="47">
        <v>0</v>
      </c>
      <c r="T351" s="48">
        <v>1080.5220546635758</v>
      </c>
      <c r="U351" s="48">
        <v>1075.9512338540649</v>
      </c>
      <c r="V351" s="48">
        <v>1082.2737707565452</v>
      </c>
      <c r="W351" s="48">
        <v>1082.5643131472868</v>
      </c>
    </row>
    <row r="352" spans="1:23" ht="13.2" x14ac:dyDescent="0.25">
      <c r="A352" s="41">
        <v>350</v>
      </c>
      <c r="B352" s="42">
        <v>3.2651171103423075E-2</v>
      </c>
      <c r="C352" s="14" t="s">
        <v>5073</v>
      </c>
      <c r="D352" s="42">
        <v>0.16271687120325717</v>
      </c>
      <c r="E352" s="43">
        <v>299.52602454439085</v>
      </c>
      <c r="F352" s="42">
        <v>0.77217554756075868</v>
      </c>
      <c r="G352" s="43">
        <v>10.796909463865175</v>
      </c>
      <c r="H352" s="42">
        <v>0.97543951774734983</v>
      </c>
      <c r="I352" s="43">
        <v>3.8642783669067908</v>
      </c>
      <c r="J352" s="42">
        <v>0.93541435335549261</v>
      </c>
      <c r="K352" s="43">
        <v>0.19493631880372553</v>
      </c>
      <c r="L352" s="43">
        <v>1079.2776668434685</v>
      </c>
      <c r="M352" s="44">
        <v>2084.7011308289602</v>
      </c>
      <c r="N352" s="44">
        <v>3744.0753068048857</v>
      </c>
      <c r="O352" s="45" t="s">
        <v>5074</v>
      </c>
      <c r="P352" s="46">
        <v>2</v>
      </c>
      <c r="Q352" s="43">
        <v>1079.2776668434685</v>
      </c>
      <c r="R352" s="43">
        <v>1090.0745763073337</v>
      </c>
      <c r="S352" s="47">
        <v>0</v>
      </c>
      <c r="T352" s="48">
        <v>1080.5220546635758</v>
      </c>
      <c r="U352" s="48">
        <v>1090.0745763073337</v>
      </c>
      <c r="V352" s="48">
        <v>1082.2737707565452</v>
      </c>
      <c r="W352" s="48">
        <v>1082.5643131472868</v>
      </c>
    </row>
    <row r="353" spans="1:23" ht="13.2" x14ac:dyDescent="0.25">
      <c r="A353" s="41">
        <v>351</v>
      </c>
      <c r="B353" s="42">
        <v>4.8654997278309894E-2</v>
      </c>
      <c r="C353" s="14" t="s">
        <v>5073</v>
      </c>
      <c r="D353" s="42">
        <v>0.93148062468109682</v>
      </c>
      <c r="E353" s="43">
        <v>391.77767496173163</v>
      </c>
      <c r="F353" s="42">
        <v>0.25893324858459332</v>
      </c>
      <c r="G353" s="43">
        <v>9.1904610680697782</v>
      </c>
      <c r="H353" s="42">
        <v>0.33773621606535104</v>
      </c>
      <c r="I353" s="43">
        <v>3.2117614235809824</v>
      </c>
      <c r="J353" s="42">
        <v>0.84718212431631146</v>
      </c>
      <c r="K353" s="43">
        <v>0.48420316682805925</v>
      </c>
      <c r="L353" s="43">
        <v>1079.7618700102967</v>
      </c>
      <c r="M353" s="44">
        <v>2729.2141494778525</v>
      </c>
      <c r="N353" s="44">
        <v>4897.2209370216451</v>
      </c>
      <c r="O353" s="45" t="s">
        <v>5074</v>
      </c>
      <c r="P353" s="46">
        <v>1</v>
      </c>
      <c r="Q353" s="43">
        <v>1080.5220546635758</v>
      </c>
      <c r="R353" s="43">
        <v>1089.7125157316455</v>
      </c>
      <c r="S353" s="43">
        <v>0.76018465327911144</v>
      </c>
      <c r="T353" s="48">
        <v>1089.7125157316455</v>
      </c>
      <c r="U353" s="48">
        <v>1090.0745763073337</v>
      </c>
      <c r="V353" s="48">
        <v>1082.2737707565452</v>
      </c>
      <c r="W353" s="48">
        <v>1082.5643131472868</v>
      </c>
    </row>
    <row r="354" spans="1:23" ht="13.2" x14ac:dyDescent="0.25">
      <c r="A354" s="41">
        <v>352</v>
      </c>
      <c r="B354" s="42">
        <v>0.29761355430707964</v>
      </c>
      <c r="C354" s="14" t="s">
        <v>5077</v>
      </c>
      <c r="D354" s="42">
        <v>0.67361893769056491</v>
      </c>
      <c r="E354" s="43">
        <v>46.062570439215087</v>
      </c>
      <c r="F354" s="42">
        <v>3.4395333395523642E-2</v>
      </c>
      <c r="G354" s="43">
        <v>3.1365097600298513</v>
      </c>
      <c r="H354" s="42">
        <v>0.36445612989573561</v>
      </c>
      <c r="I354" s="43">
        <v>1.1622212124689342</v>
      </c>
      <c r="J354" s="42">
        <v>0.81175064519594919</v>
      </c>
      <c r="K354" s="43">
        <v>0.60894035964523963</v>
      </c>
      <c r="L354" s="43">
        <v>1080.3708103699419</v>
      </c>
      <c r="M354" s="44">
        <v>322.80715118473552</v>
      </c>
      <c r="N354" s="44">
        <v>575.78213049018859</v>
      </c>
      <c r="O354" s="45" t="s">
        <v>5074</v>
      </c>
      <c r="P354" s="46">
        <v>3</v>
      </c>
      <c r="Q354" s="43">
        <v>1082.2737707565452</v>
      </c>
      <c r="R354" s="43">
        <v>1085.4102805165751</v>
      </c>
      <c r="S354" s="43">
        <v>1.902960386603354</v>
      </c>
      <c r="T354" s="48">
        <v>1089.7125157316455</v>
      </c>
      <c r="U354" s="48">
        <v>1090.0745763073337</v>
      </c>
      <c r="V354" s="48">
        <v>1085.4102805165751</v>
      </c>
      <c r="W354" s="48">
        <v>1082.5643131472868</v>
      </c>
    </row>
    <row r="355" spans="1:23" ht="13.2" x14ac:dyDescent="0.25">
      <c r="A355" s="41">
        <v>353</v>
      </c>
      <c r="B355" s="42">
        <v>0.71483073323724355</v>
      </c>
      <c r="C355" s="14" t="s">
        <v>5079</v>
      </c>
      <c r="D355" s="42">
        <v>9.837766881025288E-2</v>
      </c>
      <c r="E355" s="43">
        <v>7.2951330064307589</v>
      </c>
      <c r="F355" s="42">
        <v>0.56131233207942566</v>
      </c>
      <c r="G355" s="43">
        <v>1.5017443565287367</v>
      </c>
      <c r="H355" s="42">
        <v>0.88169045182023686</v>
      </c>
      <c r="I355" s="43">
        <v>0.56678426434176599</v>
      </c>
      <c r="J355" s="42">
        <v>0.27145202563677545</v>
      </c>
      <c r="K355" s="43">
        <v>3.8072112594899754</v>
      </c>
      <c r="L355" s="43">
        <v>1084.1780216294319</v>
      </c>
      <c r="M355" s="44">
        <v>50.774125724758079</v>
      </c>
      <c r="N355" s="44">
        <v>91.18916258038449</v>
      </c>
      <c r="O355" s="45" t="s">
        <v>5074</v>
      </c>
      <c r="P355" s="46">
        <v>4</v>
      </c>
      <c r="Q355" s="43">
        <v>1084.1780216294319</v>
      </c>
      <c r="R355" s="43">
        <v>1085.6797659859606</v>
      </c>
      <c r="S355" s="47">
        <v>0</v>
      </c>
      <c r="T355" s="48">
        <v>1089.7125157316455</v>
      </c>
      <c r="U355" s="48">
        <v>1090.0745763073337</v>
      </c>
      <c r="V355" s="48">
        <v>1085.4102805165751</v>
      </c>
      <c r="W355" s="48">
        <v>1085.6797659859606</v>
      </c>
    </row>
    <row r="356" spans="1:23" ht="13.2" x14ac:dyDescent="0.25">
      <c r="A356" s="41">
        <v>354</v>
      </c>
      <c r="B356" s="42">
        <v>0.15510899953316384</v>
      </c>
      <c r="C356" s="14" t="s">
        <v>5073</v>
      </c>
      <c r="D356" s="42">
        <v>0.27958388546462354</v>
      </c>
      <c r="E356" s="43">
        <v>313.55006625575481</v>
      </c>
      <c r="F356" s="42">
        <v>0.83908894836860193</v>
      </c>
      <c r="G356" s="43">
        <v>11.006348408393723</v>
      </c>
      <c r="H356" s="42">
        <v>3.9191930573057353E-3</v>
      </c>
      <c r="I356" s="43">
        <v>2.576673265131717</v>
      </c>
      <c r="J356" s="42">
        <v>6.6959657737500802E-2</v>
      </c>
      <c r="K356" s="43">
        <v>7.893912304411975</v>
      </c>
      <c r="L356" s="43">
        <v>1092.0719339338439</v>
      </c>
      <c r="M356" s="44">
        <v>2182.3084611400536</v>
      </c>
      <c r="N356" s="44">
        <v>3919.3758281969353</v>
      </c>
      <c r="O356" s="45" t="s">
        <v>5074</v>
      </c>
      <c r="P356" s="46">
        <v>3</v>
      </c>
      <c r="Q356" s="43">
        <v>1092.0719339338439</v>
      </c>
      <c r="R356" s="43">
        <v>1103.0782823422376</v>
      </c>
      <c r="S356" s="47">
        <v>0</v>
      </c>
      <c r="T356" s="48">
        <v>1089.7125157316455</v>
      </c>
      <c r="U356" s="48">
        <v>1090.0745763073337</v>
      </c>
      <c r="V356" s="48">
        <v>1103.0782823422376</v>
      </c>
      <c r="W356" s="48">
        <v>1085.6797659859606</v>
      </c>
    </row>
    <row r="357" spans="1:23" ht="13.2" x14ac:dyDescent="0.25">
      <c r="A357" s="41">
        <v>355</v>
      </c>
      <c r="B357" s="42">
        <v>0.49643145943825667</v>
      </c>
      <c r="C357" s="14" t="s">
        <v>5076</v>
      </c>
      <c r="D357" s="42">
        <v>4.7157410088534191E-2</v>
      </c>
      <c r="E357" s="43">
        <v>35.471574100885341</v>
      </c>
      <c r="F357" s="42">
        <v>0.16016356328509915</v>
      </c>
      <c r="G357" s="43">
        <v>3.1136752391111457</v>
      </c>
      <c r="H357" s="42">
        <v>0.72731307555330593</v>
      </c>
      <c r="I357" s="43">
        <v>0.92368073023208397</v>
      </c>
      <c r="J357" s="42">
        <v>0.26922131249179193</v>
      </c>
      <c r="K357" s="43">
        <v>3.8313036923023476</v>
      </c>
      <c r="L357" s="43">
        <v>1095.9032376261462</v>
      </c>
      <c r="M357" s="44">
        <v>246.88215574216198</v>
      </c>
      <c r="N357" s="44">
        <v>443.39467626106676</v>
      </c>
      <c r="O357" s="45" t="s">
        <v>5074</v>
      </c>
      <c r="P357" s="46">
        <v>4</v>
      </c>
      <c r="Q357" s="43">
        <v>1095.9032376261462</v>
      </c>
      <c r="R357" s="43">
        <v>1099.0169128652574</v>
      </c>
      <c r="S357" s="47">
        <v>0</v>
      </c>
      <c r="T357" s="48">
        <v>1089.7125157316455</v>
      </c>
      <c r="U357" s="48">
        <v>1090.0745763073337</v>
      </c>
      <c r="V357" s="48">
        <v>1103.0782823422376</v>
      </c>
      <c r="W357" s="48">
        <v>1099.0169128652574</v>
      </c>
    </row>
    <row r="358" spans="1:23" ht="13.2" x14ac:dyDescent="0.25">
      <c r="A358" s="41">
        <v>356</v>
      </c>
      <c r="B358" s="42">
        <v>7.7311345877736498E-2</v>
      </c>
      <c r="C358" s="14" t="s">
        <v>5073</v>
      </c>
      <c r="D358" s="42">
        <v>0.14013308526022969</v>
      </c>
      <c r="E358" s="43">
        <v>296.81597023122754</v>
      </c>
      <c r="F358" s="42">
        <v>0.4958787297345133</v>
      </c>
      <c r="G358" s="43">
        <v>9.9321004240690272</v>
      </c>
      <c r="H358" s="42">
        <v>1.4747286687953066E-2</v>
      </c>
      <c r="I358" s="43">
        <v>2.6487310661292036</v>
      </c>
      <c r="J358" s="42">
        <v>0.6995102109850897</v>
      </c>
      <c r="K358" s="43">
        <v>1.043430328276693</v>
      </c>
      <c r="L358" s="43">
        <v>1096.9466679544228</v>
      </c>
      <c r="M358" s="44">
        <v>2065.8391528093434</v>
      </c>
      <c r="N358" s="44">
        <v>3710.1996278903443</v>
      </c>
      <c r="O358" s="45" t="s">
        <v>5074</v>
      </c>
      <c r="P358" s="46">
        <v>1</v>
      </c>
      <c r="Q358" s="43">
        <v>1096.9466679544228</v>
      </c>
      <c r="R358" s="43">
        <v>1106.8787683784917</v>
      </c>
      <c r="S358" s="47">
        <v>0</v>
      </c>
      <c r="T358" s="48">
        <v>1106.8787683784917</v>
      </c>
      <c r="U358" s="48">
        <v>1090.0745763073337</v>
      </c>
      <c r="V358" s="48">
        <v>1103.0782823422376</v>
      </c>
      <c r="W358" s="48">
        <v>1099.0169128652574</v>
      </c>
    </row>
    <row r="359" spans="1:23" ht="13.2" x14ac:dyDescent="0.25">
      <c r="A359" s="41">
        <v>357</v>
      </c>
      <c r="B359" s="42">
        <v>0.70607590242571938</v>
      </c>
      <c r="C359" s="14" t="s">
        <v>5079</v>
      </c>
      <c r="D359" s="42">
        <v>0.46362111645919324</v>
      </c>
      <c r="E359" s="43">
        <v>8.3908633493775788</v>
      </c>
      <c r="F359" s="42">
        <v>0.41101018451666932</v>
      </c>
      <c r="G359" s="43">
        <v>1.4852111202968337</v>
      </c>
      <c r="H359" s="42">
        <v>0.19951855493687026</v>
      </c>
      <c r="I359" s="43">
        <v>0.34125103714198712</v>
      </c>
      <c r="J359" s="42">
        <v>9.4792239877764251E-2</v>
      </c>
      <c r="K359" s="43">
        <v>6.8790298712443416</v>
      </c>
      <c r="L359" s="43">
        <v>1103.825697825667</v>
      </c>
      <c r="M359" s="44">
        <v>58.400408911667945</v>
      </c>
      <c r="N359" s="44">
        <v>104.88579186721974</v>
      </c>
      <c r="O359" s="45" t="s">
        <v>5074</v>
      </c>
      <c r="P359" s="46">
        <v>2</v>
      </c>
      <c r="Q359" s="43">
        <v>1103.825697825667</v>
      </c>
      <c r="R359" s="43">
        <v>1105.3109089459638</v>
      </c>
      <c r="S359" s="47">
        <v>0</v>
      </c>
      <c r="T359" s="48">
        <v>1106.8787683784917</v>
      </c>
      <c r="U359" s="48">
        <v>1105.3109089459638</v>
      </c>
      <c r="V359" s="48">
        <v>1103.0782823422376</v>
      </c>
      <c r="W359" s="48">
        <v>1099.0169128652574</v>
      </c>
    </row>
    <row r="360" spans="1:23" ht="13.2" x14ac:dyDescent="0.25">
      <c r="A360" s="41">
        <v>358</v>
      </c>
      <c r="B360" s="42">
        <v>0.52521848144252714</v>
      </c>
      <c r="C360" s="14" t="s">
        <v>5076</v>
      </c>
      <c r="D360" s="42">
        <v>0.76495906839378136</v>
      </c>
      <c r="E360" s="43">
        <v>42.649590683937816</v>
      </c>
      <c r="F360" s="42">
        <v>0.96545410480604232</v>
      </c>
      <c r="G360" s="43">
        <v>3.4841088882107796</v>
      </c>
      <c r="H360" s="42">
        <v>0.96593822351002057</v>
      </c>
      <c r="I360" s="43">
        <v>1.1023409122651955</v>
      </c>
      <c r="J360" s="42">
        <v>0.79362396280915659</v>
      </c>
      <c r="K360" s="43">
        <v>0.67487745516880027</v>
      </c>
      <c r="L360" s="43">
        <v>1104.5005752808358</v>
      </c>
      <c r="M360" s="44">
        <v>296.84115116020718</v>
      </c>
      <c r="N360" s="44">
        <v>533.11988354922266</v>
      </c>
      <c r="O360" s="45" t="s">
        <v>5074</v>
      </c>
      <c r="P360" s="46">
        <v>4</v>
      </c>
      <c r="Q360" s="43">
        <v>1104.5005752808358</v>
      </c>
      <c r="R360" s="43">
        <v>1107.9846841690467</v>
      </c>
      <c r="S360" s="47">
        <v>0</v>
      </c>
      <c r="T360" s="48">
        <v>1106.8787683784917</v>
      </c>
      <c r="U360" s="48">
        <v>1105.3109089459638</v>
      </c>
      <c r="V360" s="48">
        <v>1103.0782823422376</v>
      </c>
      <c r="W360" s="48">
        <v>1107.9846841690467</v>
      </c>
    </row>
    <row r="361" spans="1:23" ht="13.2" x14ac:dyDescent="0.25">
      <c r="A361" s="41">
        <v>359</v>
      </c>
      <c r="B361" s="42">
        <v>0.398830857313625</v>
      </c>
      <c r="C361" s="14" t="s">
        <v>5077</v>
      </c>
      <c r="D361" s="42">
        <v>0.40490590753262207</v>
      </c>
      <c r="E361" s="43">
        <v>43.644153167793597</v>
      </c>
      <c r="F361" s="42">
        <v>0.47787168364872767</v>
      </c>
      <c r="G361" s="43">
        <v>3.3493784081513893</v>
      </c>
      <c r="H361" s="42">
        <v>0.83636134436184606</v>
      </c>
      <c r="I361" s="43">
        <v>1.428637889459178</v>
      </c>
      <c r="J361" s="42">
        <v>0.8388598476717527</v>
      </c>
      <c r="K361" s="43">
        <v>0.51302666669769315</v>
      </c>
      <c r="L361" s="43">
        <v>1105.0136019475335</v>
      </c>
      <c r="M361" s="44">
        <v>303.76330604784346</v>
      </c>
      <c r="N361" s="44">
        <v>545.55191459741991</v>
      </c>
      <c r="O361" s="45" t="s">
        <v>5074</v>
      </c>
      <c r="P361" s="46">
        <v>3</v>
      </c>
      <c r="Q361" s="43">
        <v>1105.0136019475335</v>
      </c>
      <c r="R361" s="43">
        <v>1108.3629803556848</v>
      </c>
      <c r="S361" s="47">
        <v>0</v>
      </c>
      <c r="T361" s="48">
        <v>1106.8787683784917</v>
      </c>
      <c r="U361" s="48">
        <v>1105.3109089459638</v>
      </c>
      <c r="V361" s="48">
        <v>1108.3629803556848</v>
      </c>
      <c r="W361" s="48">
        <v>1107.9846841690467</v>
      </c>
    </row>
    <row r="362" spans="1:23" ht="13.2" x14ac:dyDescent="0.25">
      <c r="A362" s="41">
        <v>360</v>
      </c>
      <c r="B362" s="42">
        <v>0.66008177011277613</v>
      </c>
      <c r="C362" s="14" t="s">
        <v>5079</v>
      </c>
      <c r="D362" s="42">
        <v>8.0532914530734023E-2</v>
      </c>
      <c r="E362" s="43">
        <v>7.2415987435922018</v>
      </c>
      <c r="F362" s="42">
        <v>0.52169521596361657</v>
      </c>
      <c r="G362" s="43">
        <v>1.4973864737559979</v>
      </c>
      <c r="H362" s="42">
        <v>0.20148778483340879</v>
      </c>
      <c r="I362" s="43">
        <v>0.3419463929916533</v>
      </c>
      <c r="J362" s="42">
        <v>0.92718577567822569</v>
      </c>
      <c r="K362" s="43">
        <v>0.22073380505796963</v>
      </c>
      <c r="L362" s="43">
        <v>1105.2343357525915</v>
      </c>
      <c r="M362" s="44">
        <v>50.427711182675225</v>
      </c>
      <c r="N362" s="44">
        <v>90.519984294902528</v>
      </c>
      <c r="O362" s="45" t="s">
        <v>5074</v>
      </c>
      <c r="P362" s="46">
        <v>2</v>
      </c>
      <c r="Q362" s="43">
        <v>1105.3109089459638</v>
      </c>
      <c r="R362" s="43">
        <v>1106.8082954197198</v>
      </c>
      <c r="S362" s="43">
        <v>7.6573193372269088E-2</v>
      </c>
      <c r="T362" s="48">
        <v>1106.8787683784917</v>
      </c>
      <c r="U362" s="48">
        <v>1106.8082954197198</v>
      </c>
      <c r="V362" s="48">
        <v>1108.3629803556848</v>
      </c>
      <c r="W362" s="48">
        <v>1107.9846841690467</v>
      </c>
    </row>
    <row r="363" spans="1:23" ht="13.2" x14ac:dyDescent="0.25">
      <c r="A363" s="41">
        <v>361</v>
      </c>
      <c r="B363" s="42">
        <v>0.37539674452291649</v>
      </c>
      <c r="C363" s="14" t="s">
        <v>5077</v>
      </c>
      <c r="D363" s="42">
        <v>0.73831295349556625</v>
      </c>
      <c r="E363" s="43">
        <v>46.644816581460098</v>
      </c>
      <c r="F363" s="42">
        <v>0.84105315331418684</v>
      </c>
      <c r="G363" s="43">
        <v>3.52370551359081</v>
      </c>
      <c r="H363" s="42">
        <v>0.47215624268732792</v>
      </c>
      <c r="I363" s="43">
        <v>1.2126298216030218</v>
      </c>
      <c r="J363" s="42">
        <v>0.3419950703820191</v>
      </c>
      <c r="K363" s="43">
        <v>3.132726879156436</v>
      </c>
      <c r="L363" s="43">
        <v>1108.367062631748</v>
      </c>
      <c r="M363" s="44">
        <v>324.64792340696226</v>
      </c>
      <c r="N363" s="44">
        <v>583.06020726825125</v>
      </c>
      <c r="O363" s="45" t="s">
        <v>5074</v>
      </c>
      <c r="P363" s="46">
        <v>2</v>
      </c>
      <c r="Q363" s="43">
        <v>1108.367062631748</v>
      </c>
      <c r="R363" s="43">
        <v>1111.8907681453388</v>
      </c>
      <c r="S363" s="47">
        <v>0</v>
      </c>
      <c r="T363" s="48">
        <v>1106.8787683784917</v>
      </c>
      <c r="U363" s="48">
        <v>1111.8907681453388</v>
      </c>
      <c r="V363" s="48">
        <v>1108.3629803556848</v>
      </c>
      <c r="W363" s="48">
        <v>1107.9846841690467</v>
      </c>
    </row>
    <row r="364" spans="1:23" ht="13.2" x14ac:dyDescent="0.25">
      <c r="A364" s="41">
        <v>362</v>
      </c>
      <c r="B364" s="42">
        <v>0.8166635762046387</v>
      </c>
      <c r="C364" s="14" t="s">
        <v>5078</v>
      </c>
      <c r="D364" s="42">
        <v>0.41131797219222316</v>
      </c>
      <c r="E364" s="43">
        <v>186.45271888768892</v>
      </c>
      <c r="F364" s="42">
        <v>0.51979920618226716</v>
      </c>
      <c r="G364" s="43">
        <v>5.8930172776258631</v>
      </c>
      <c r="H364" s="42">
        <v>0.24580648413198369</v>
      </c>
      <c r="I364" s="43">
        <v>2.7839108433552626</v>
      </c>
      <c r="J364" s="42">
        <v>0.51013573608833163</v>
      </c>
      <c r="K364" s="43">
        <v>1.9651925240361223</v>
      </c>
      <c r="L364" s="43">
        <v>1110.3322551557842</v>
      </c>
      <c r="M364" s="44">
        <v>1297.7109234583149</v>
      </c>
      <c r="N364" s="44">
        <v>2330.6589860961117</v>
      </c>
      <c r="O364" s="45" t="s">
        <v>5074</v>
      </c>
      <c r="P364" s="46">
        <v>1</v>
      </c>
      <c r="Q364" s="43">
        <v>1110.3322551557842</v>
      </c>
      <c r="R364" s="43">
        <v>1116.2252724334101</v>
      </c>
      <c r="S364" s="47">
        <v>0</v>
      </c>
      <c r="T364" s="48">
        <v>1116.2252724334101</v>
      </c>
      <c r="U364" s="48">
        <v>1111.8907681453388</v>
      </c>
      <c r="V364" s="48">
        <v>1108.3629803556848</v>
      </c>
      <c r="W364" s="48">
        <v>1107.9846841690467</v>
      </c>
    </row>
    <row r="365" spans="1:23" ht="13.2" x14ac:dyDescent="0.25">
      <c r="A365" s="41">
        <v>363</v>
      </c>
      <c r="B365" s="42">
        <v>0.15824837617494555</v>
      </c>
      <c r="C365" s="14" t="s">
        <v>5073</v>
      </c>
      <c r="D365" s="42">
        <v>0.85048854716610567</v>
      </c>
      <c r="E365" s="43">
        <v>382.05862565993266</v>
      </c>
      <c r="F365" s="42">
        <v>0.92110760785690859</v>
      </c>
      <c r="G365" s="43">
        <v>11.263066812592124</v>
      </c>
      <c r="H365" s="42">
        <v>0.11310396674699334</v>
      </c>
      <c r="I365" s="43">
        <v>2.9118931294893011</v>
      </c>
      <c r="J365" s="42">
        <v>0.85238548501040112</v>
      </c>
      <c r="K365" s="43">
        <v>0.46632527673250895</v>
      </c>
      <c r="L365" s="43">
        <v>1110.7985804325167</v>
      </c>
      <c r="M365" s="44">
        <v>2659.1280345931314</v>
      </c>
      <c r="N365" s="44">
        <v>4775.7328207491582</v>
      </c>
      <c r="O365" s="45" t="s">
        <v>5074</v>
      </c>
      <c r="P365" s="46">
        <v>4</v>
      </c>
      <c r="Q365" s="43">
        <v>1110.7985804325167</v>
      </c>
      <c r="R365" s="43">
        <v>1122.0616472451088</v>
      </c>
      <c r="S365" s="47">
        <v>0</v>
      </c>
      <c r="T365" s="48">
        <v>1116.2252724334101</v>
      </c>
      <c r="U365" s="48">
        <v>1111.8907681453388</v>
      </c>
      <c r="V365" s="48">
        <v>1108.3629803556848</v>
      </c>
      <c r="W365" s="48">
        <v>1122.0616472451088</v>
      </c>
    </row>
    <row r="366" spans="1:23" ht="13.2" x14ac:dyDescent="0.25">
      <c r="A366" s="41">
        <v>364</v>
      </c>
      <c r="B366" s="42">
        <v>0.4215728838097178</v>
      </c>
      <c r="C366" s="14" t="s">
        <v>5077</v>
      </c>
      <c r="D366" s="42">
        <v>7.6559316402561639E-2</v>
      </c>
      <c r="E366" s="43">
        <v>40.689033847623058</v>
      </c>
      <c r="F366" s="42">
        <v>0.36827091982973315</v>
      </c>
      <c r="G366" s="43">
        <v>3.2967700415182719</v>
      </c>
      <c r="H366" s="42">
        <v>0.62496553250819697</v>
      </c>
      <c r="I366" s="43">
        <v>1.2891892036821435</v>
      </c>
      <c r="J366" s="42">
        <v>0.22513415255822899</v>
      </c>
      <c r="K366" s="43">
        <v>4.3534564112765413</v>
      </c>
      <c r="L366" s="43">
        <v>1115.1520368437932</v>
      </c>
      <c r="M366" s="44">
        <v>283.19567557945646</v>
      </c>
      <c r="N366" s="44">
        <v>508.61292309528824</v>
      </c>
      <c r="O366" s="45" t="s">
        <v>5074</v>
      </c>
      <c r="P366" s="46">
        <v>3</v>
      </c>
      <c r="Q366" s="43">
        <v>1115.1520368437932</v>
      </c>
      <c r="R366" s="43">
        <v>1118.4488068853116</v>
      </c>
      <c r="S366" s="47">
        <v>0</v>
      </c>
      <c r="T366" s="48">
        <v>1116.2252724334101</v>
      </c>
      <c r="U366" s="48">
        <v>1111.8907681453388</v>
      </c>
      <c r="V366" s="48">
        <v>1118.4488068853116</v>
      </c>
      <c r="W366" s="48">
        <v>1122.0616472451088</v>
      </c>
    </row>
    <row r="367" spans="1:23" ht="13.2" x14ac:dyDescent="0.25">
      <c r="A367" s="41">
        <v>365</v>
      </c>
      <c r="B367" s="42">
        <v>0.89742293204060897</v>
      </c>
      <c r="C367" s="14" t="s">
        <v>5075</v>
      </c>
      <c r="D367" s="42">
        <v>0.37809084047474473</v>
      </c>
      <c r="E367" s="43">
        <v>306.46635883323211</v>
      </c>
      <c r="F367" s="42">
        <v>0.12837717036175411</v>
      </c>
      <c r="G367" s="43">
        <v>8.6054705690198912</v>
      </c>
      <c r="H367" s="42">
        <v>0.48163234464900212</v>
      </c>
      <c r="I367" s="43">
        <v>2.481460487894446</v>
      </c>
      <c r="J367" s="42">
        <v>0.55061282615671536</v>
      </c>
      <c r="K367" s="43">
        <v>1.7422580778762116</v>
      </c>
      <c r="L367" s="43">
        <v>1116.8942949216694</v>
      </c>
      <c r="M367" s="44">
        <v>2133.0058574792956</v>
      </c>
      <c r="N367" s="44">
        <v>3830.8294854154015</v>
      </c>
      <c r="O367" s="45" t="s">
        <v>5074</v>
      </c>
      <c r="P367" s="46">
        <v>2</v>
      </c>
      <c r="Q367" s="43">
        <v>1116.8942949216694</v>
      </c>
      <c r="R367" s="43">
        <v>1125.4997654906892</v>
      </c>
      <c r="S367" s="47">
        <v>0</v>
      </c>
      <c r="T367" s="48">
        <v>1116.2252724334101</v>
      </c>
      <c r="U367" s="48">
        <v>1125.4997654906892</v>
      </c>
      <c r="V367" s="48">
        <v>1118.4488068853116</v>
      </c>
      <c r="W367" s="48">
        <v>1122.0616472451088</v>
      </c>
    </row>
    <row r="368" spans="1:23" ht="13.2" x14ac:dyDescent="0.25">
      <c r="A368" s="41">
        <v>366</v>
      </c>
      <c r="B368" s="42">
        <v>0.28659445246988652</v>
      </c>
      <c r="C368" s="14" t="s">
        <v>5077</v>
      </c>
      <c r="D368" s="42">
        <v>0.10313338372070965</v>
      </c>
      <c r="E368" s="43">
        <v>40.92820045348639</v>
      </c>
      <c r="F368" s="42">
        <v>0.5676736601477832</v>
      </c>
      <c r="G368" s="43">
        <v>3.3924833568709358</v>
      </c>
      <c r="H368" s="42">
        <v>0.47129343472015739</v>
      </c>
      <c r="I368" s="43">
        <v>1.2122316591086202</v>
      </c>
      <c r="J368" s="42">
        <v>0.17656351587575092</v>
      </c>
      <c r="K368" s="43">
        <v>5.0629915445995834</v>
      </c>
      <c r="L368" s="43">
        <v>1121.9572864662689</v>
      </c>
      <c r="M368" s="44">
        <v>284.86027515626529</v>
      </c>
      <c r="N368" s="44">
        <v>511.60250566857985</v>
      </c>
      <c r="O368" s="45" t="s">
        <v>5074</v>
      </c>
      <c r="P368" s="46">
        <v>1</v>
      </c>
      <c r="Q368" s="43">
        <v>1121.9572864662689</v>
      </c>
      <c r="R368" s="43">
        <v>1125.3497698231399</v>
      </c>
      <c r="S368" s="47">
        <v>0</v>
      </c>
      <c r="T368" s="48">
        <v>1125.3497698231399</v>
      </c>
      <c r="U368" s="48">
        <v>1125.4997654906892</v>
      </c>
      <c r="V368" s="48">
        <v>1118.4488068853116</v>
      </c>
      <c r="W368" s="48">
        <v>1122.0616472451088</v>
      </c>
    </row>
    <row r="369" spans="1:23" ht="13.2" x14ac:dyDescent="0.25">
      <c r="A369" s="41">
        <v>367</v>
      </c>
      <c r="B369" s="42">
        <v>0.8583990302208806</v>
      </c>
      <c r="C369" s="14" t="s">
        <v>5081</v>
      </c>
      <c r="D369" s="42">
        <v>0.11791435727752482</v>
      </c>
      <c r="E369" s="43">
        <v>264.71657429110098</v>
      </c>
      <c r="F369" s="42">
        <v>0.86768331791632036</v>
      </c>
      <c r="G369" s="43">
        <v>9.0490064847371574</v>
      </c>
      <c r="H369" s="42">
        <v>4.68906089881857E-2</v>
      </c>
      <c r="I369" s="43">
        <v>3.30623719234667</v>
      </c>
      <c r="J369" s="42">
        <v>6.3062005705694674E-2</v>
      </c>
      <c r="K369" s="43">
        <v>8.0690126104070803</v>
      </c>
      <c r="L369" s="43">
        <v>1130.026299076676</v>
      </c>
      <c r="M369" s="44">
        <v>1842.4273570660628</v>
      </c>
      <c r="N369" s="44">
        <v>3308.9571786387623</v>
      </c>
      <c r="O369" s="45" t="s">
        <v>5074</v>
      </c>
      <c r="P369" s="46">
        <v>3</v>
      </c>
      <c r="Q369" s="43">
        <v>1130.026299076676</v>
      </c>
      <c r="R369" s="43">
        <v>1139.0753055614132</v>
      </c>
      <c r="S369" s="47">
        <v>0</v>
      </c>
      <c r="T369" s="48">
        <v>1125.3497698231399</v>
      </c>
      <c r="U369" s="48">
        <v>1125.4997654906892</v>
      </c>
      <c r="V369" s="48">
        <v>1139.0753055614132</v>
      </c>
      <c r="W369" s="48">
        <v>1122.0616472451088</v>
      </c>
    </row>
    <row r="370" spans="1:23" ht="13.2" x14ac:dyDescent="0.25">
      <c r="A370" s="41">
        <v>368</v>
      </c>
      <c r="B370" s="42">
        <v>0.75718321733045546</v>
      </c>
      <c r="C370" s="14" t="s">
        <v>5079</v>
      </c>
      <c r="D370" s="42">
        <v>0.86696292220939086</v>
      </c>
      <c r="E370" s="43">
        <v>9.6008887666281737</v>
      </c>
      <c r="F370" s="42">
        <v>0.93022653224422902</v>
      </c>
      <c r="G370" s="43">
        <v>1.5423249185468653</v>
      </c>
      <c r="H370" s="42">
        <v>0.7907197711946069</v>
      </c>
      <c r="I370" s="43">
        <v>0.52282202642312181</v>
      </c>
      <c r="J370" s="42">
        <v>0.29928364898044785</v>
      </c>
      <c r="K370" s="43">
        <v>3.5222291868214382</v>
      </c>
      <c r="L370" s="43">
        <v>1133.5485282634975</v>
      </c>
      <c r="M370" s="44">
        <v>66.822185815732084</v>
      </c>
      <c r="N370" s="44">
        <v>120.01110958285217</v>
      </c>
      <c r="O370" s="45" t="s">
        <v>5074</v>
      </c>
      <c r="P370" s="46">
        <v>4</v>
      </c>
      <c r="Q370" s="43">
        <v>1133.5485282634975</v>
      </c>
      <c r="R370" s="43">
        <v>1135.0908531820444</v>
      </c>
      <c r="S370" s="47">
        <v>0</v>
      </c>
      <c r="T370" s="48">
        <v>1125.3497698231399</v>
      </c>
      <c r="U370" s="48">
        <v>1125.4997654906892</v>
      </c>
      <c r="V370" s="48">
        <v>1139.0753055614132</v>
      </c>
      <c r="W370" s="48">
        <v>1135.0908531820444</v>
      </c>
    </row>
    <row r="371" spans="1:23" ht="13.2" x14ac:dyDescent="0.25">
      <c r="A371" s="41">
        <v>369</v>
      </c>
      <c r="B371" s="42">
        <v>0.58795512588133814</v>
      </c>
      <c r="C371" s="14" t="s">
        <v>5076</v>
      </c>
      <c r="D371" s="42">
        <v>0.47804358018471094</v>
      </c>
      <c r="E371" s="43">
        <v>39.780435801847112</v>
      </c>
      <c r="F371" s="42">
        <v>0.96244290189931303</v>
      </c>
      <c r="G371" s="43">
        <v>3.4827237348736841</v>
      </c>
      <c r="H371" s="42">
        <v>0.74341989995139646</v>
      </c>
      <c r="I371" s="43">
        <v>0.93196562158258689</v>
      </c>
      <c r="J371" s="42">
        <v>0.4811025441070565</v>
      </c>
      <c r="K371" s="43">
        <v>2.1362769114926987</v>
      </c>
      <c r="L371" s="43">
        <v>1135.6848051749901</v>
      </c>
      <c r="M371" s="44">
        <v>276.8718331808559</v>
      </c>
      <c r="N371" s="44">
        <v>497.25544752308889</v>
      </c>
      <c r="O371" s="45" t="s">
        <v>5074</v>
      </c>
      <c r="P371" s="46">
        <v>1</v>
      </c>
      <c r="Q371" s="43">
        <v>1135.6848051749901</v>
      </c>
      <c r="R371" s="43">
        <v>1139.1675289098637</v>
      </c>
      <c r="S371" s="47">
        <v>0</v>
      </c>
      <c r="T371" s="48">
        <v>1139.1675289098637</v>
      </c>
      <c r="U371" s="48">
        <v>1125.4997654906892</v>
      </c>
      <c r="V371" s="48">
        <v>1139.0753055614132</v>
      </c>
      <c r="W371" s="48">
        <v>1135.0908531820444</v>
      </c>
    </row>
    <row r="372" spans="1:23" ht="13.2" x14ac:dyDescent="0.25">
      <c r="A372" s="41">
        <v>370</v>
      </c>
      <c r="B372" s="42">
        <v>0.68436574408987805</v>
      </c>
      <c r="C372" s="14" t="s">
        <v>5079</v>
      </c>
      <c r="D372" s="42">
        <v>0.36231715016174931</v>
      </c>
      <c r="E372" s="43">
        <v>8.0869514504852482</v>
      </c>
      <c r="F372" s="42">
        <v>0.42650893164170389</v>
      </c>
      <c r="G372" s="43">
        <v>1.4869159824805873</v>
      </c>
      <c r="H372" s="42">
        <v>0.25157685310187605</v>
      </c>
      <c r="I372" s="43">
        <v>0.35861174392266043</v>
      </c>
      <c r="J372" s="42">
        <v>0.43354534610805351</v>
      </c>
      <c r="K372" s="43">
        <v>2.440171922919812</v>
      </c>
      <c r="L372" s="43">
        <v>1138.1249770979098</v>
      </c>
      <c r="M372" s="44">
        <v>56.28518209537733</v>
      </c>
      <c r="N372" s="44">
        <v>101.08689313106561</v>
      </c>
      <c r="O372" s="45" t="s">
        <v>5074</v>
      </c>
      <c r="P372" s="46">
        <v>2</v>
      </c>
      <c r="Q372" s="43">
        <v>1138.1249770979098</v>
      </c>
      <c r="R372" s="43">
        <v>1139.6118930803905</v>
      </c>
      <c r="S372" s="47">
        <v>0</v>
      </c>
      <c r="T372" s="48">
        <v>1139.1675289098637</v>
      </c>
      <c r="U372" s="48">
        <v>1139.6118930803905</v>
      </c>
      <c r="V372" s="48">
        <v>1139.0753055614132</v>
      </c>
      <c r="W372" s="48">
        <v>1135.0908531820444</v>
      </c>
    </row>
    <row r="373" spans="1:23" ht="13.2" x14ac:dyDescent="0.25">
      <c r="A373" s="41">
        <v>371</v>
      </c>
      <c r="B373" s="42">
        <v>0.53936645367153291</v>
      </c>
      <c r="C373" s="14" t="s">
        <v>5076</v>
      </c>
      <c r="D373" s="42">
        <v>0.41843355419972611</v>
      </c>
      <c r="E373" s="43">
        <v>39.184335541997264</v>
      </c>
      <c r="F373" s="42">
        <v>0.58394024501738151</v>
      </c>
      <c r="G373" s="43">
        <v>3.3086125127079953</v>
      </c>
      <c r="H373" s="42">
        <v>0.60847350284851787</v>
      </c>
      <c r="I373" s="43">
        <v>0.86889968407986229</v>
      </c>
      <c r="J373" s="42">
        <v>0.82946487508223621</v>
      </c>
      <c r="K373" s="43">
        <v>0.5459109925111697</v>
      </c>
      <c r="L373" s="43">
        <v>1138.6708880904209</v>
      </c>
      <c r="M373" s="44">
        <v>272.72297537230094</v>
      </c>
      <c r="N373" s="44">
        <v>489.80419427496582</v>
      </c>
      <c r="O373" s="45" t="s">
        <v>5074</v>
      </c>
      <c r="P373" s="46">
        <v>4</v>
      </c>
      <c r="Q373" s="43">
        <v>1138.6708880904209</v>
      </c>
      <c r="R373" s="43">
        <v>1141.9795006031288</v>
      </c>
      <c r="S373" s="47">
        <v>0</v>
      </c>
      <c r="T373" s="48">
        <v>1139.1675289098637</v>
      </c>
      <c r="U373" s="48">
        <v>1139.6118930803905</v>
      </c>
      <c r="V373" s="48">
        <v>1139.0753055614132</v>
      </c>
      <c r="W373" s="48">
        <v>1141.9795006031288</v>
      </c>
    </row>
    <row r="374" spans="1:23" ht="13.2" x14ac:dyDescent="0.25">
      <c r="A374" s="41">
        <v>372</v>
      </c>
      <c r="B374" s="42">
        <v>0.49333220510433062</v>
      </c>
      <c r="C374" s="14" t="s">
        <v>5076</v>
      </c>
      <c r="D374" s="42">
        <v>0.26083723188416902</v>
      </c>
      <c r="E374" s="43">
        <v>37.608372318841688</v>
      </c>
      <c r="F374" s="42">
        <v>0.56553794237111599</v>
      </c>
      <c r="G374" s="43">
        <v>3.3001474534907134</v>
      </c>
      <c r="H374" s="42">
        <v>0.51566122775695344</v>
      </c>
      <c r="I374" s="43">
        <v>0.83174077577329708</v>
      </c>
      <c r="J374" s="42">
        <v>0.47726808883122546</v>
      </c>
      <c r="K374" s="43">
        <v>2.1596406273909539</v>
      </c>
      <c r="L374" s="43">
        <v>1140.8305287178118</v>
      </c>
      <c r="M374" s="44">
        <v>261.75427133913814</v>
      </c>
      <c r="N374" s="44">
        <v>470.10465398552111</v>
      </c>
      <c r="O374" s="45" t="s">
        <v>5074</v>
      </c>
      <c r="P374" s="46">
        <v>3</v>
      </c>
      <c r="Q374" s="43">
        <v>1140.8305287178118</v>
      </c>
      <c r="R374" s="43">
        <v>1144.1306761713026</v>
      </c>
      <c r="S374" s="47">
        <v>0</v>
      </c>
      <c r="T374" s="48">
        <v>1139.1675289098637</v>
      </c>
      <c r="U374" s="48">
        <v>1139.6118930803905</v>
      </c>
      <c r="V374" s="48">
        <v>1144.1306761713026</v>
      </c>
      <c r="W374" s="48">
        <v>1141.9795006031288</v>
      </c>
    </row>
    <row r="375" spans="1:23" ht="13.2" x14ac:dyDescent="0.25">
      <c r="A375" s="41">
        <v>373</v>
      </c>
      <c r="B375" s="42">
        <v>0.13769774145339511</v>
      </c>
      <c r="C375" s="14" t="s">
        <v>5073</v>
      </c>
      <c r="D375" s="42">
        <v>0.80522865839546021</v>
      </c>
      <c r="E375" s="43">
        <v>376.62743900745522</v>
      </c>
      <c r="F375" s="42">
        <v>0.70475164926832157</v>
      </c>
      <c r="G375" s="43">
        <v>10.585872662209846</v>
      </c>
      <c r="H375" s="42">
        <v>0.21113429880288165</v>
      </c>
      <c r="I375" s="43">
        <v>3.0627623372297781</v>
      </c>
      <c r="J375" s="42">
        <v>0.79085081247186795</v>
      </c>
      <c r="K375" s="43">
        <v>0.68509762111862882</v>
      </c>
      <c r="L375" s="43">
        <v>1141.5156263389304</v>
      </c>
      <c r="M375" s="44">
        <v>2621.3269754918883</v>
      </c>
      <c r="N375" s="44">
        <v>4707.8429875931906</v>
      </c>
      <c r="O375" s="45" t="s">
        <v>5074</v>
      </c>
      <c r="P375" s="46">
        <v>1</v>
      </c>
      <c r="Q375" s="43">
        <v>1141.5156263389304</v>
      </c>
      <c r="R375" s="43">
        <v>1152.1014990011402</v>
      </c>
      <c r="S375" s="47">
        <v>0</v>
      </c>
      <c r="T375" s="48">
        <v>1152.1014990011402</v>
      </c>
      <c r="U375" s="48">
        <v>1139.6118930803905</v>
      </c>
      <c r="V375" s="48">
        <v>1144.1306761713026</v>
      </c>
      <c r="W375" s="48">
        <v>1141.9795006031288</v>
      </c>
    </row>
    <row r="376" spans="1:23" ht="13.2" x14ac:dyDescent="0.25">
      <c r="A376" s="41">
        <v>374</v>
      </c>
      <c r="B376" s="42">
        <v>0.42076568185387442</v>
      </c>
      <c r="C376" s="14" t="s">
        <v>5077</v>
      </c>
      <c r="D376" s="42">
        <v>0.46872376625832346</v>
      </c>
      <c r="E376" s="43">
        <v>44.218513896324907</v>
      </c>
      <c r="F376" s="42">
        <v>0.89916708175985471</v>
      </c>
      <c r="G376" s="43">
        <v>3.5516001992447306</v>
      </c>
      <c r="H376" s="42">
        <v>0.55890226809256816</v>
      </c>
      <c r="I376" s="43">
        <v>1.2544733685195188</v>
      </c>
      <c r="J376" s="42">
        <v>0.26993272792079148</v>
      </c>
      <c r="K376" s="43">
        <v>3.8235985602252791</v>
      </c>
      <c r="L376" s="43">
        <v>1145.3392248991556</v>
      </c>
      <c r="M376" s="44">
        <v>307.76085671842134</v>
      </c>
      <c r="N376" s="44">
        <v>552.7314237040614</v>
      </c>
      <c r="O376" s="45" t="s">
        <v>5074</v>
      </c>
      <c r="P376" s="46">
        <v>2</v>
      </c>
      <c r="Q376" s="43">
        <v>1145.3392248991556</v>
      </c>
      <c r="R376" s="43">
        <v>1148.8908250984005</v>
      </c>
      <c r="S376" s="47">
        <v>0</v>
      </c>
      <c r="T376" s="48">
        <v>1152.1014990011402</v>
      </c>
      <c r="U376" s="48">
        <v>1148.8908250984005</v>
      </c>
      <c r="V376" s="48">
        <v>1144.1306761713026</v>
      </c>
      <c r="W376" s="48">
        <v>1141.9795006031288</v>
      </c>
    </row>
    <row r="377" spans="1:23" ht="13.2" x14ac:dyDescent="0.25">
      <c r="A377" s="41">
        <v>375</v>
      </c>
      <c r="B377" s="42">
        <v>0.24607830133572142</v>
      </c>
      <c r="C377" s="14" t="s">
        <v>5077</v>
      </c>
      <c r="D377" s="42">
        <v>0.9566667876004552</v>
      </c>
      <c r="E377" s="43">
        <v>48.610001088404097</v>
      </c>
      <c r="F377" s="42">
        <v>0.25676659366896681</v>
      </c>
      <c r="G377" s="43">
        <v>3.2432479649611041</v>
      </c>
      <c r="H377" s="42">
        <v>0.88646278292241631</v>
      </c>
      <c r="I377" s="43">
        <v>1.4739651626741739</v>
      </c>
      <c r="J377" s="42">
        <v>0.93587988099822772</v>
      </c>
      <c r="K377" s="43">
        <v>0.19348362921660048</v>
      </c>
      <c r="L377" s="43">
        <v>1145.5327085283723</v>
      </c>
      <c r="M377" s="44">
        <v>338.32560757529251</v>
      </c>
      <c r="N377" s="44">
        <v>607.62501360505121</v>
      </c>
      <c r="O377" s="45" t="s">
        <v>5074</v>
      </c>
      <c r="P377" s="46">
        <v>4</v>
      </c>
      <c r="Q377" s="43">
        <v>1145.5327085283723</v>
      </c>
      <c r="R377" s="43">
        <v>1148.7759564933333</v>
      </c>
      <c r="S377" s="47">
        <v>0</v>
      </c>
      <c r="T377" s="48">
        <v>1152.1014990011402</v>
      </c>
      <c r="U377" s="48">
        <v>1148.8908250984005</v>
      </c>
      <c r="V377" s="48">
        <v>1144.1306761713026</v>
      </c>
      <c r="W377" s="48">
        <v>1148.7759564933333</v>
      </c>
    </row>
    <row r="378" spans="1:23" ht="13.2" x14ac:dyDescent="0.25">
      <c r="A378" s="41">
        <v>376</v>
      </c>
      <c r="B378" s="42">
        <v>0.93105452085428619</v>
      </c>
      <c r="C378" s="14" t="s">
        <v>5075</v>
      </c>
      <c r="D378" s="42">
        <v>0.99846092658045749</v>
      </c>
      <c r="E378" s="43">
        <v>349.89226486063205</v>
      </c>
      <c r="F378" s="42">
        <v>0.64595228184291731</v>
      </c>
      <c r="G378" s="43">
        <v>9.6354450408674062</v>
      </c>
      <c r="H378" s="42">
        <v>0.19407052788607335</v>
      </c>
      <c r="I378" s="43">
        <v>2.1230096755044392</v>
      </c>
      <c r="J378" s="42">
        <v>0.7175655121531177</v>
      </c>
      <c r="K378" s="43">
        <v>0.96902490329857827</v>
      </c>
      <c r="L378" s="43">
        <v>1146.5017334316708</v>
      </c>
      <c r="M378" s="44">
        <v>2435.2501634299992</v>
      </c>
      <c r="N378" s="44">
        <v>4373.6533107579007</v>
      </c>
      <c r="O378" s="45" t="s">
        <v>5074</v>
      </c>
      <c r="P378" s="46">
        <v>3</v>
      </c>
      <c r="Q378" s="43">
        <v>1146.5017334316708</v>
      </c>
      <c r="R378" s="43">
        <v>1156.1371784725382</v>
      </c>
      <c r="S378" s="47">
        <v>0</v>
      </c>
      <c r="T378" s="48">
        <v>1152.1014990011402</v>
      </c>
      <c r="U378" s="48">
        <v>1148.8908250984005</v>
      </c>
      <c r="V378" s="48">
        <v>1156.1371784725382</v>
      </c>
      <c r="W378" s="48">
        <v>1148.7759564933333</v>
      </c>
    </row>
    <row r="379" spans="1:23" ht="13.2" x14ac:dyDescent="0.25">
      <c r="A379" s="41">
        <v>377</v>
      </c>
      <c r="B379" s="42">
        <v>0.2062526141322463</v>
      </c>
      <c r="C379" s="14" t="s">
        <v>5073</v>
      </c>
      <c r="D379" s="42">
        <v>0.10467442316220814</v>
      </c>
      <c r="E379" s="43">
        <v>292.56093077946497</v>
      </c>
      <c r="F379" s="42">
        <v>0.66635002040599944</v>
      </c>
      <c r="G379" s="43">
        <v>10.465675563870779</v>
      </c>
      <c r="H379" s="42">
        <v>0.73985224205062361</v>
      </c>
      <c r="I379" s="43">
        <v>3.5582864973061925</v>
      </c>
      <c r="J379" s="42">
        <v>2.5335260213043196E-2</v>
      </c>
      <c r="K379" s="43">
        <v>10.731556698438631</v>
      </c>
      <c r="L379" s="43">
        <v>1157.2332901301095</v>
      </c>
      <c r="M379" s="44">
        <v>2036.2240782250763</v>
      </c>
      <c r="N379" s="44">
        <v>3657.0116347433122</v>
      </c>
      <c r="O379" s="45" t="s">
        <v>5074</v>
      </c>
      <c r="P379" s="46">
        <v>4</v>
      </c>
      <c r="Q379" s="43">
        <v>1157.2332901301095</v>
      </c>
      <c r="R379" s="43">
        <v>1167.6989656939802</v>
      </c>
      <c r="S379" s="47">
        <v>0</v>
      </c>
      <c r="T379" s="48">
        <v>1152.1014990011402</v>
      </c>
      <c r="U379" s="48">
        <v>1148.8908250984005</v>
      </c>
      <c r="V379" s="48">
        <v>1156.1371784725382</v>
      </c>
      <c r="W379" s="48">
        <v>1167.6989656939802</v>
      </c>
    </row>
    <row r="380" spans="1:23" ht="13.2" x14ac:dyDescent="0.25">
      <c r="A380" s="41">
        <v>378</v>
      </c>
      <c r="B380" s="42">
        <v>0.64614206163498666</v>
      </c>
      <c r="C380" s="14" t="s">
        <v>5079</v>
      </c>
      <c r="D380" s="42">
        <v>8.7278922129086653E-2</v>
      </c>
      <c r="E380" s="43">
        <v>7.2618367663872601</v>
      </c>
      <c r="F380" s="42">
        <v>0.41999286386184059</v>
      </c>
      <c r="G380" s="43">
        <v>1.4861992150248025</v>
      </c>
      <c r="H380" s="42">
        <v>9.3855576167747187E-2</v>
      </c>
      <c r="I380" s="43">
        <v>0.29687908761324455</v>
      </c>
      <c r="J380" s="42">
        <v>0.42505656528522101</v>
      </c>
      <c r="K380" s="43">
        <v>2.4979066397818701</v>
      </c>
      <c r="L380" s="43">
        <v>1159.7311967698913</v>
      </c>
      <c r="M380" s="44">
        <v>50.542383894055327</v>
      </c>
      <c r="N380" s="44">
        <v>90.772959579840744</v>
      </c>
      <c r="O380" s="45" t="s">
        <v>5074</v>
      </c>
      <c r="P380" s="46">
        <v>2</v>
      </c>
      <c r="Q380" s="43">
        <v>1159.7311967698913</v>
      </c>
      <c r="R380" s="43">
        <v>1161.217395984916</v>
      </c>
      <c r="S380" s="47">
        <v>0</v>
      </c>
      <c r="T380" s="48">
        <v>1152.1014990011402</v>
      </c>
      <c r="U380" s="48">
        <v>1161.217395984916</v>
      </c>
      <c r="V380" s="48">
        <v>1156.1371784725382</v>
      </c>
      <c r="W380" s="48">
        <v>1167.6989656939802</v>
      </c>
    </row>
    <row r="381" spans="1:23" ht="13.2" x14ac:dyDescent="0.25">
      <c r="A381" s="41">
        <v>379</v>
      </c>
      <c r="B381" s="42">
        <v>0.75146732840289698</v>
      </c>
      <c r="C381" s="14" t="s">
        <v>5079</v>
      </c>
      <c r="D381" s="42">
        <v>0.62694577808815322</v>
      </c>
      <c r="E381" s="43">
        <v>8.8808373342644593</v>
      </c>
      <c r="F381" s="42">
        <v>0.39340812917491802</v>
      </c>
      <c r="G381" s="43">
        <v>1.4832748942092411</v>
      </c>
      <c r="H381" s="42">
        <v>0.13835082628687417</v>
      </c>
      <c r="I381" s="43">
        <v>0.31762262804701918</v>
      </c>
      <c r="J381" s="42">
        <v>0.88126110512821987</v>
      </c>
      <c r="K381" s="43">
        <v>0.36905495874779637</v>
      </c>
      <c r="L381" s="43">
        <v>1160.100251728639</v>
      </c>
      <c r="M381" s="44">
        <v>61.810627846480635</v>
      </c>
      <c r="N381" s="44">
        <v>111.01046667830575</v>
      </c>
      <c r="O381" s="45" t="s">
        <v>5074</v>
      </c>
      <c r="P381" s="46">
        <v>1</v>
      </c>
      <c r="Q381" s="43">
        <v>1160.100251728639</v>
      </c>
      <c r="R381" s="43">
        <v>1161.5835266228482</v>
      </c>
      <c r="S381" s="47">
        <v>0</v>
      </c>
      <c r="T381" s="48">
        <v>1161.5835266228482</v>
      </c>
      <c r="U381" s="48">
        <v>1161.217395984916</v>
      </c>
      <c r="V381" s="48">
        <v>1156.1371784725382</v>
      </c>
      <c r="W381" s="48">
        <v>1167.6989656939802</v>
      </c>
    </row>
    <row r="382" spans="1:23" ht="13.2" x14ac:dyDescent="0.25">
      <c r="A382" s="41">
        <v>380</v>
      </c>
      <c r="B382" s="42">
        <v>0.61314949608088909</v>
      </c>
      <c r="C382" s="14" t="s">
        <v>5076</v>
      </c>
      <c r="D382" s="42">
        <v>0.13709998789108357</v>
      </c>
      <c r="E382" s="43">
        <v>36.370999878910837</v>
      </c>
      <c r="F382" s="42">
        <v>0.82948035180078838</v>
      </c>
      <c r="G382" s="43">
        <v>3.4215609618283627</v>
      </c>
      <c r="H382" s="42">
        <v>0.25471715314999088</v>
      </c>
      <c r="I382" s="43">
        <v>0.73128035403271519</v>
      </c>
      <c r="J382" s="42">
        <v>0.54148293451475116</v>
      </c>
      <c r="K382" s="43">
        <v>1.7910765788202108</v>
      </c>
      <c r="L382" s="43">
        <v>1161.8913283074592</v>
      </c>
      <c r="M382" s="44">
        <v>253.14215915721942</v>
      </c>
      <c r="N382" s="44">
        <v>454.63749848638548</v>
      </c>
      <c r="O382" s="45" t="s">
        <v>5074</v>
      </c>
      <c r="P382" s="46">
        <v>3</v>
      </c>
      <c r="Q382" s="43">
        <v>1161.8913283074592</v>
      </c>
      <c r="R382" s="43">
        <v>1165.3128892692876</v>
      </c>
      <c r="S382" s="47">
        <v>0</v>
      </c>
      <c r="T382" s="48">
        <v>1161.5835266228482</v>
      </c>
      <c r="U382" s="48">
        <v>1161.217395984916</v>
      </c>
      <c r="V382" s="48">
        <v>1165.3128892692876</v>
      </c>
      <c r="W382" s="48">
        <v>1167.6989656939802</v>
      </c>
    </row>
    <row r="383" spans="1:23" ht="13.2" x14ac:dyDescent="0.25">
      <c r="A383" s="41">
        <v>381</v>
      </c>
      <c r="B383" s="42">
        <v>0.35370911208619787</v>
      </c>
      <c r="C383" s="14" t="s">
        <v>5077</v>
      </c>
      <c r="D383" s="42">
        <v>0.13193122443367319</v>
      </c>
      <c r="E383" s="43">
        <v>41.187381019903057</v>
      </c>
      <c r="F383" s="42">
        <v>0.29348640576632989</v>
      </c>
      <c r="G383" s="43">
        <v>3.2608734747678385</v>
      </c>
      <c r="H383" s="42">
        <v>0.93169414621391056</v>
      </c>
      <c r="I383" s="43">
        <v>1.5246784833406342</v>
      </c>
      <c r="J383" s="42">
        <v>0.67086265546775548</v>
      </c>
      <c r="K383" s="43">
        <v>1.1655207278795261</v>
      </c>
      <c r="L383" s="43">
        <v>1163.0568490353387</v>
      </c>
      <c r="M383" s="44">
        <v>286.6641718985253</v>
      </c>
      <c r="N383" s="44">
        <v>514.84226274878824</v>
      </c>
      <c r="O383" s="45" t="s">
        <v>5074</v>
      </c>
      <c r="P383" s="46">
        <v>2</v>
      </c>
      <c r="Q383" s="43">
        <v>1163.0568490353387</v>
      </c>
      <c r="R383" s="43">
        <v>1166.3177225101065</v>
      </c>
      <c r="S383" s="47">
        <v>0</v>
      </c>
      <c r="T383" s="48">
        <v>1161.5835266228482</v>
      </c>
      <c r="U383" s="48">
        <v>1166.3177225101065</v>
      </c>
      <c r="V383" s="48">
        <v>1165.3128892692876</v>
      </c>
      <c r="W383" s="48">
        <v>1167.6989656939802</v>
      </c>
    </row>
    <row r="384" spans="1:23" ht="13.2" x14ac:dyDescent="0.25">
      <c r="A384" s="41">
        <v>382</v>
      </c>
      <c r="B384" s="42">
        <v>0.13372841157658416</v>
      </c>
      <c r="C384" s="14" t="s">
        <v>5073</v>
      </c>
      <c r="D384" s="42">
        <v>0.75641545967963308</v>
      </c>
      <c r="E384" s="43">
        <v>370.76985516155594</v>
      </c>
      <c r="F384" s="42">
        <v>0.91515918724013456</v>
      </c>
      <c r="G384" s="43">
        <v>11.24444825606162</v>
      </c>
      <c r="H384" s="42">
        <v>0.81827683086426783</v>
      </c>
      <c r="I384" s="43">
        <v>3.6308220255055845</v>
      </c>
      <c r="J384" s="42">
        <v>0.71403029128631124</v>
      </c>
      <c r="K384" s="43">
        <v>0.98344494239916425</v>
      </c>
      <c r="L384" s="43">
        <v>1164.040293977738</v>
      </c>
      <c r="M384" s="44">
        <v>2580.5581919244291</v>
      </c>
      <c r="N384" s="44">
        <v>4634.6231895194496</v>
      </c>
      <c r="O384" s="45" t="s">
        <v>5074</v>
      </c>
      <c r="P384" s="46">
        <v>1</v>
      </c>
      <c r="Q384" s="43">
        <v>1164.040293977738</v>
      </c>
      <c r="R384" s="43">
        <v>1175.2847422337995</v>
      </c>
      <c r="S384" s="47">
        <v>0</v>
      </c>
      <c r="T384" s="48">
        <v>1175.2847422337995</v>
      </c>
      <c r="U384" s="48">
        <v>1166.3177225101065</v>
      </c>
      <c r="V384" s="48">
        <v>1165.3128892692876</v>
      </c>
      <c r="W384" s="48">
        <v>1167.6989656939802</v>
      </c>
    </row>
    <row r="385" spans="1:23" ht="13.2" x14ac:dyDescent="0.25">
      <c r="A385" s="41">
        <v>383</v>
      </c>
      <c r="B385" s="42">
        <v>0.74273929313884079</v>
      </c>
      <c r="C385" s="14" t="s">
        <v>5079</v>
      </c>
      <c r="D385" s="42">
        <v>0.59404787495455136</v>
      </c>
      <c r="E385" s="43">
        <v>8.7821436248636537</v>
      </c>
      <c r="F385" s="42">
        <v>1.1194670578089856E-2</v>
      </c>
      <c r="G385" s="43">
        <v>1.4412314137635898</v>
      </c>
      <c r="H385" s="42">
        <v>0.28117994092459786</v>
      </c>
      <c r="I385" s="43">
        <v>0.36768420943088165</v>
      </c>
      <c r="J385" s="42">
        <v>0.5133034621892979</v>
      </c>
      <c r="K385" s="43">
        <v>1.947118436426382</v>
      </c>
      <c r="L385" s="43">
        <v>1165.9874124141643</v>
      </c>
      <c r="M385" s="44">
        <v>61.123719629051031</v>
      </c>
      <c r="N385" s="44">
        <v>109.77679531079568</v>
      </c>
      <c r="O385" s="45" t="s">
        <v>5074</v>
      </c>
      <c r="P385" s="46">
        <v>3</v>
      </c>
      <c r="Q385" s="43">
        <v>1165.9874124141643</v>
      </c>
      <c r="R385" s="43">
        <v>1167.4286438279278</v>
      </c>
      <c r="S385" s="47">
        <v>0</v>
      </c>
      <c r="T385" s="48">
        <v>1175.2847422337995</v>
      </c>
      <c r="U385" s="48">
        <v>1166.3177225101065</v>
      </c>
      <c r="V385" s="48">
        <v>1167.4286438279278</v>
      </c>
      <c r="W385" s="48">
        <v>1167.6989656939802</v>
      </c>
    </row>
    <row r="386" spans="1:23" ht="13.2" x14ac:dyDescent="0.25">
      <c r="A386" s="41">
        <v>384</v>
      </c>
      <c r="B386" s="42">
        <v>0.91753658695031726</v>
      </c>
      <c r="C386" s="14" t="s">
        <v>5075</v>
      </c>
      <c r="D386" s="42">
        <v>5.9529422810082055E-2</v>
      </c>
      <c r="E386" s="43">
        <v>284.16705959670577</v>
      </c>
      <c r="F386" s="42">
        <v>0.68463889774151099</v>
      </c>
      <c r="G386" s="43">
        <v>9.7124314065056065</v>
      </c>
      <c r="H386" s="42">
        <v>3.3399134424235269E-2</v>
      </c>
      <c r="I386" s="43">
        <v>1.7584536106315223</v>
      </c>
      <c r="J386" s="42">
        <v>0.16636344611941065</v>
      </c>
      <c r="K386" s="43">
        <v>5.236731239387507</v>
      </c>
      <c r="L386" s="43">
        <v>1171.2241436535519</v>
      </c>
      <c r="M386" s="44">
        <v>1977.8027347930722</v>
      </c>
      <c r="N386" s="44">
        <v>3552.0882449588221</v>
      </c>
      <c r="O386" s="45" t="s">
        <v>5074</v>
      </c>
      <c r="P386" s="46">
        <v>2</v>
      </c>
      <c r="Q386" s="43">
        <v>1171.2241436535519</v>
      </c>
      <c r="R386" s="43">
        <v>1180.9365750600575</v>
      </c>
      <c r="S386" s="47">
        <v>0</v>
      </c>
      <c r="T386" s="48">
        <v>1175.2847422337995</v>
      </c>
      <c r="U386" s="48">
        <v>1180.9365750600575</v>
      </c>
      <c r="V386" s="48">
        <v>1167.4286438279278</v>
      </c>
      <c r="W386" s="48">
        <v>1167.6989656939802</v>
      </c>
    </row>
    <row r="387" spans="1:23" ht="13.2" x14ac:dyDescent="0.25">
      <c r="A387" s="41">
        <v>385</v>
      </c>
      <c r="B387" s="42">
        <v>0.58728785793636362</v>
      </c>
      <c r="C387" s="14" t="s">
        <v>5076</v>
      </c>
      <c r="D387" s="42">
        <v>0.79386747153190318</v>
      </c>
      <c r="E387" s="43">
        <v>42.938674715319031</v>
      </c>
      <c r="F387" s="42">
        <v>0.72518758695814178</v>
      </c>
      <c r="G387" s="43">
        <v>3.3735862900007452</v>
      </c>
      <c r="H387" s="42">
        <v>0.3403174468969542</v>
      </c>
      <c r="I387" s="43">
        <v>0.76733249680568272</v>
      </c>
      <c r="J387" s="42">
        <v>0.37043209856861836</v>
      </c>
      <c r="K387" s="43">
        <v>2.899518600765755</v>
      </c>
      <c r="L387" s="43">
        <v>1174.1236622543177</v>
      </c>
      <c r="M387" s="44">
        <v>298.85317601862045</v>
      </c>
      <c r="N387" s="44">
        <v>536.73343394148787</v>
      </c>
      <c r="O387" s="45" t="s">
        <v>5074</v>
      </c>
      <c r="P387" s="46">
        <v>3</v>
      </c>
      <c r="Q387" s="43">
        <v>1174.1236622543177</v>
      </c>
      <c r="R387" s="43">
        <v>1177.4972485443184</v>
      </c>
      <c r="S387" s="47">
        <v>0</v>
      </c>
      <c r="T387" s="48">
        <v>1175.2847422337995</v>
      </c>
      <c r="U387" s="48">
        <v>1180.9365750600575</v>
      </c>
      <c r="V387" s="48">
        <v>1177.4972485443184</v>
      </c>
      <c r="W387" s="48">
        <v>1167.6989656939802</v>
      </c>
    </row>
    <row r="388" spans="1:23" ht="13.2" x14ac:dyDescent="0.25">
      <c r="A388" s="41">
        <v>386</v>
      </c>
      <c r="B388" s="42">
        <v>0.9610058753569638</v>
      </c>
      <c r="C388" s="14" t="s">
        <v>5080</v>
      </c>
      <c r="D388" s="42">
        <v>0.7768144960407235</v>
      </c>
      <c r="E388" s="43">
        <v>104.42036240101808</v>
      </c>
      <c r="F388" s="42">
        <v>0.6211581312218486</v>
      </c>
      <c r="G388" s="43">
        <v>4.5454253908597986</v>
      </c>
      <c r="H388" s="42">
        <v>0.71050799345155624</v>
      </c>
      <c r="I388" s="43">
        <v>2.2781374010331339</v>
      </c>
      <c r="J388" s="42">
        <v>0.78993589747228465</v>
      </c>
      <c r="K388" s="43">
        <v>0.68847731168888116</v>
      </c>
      <c r="L388" s="43">
        <v>1174.8121395660066</v>
      </c>
      <c r="M388" s="44">
        <v>726.76572231108582</v>
      </c>
      <c r="N388" s="44">
        <v>1305.254530012726</v>
      </c>
      <c r="O388" s="45" t="s">
        <v>5074</v>
      </c>
      <c r="P388" s="46">
        <v>4</v>
      </c>
      <c r="Q388" s="43">
        <v>1174.8121395660066</v>
      </c>
      <c r="R388" s="43">
        <v>1179.3575649568663</v>
      </c>
      <c r="S388" s="47">
        <v>0</v>
      </c>
      <c r="T388" s="48">
        <v>1175.2847422337995</v>
      </c>
      <c r="U388" s="48">
        <v>1180.9365750600575</v>
      </c>
      <c r="V388" s="48">
        <v>1177.4972485443184</v>
      </c>
      <c r="W388" s="48">
        <v>1179.3575649568663</v>
      </c>
    </row>
    <row r="389" spans="1:23" ht="13.2" x14ac:dyDescent="0.25">
      <c r="A389" s="41">
        <v>387</v>
      </c>
      <c r="B389" s="42">
        <v>0.52187600057659489</v>
      </c>
      <c r="C389" s="14" t="s">
        <v>5076</v>
      </c>
      <c r="D389" s="42">
        <v>0.12199570244271109</v>
      </c>
      <c r="E389" s="43">
        <v>36.21995702442711</v>
      </c>
      <c r="F389" s="42">
        <v>0.36874439957027527</v>
      </c>
      <c r="G389" s="43">
        <v>3.2096224238023265</v>
      </c>
      <c r="H389" s="42">
        <v>0.74383065837613804</v>
      </c>
      <c r="I389" s="43">
        <v>0.9321802552934505</v>
      </c>
      <c r="J389" s="42">
        <v>0.19876948706748407</v>
      </c>
      <c r="K389" s="43">
        <v>4.7171079769804845</v>
      </c>
      <c r="L389" s="43">
        <v>1179.5292475429872</v>
      </c>
      <c r="M389" s="44">
        <v>252.09090089001268</v>
      </c>
      <c r="N389" s="44">
        <v>452.74946280533885</v>
      </c>
      <c r="O389" s="45" t="s">
        <v>5074</v>
      </c>
      <c r="P389" s="46">
        <v>1</v>
      </c>
      <c r="Q389" s="43">
        <v>1179.5292475429872</v>
      </c>
      <c r="R389" s="43">
        <v>1182.7388699667895</v>
      </c>
      <c r="S389" s="47">
        <v>0</v>
      </c>
      <c r="T389" s="48">
        <v>1182.7388699667895</v>
      </c>
      <c r="U389" s="48">
        <v>1180.9365750600575</v>
      </c>
      <c r="V389" s="48">
        <v>1177.4972485443184</v>
      </c>
      <c r="W389" s="48">
        <v>1179.3575649568663</v>
      </c>
    </row>
    <row r="390" spans="1:23" ht="13.2" x14ac:dyDescent="0.25">
      <c r="A390" s="41">
        <v>388</v>
      </c>
      <c r="B390" s="42">
        <v>0.25259694981044017</v>
      </c>
      <c r="C390" s="14" t="s">
        <v>5077</v>
      </c>
      <c r="D390" s="42">
        <v>0.4100191688211724</v>
      </c>
      <c r="E390" s="43">
        <v>43.690172519390551</v>
      </c>
      <c r="F390" s="42">
        <v>0.62911800790071393</v>
      </c>
      <c r="G390" s="43">
        <v>3.4219766437923429</v>
      </c>
      <c r="H390" s="42">
        <v>0.12423688179079298</v>
      </c>
      <c r="I390" s="43">
        <v>1.0114835157753093</v>
      </c>
      <c r="J390" s="42">
        <v>0.86779876559404601</v>
      </c>
      <c r="K390" s="43">
        <v>0.41400124984913289</v>
      </c>
      <c r="L390" s="43">
        <v>1179.9432487928364</v>
      </c>
      <c r="M390" s="44">
        <v>304.08360073495822</v>
      </c>
      <c r="N390" s="44">
        <v>546.12715649238191</v>
      </c>
      <c r="O390" s="45" t="s">
        <v>5074</v>
      </c>
      <c r="P390" s="46">
        <v>3</v>
      </c>
      <c r="Q390" s="43">
        <v>1179.9432487928364</v>
      </c>
      <c r="R390" s="43">
        <v>1183.3652254366286</v>
      </c>
      <c r="S390" s="47">
        <v>0</v>
      </c>
      <c r="T390" s="48">
        <v>1182.7388699667895</v>
      </c>
      <c r="U390" s="48">
        <v>1180.9365750600575</v>
      </c>
      <c r="V390" s="48">
        <v>1183.3652254366286</v>
      </c>
      <c r="W390" s="48">
        <v>1179.3575649568663</v>
      </c>
    </row>
    <row r="391" spans="1:23" ht="13.2" x14ac:dyDescent="0.25">
      <c r="A391" s="41">
        <v>389</v>
      </c>
      <c r="B391" s="42">
        <v>0.21243637530712242</v>
      </c>
      <c r="C391" s="14" t="s">
        <v>5073</v>
      </c>
      <c r="D391" s="42">
        <v>0.12974403385526689</v>
      </c>
      <c r="E391" s="43">
        <v>295.56928406263205</v>
      </c>
      <c r="F391" s="42">
        <v>0.66008888402026555</v>
      </c>
      <c r="G391" s="43">
        <v>10.446078206983431</v>
      </c>
      <c r="H391" s="42">
        <v>0.9218097785123669</v>
      </c>
      <c r="I391" s="43">
        <v>3.7578375212471493</v>
      </c>
      <c r="J391" s="42">
        <v>0.89371424349663509</v>
      </c>
      <c r="K391" s="43">
        <v>0.32808523518459648</v>
      </c>
      <c r="L391" s="43">
        <v>1180.2713340280209</v>
      </c>
      <c r="M391" s="44">
        <v>2057.1622170759192</v>
      </c>
      <c r="N391" s="44">
        <v>3694.6160507829009</v>
      </c>
      <c r="O391" s="45" t="s">
        <v>5074</v>
      </c>
      <c r="P391" s="46">
        <v>4</v>
      </c>
      <c r="Q391" s="43">
        <v>1180.2713340280209</v>
      </c>
      <c r="R391" s="43">
        <v>1190.7174122350043</v>
      </c>
      <c r="S391" s="47">
        <v>0</v>
      </c>
      <c r="T391" s="48">
        <v>1182.7388699667895</v>
      </c>
      <c r="U391" s="48">
        <v>1180.9365750600575</v>
      </c>
      <c r="V391" s="48">
        <v>1183.3652254366286</v>
      </c>
      <c r="W391" s="48">
        <v>1190.7174122350043</v>
      </c>
    </row>
    <row r="392" spans="1:23" ht="13.2" x14ac:dyDescent="0.25">
      <c r="A392" s="41">
        <v>390</v>
      </c>
      <c r="B392" s="42">
        <v>0.17329218246661693</v>
      </c>
      <c r="C392" s="14" t="s">
        <v>5073</v>
      </c>
      <c r="D392" s="42">
        <v>0.64215619146924285</v>
      </c>
      <c r="E392" s="43">
        <v>357.05874297630913</v>
      </c>
      <c r="F392" s="42">
        <v>0.50674128742271163</v>
      </c>
      <c r="G392" s="43">
        <v>9.9661002296330885</v>
      </c>
      <c r="H392" s="42">
        <v>1.3583234983302297E-2</v>
      </c>
      <c r="I392" s="43">
        <v>2.6427405074775674</v>
      </c>
      <c r="J392" s="42">
        <v>0.10634652716403199</v>
      </c>
      <c r="K392" s="43">
        <v>6.5432186646719748</v>
      </c>
      <c r="L392" s="43">
        <v>1186.8145526926928</v>
      </c>
      <c r="M392" s="44">
        <v>2485.1288511151115</v>
      </c>
      <c r="N392" s="44">
        <v>4463.2342872038644</v>
      </c>
      <c r="O392" s="45" t="s">
        <v>5074</v>
      </c>
      <c r="P392" s="46">
        <v>2</v>
      </c>
      <c r="Q392" s="43">
        <v>1186.8145526926928</v>
      </c>
      <c r="R392" s="43">
        <v>1196.780652922326</v>
      </c>
      <c r="S392" s="47">
        <v>0</v>
      </c>
      <c r="T392" s="48">
        <v>1182.7388699667895</v>
      </c>
      <c r="U392" s="48">
        <v>1196.780652922326</v>
      </c>
      <c r="V392" s="48">
        <v>1183.3652254366286</v>
      </c>
      <c r="W392" s="48">
        <v>1190.7174122350043</v>
      </c>
    </row>
    <row r="393" spans="1:23" ht="13.2" x14ac:dyDescent="0.25">
      <c r="A393" s="41">
        <v>391</v>
      </c>
      <c r="B393" s="42">
        <v>0.92526365626848472</v>
      </c>
      <c r="C393" s="14" t="s">
        <v>5075</v>
      </c>
      <c r="D393" s="42">
        <v>0.9595862454546551</v>
      </c>
      <c r="E393" s="43">
        <v>347.17103718182585</v>
      </c>
      <c r="F393" s="42">
        <v>0.76735135576098756</v>
      </c>
      <c r="G393" s="43">
        <v>9.8770291979643652</v>
      </c>
      <c r="H393" s="42">
        <v>0.98758400370720034</v>
      </c>
      <c r="I393" s="43">
        <v>3.3424182986968369</v>
      </c>
      <c r="J393" s="42">
        <v>0.73590667347233119</v>
      </c>
      <c r="K393" s="43">
        <v>0.89533422084885905</v>
      </c>
      <c r="L393" s="43">
        <v>1187.7098869135416</v>
      </c>
      <c r="M393" s="44">
        <v>2416.3104187855079</v>
      </c>
      <c r="N393" s="44">
        <v>4339.6379647728236</v>
      </c>
      <c r="O393" s="45" t="s">
        <v>5074</v>
      </c>
      <c r="P393" s="46">
        <v>1</v>
      </c>
      <c r="Q393" s="43">
        <v>1187.7098869135416</v>
      </c>
      <c r="R393" s="43">
        <v>1197.5869161115061</v>
      </c>
      <c r="S393" s="47">
        <v>0</v>
      </c>
      <c r="T393" s="48">
        <v>1197.5869161115061</v>
      </c>
      <c r="U393" s="48">
        <v>1196.780652922326</v>
      </c>
      <c r="V393" s="48">
        <v>1183.3652254366286</v>
      </c>
      <c r="W393" s="48">
        <v>1190.7174122350043</v>
      </c>
    </row>
    <row r="394" spans="1:23" ht="13.2" x14ac:dyDescent="0.25">
      <c r="A394" s="41">
        <v>392</v>
      </c>
      <c r="B394" s="42">
        <v>0.52779747803127275</v>
      </c>
      <c r="C394" s="14" t="s">
        <v>5076</v>
      </c>
      <c r="D394" s="42">
        <v>0.56925595019443709</v>
      </c>
      <c r="E394" s="43">
        <v>40.692559501944373</v>
      </c>
      <c r="F394" s="42">
        <v>0.23263334121212054</v>
      </c>
      <c r="G394" s="43">
        <v>3.1470113369575756</v>
      </c>
      <c r="H394" s="42">
        <v>0.48441705083680203</v>
      </c>
      <c r="I394" s="43">
        <v>0.82004839023147247</v>
      </c>
      <c r="J394" s="42">
        <v>0.76368007378824054</v>
      </c>
      <c r="K394" s="43">
        <v>0.78717176380326637</v>
      </c>
      <c r="L394" s="43">
        <v>1188.497058677345</v>
      </c>
      <c r="M394" s="44">
        <v>283.22021413353286</v>
      </c>
      <c r="N394" s="44">
        <v>508.65699377430468</v>
      </c>
      <c r="O394" s="45" t="s">
        <v>5074</v>
      </c>
      <c r="P394" s="46">
        <v>3</v>
      </c>
      <c r="Q394" s="43">
        <v>1188.497058677345</v>
      </c>
      <c r="R394" s="43">
        <v>1191.6440700143025</v>
      </c>
      <c r="S394" s="47">
        <v>0</v>
      </c>
      <c r="T394" s="48">
        <v>1197.5869161115061</v>
      </c>
      <c r="U394" s="48">
        <v>1196.780652922326</v>
      </c>
      <c r="V394" s="48">
        <v>1191.6440700143025</v>
      </c>
      <c r="W394" s="48">
        <v>1190.7174122350043</v>
      </c>
    </row>
    <row r="395" spans="1:23" ht="13.2" x14ac:dyDescent="0.25">
      <c r="A395" s="41">
        <v>393</v>
      </c>
      <c r="B395" s="42">
        <v>4.6958317070714344E-2</v>
      </c>
      <c r="C395" s="14" t="s">
        <v>5073</v>
      </c>
      <c r="D395" s="42">
        <v>0.76485807670506556</v>
      </c>
      <c r="E395" s="43">
        <v>371.78296920460787</v>
      </c>
      <c r="F395" s="42">
        <v>0.86226344521262843</v>
      </c>
      <c r="G395" s="43">
        <v>11.078884583515528</v>
      </c>
      <c r="H395" s="42">
        <v>0.53327849625296819</v>
      </c>
      <c r="I395" s="43">
        <v>3.3943812075281166</v>
      </c>
      <c r="J395" s="42">
        <v>0.86111141781374412</v>
      </c>
      <c r="K395" s="43">
        <v>0.43658796438022651</v>
      </c>
      <c r="L395" s="43">
        <v>1188.9336466417251</v>
      </c>
      <c r="M395" s="44">
        <v>2593.6642460725329</v>
      </c>
      <c r="N395" s="44">
        <v>4647.2871150575984</v>
      </c>
      <c r="O395" s="45" t="s">
        <v>5074</v>
      </c>
      <c r="P395" s="46">
        <v>4</v>
      </c>
      <c r="Q395" s="43">
        <v>1190.7174122350043</v>
      </c>
      <c r="R395" s="43">
        <v>1201.7962968185197</v>
      </c>
      <c r="S395" s="43">
        <v>1.7837655932792131</v>
      </c>
      <c r="T395" s="48">
        <v>1197.5869161115061</v>
      </c>
      <c r="U395" s="48">
        <v>1196.780652922326</v>
      </c>
      <c r="V395" s="48">
        <v>1191.6440700143025</v>
      </c>
      <c r="W395" s="48">
        <v>1201.7962968185197</v>
      </c>
    </row>
    <row r="396" spans="1:23" ht="13.2" x14ac:dyDescent="0.25">
      <c r="A396" s="41">
        <v>394</v>
      </c>
      <c r="B396" s="42">
        <v>0.9548723683482373</v>
      </c>
      <c r="C396" s="14" t="s">
        <v>5080</v>
      </c>
      <c r="D396" s="42">
        <v>0.40106079559822605</v>
      </c>
      <c r="E396" s="43">
        <v>95.026519889955651</v>
      </c>
      <c r="F396" s="42">
        <v>0.19292908310560933</v>
      </c>
      <c r="G396" s="43">
        <v>4.3141817048770292</v>
      </c>
      <c r="H396" s="42">
        <v>0.75419231027094291</v>
      </c>
      <c r="I396" s="43">
        <v>2.3348279609662606</v>
      </c>
      <c r="J396" s="42">
        <v>0.42738968712621822</v>
      </c>
      <c r="K396" s="43">
        <v>2.4819242794565088</v>
      </c>
      <c r="L396" s="43">
        <v>1191.4155709211816</v>
      </c>
      <c r="M396" s="44">
        <v>661.91808450576548</v>
      </c>
      <c r="N396" s="44">
        <v>1187.8314986244457</v>
      </c>
      <c r="O396" s="45" t="s">
        <v>5074</v>
      </c>
      <c r="P396" s="46">
        <v>3</v>
      </c>
      <c r="Q396" s="43">
        <v>1191.6440700143025</v>
      </c>
      <c r="R396" s="43">
        <v>1195.9582517191795</v>
      </c>
      <c r="S396" s="43">
        <v>0.22849909312094496</v>
      </c>
      <c r="T396" s="48">
        <v>1197.5869161115061</v>
      </c>
      <c r="U396" s="48">
        <v>1196.780652922326</v>
      </c>
      <c r="V396" s="48">
        <v>1195.9582517191795</v>
      </c>
      <c r="W396" s="48">
        <v>1201.7962968185197</v>
      </c>
    </row>
    <row r="397" spans="1:23" ht="13.2" x14ac:dyDescent="0.25">
      <c r="A397" s="41">
        <v>395</v>
      </c>
      <c r="B397" s="42">
        <v>0.29109971425081588</v>
      </c>
      <c r="C397" s="14" t="s">
        <v>5077</v>
      </c>
      <c r="D397" s="42">
        <v>0.22399928524345125</v>
      </c>
      <c r="E397" s="43">
        <v>42.01599356719106</v>
      </c>
      <c r="F397" s="42">
        <v>0.88240580162145466</v>
      </c>
      <c r="G397" s="43">
        <v>3.5435547847782982</v>
      </c>
      <c r="H397" s="42">
        <v>0.98907989775253458</v>
      </c>
      <c r="I397" s="43">
        <v>1.6298997431434132</v>
      </c>
      <c r="J397" s="42">
        <v>0.68894248348145859</v>
      </c>
      <c r="K397" s="43">
        <v>1.0878758823626582</v>
      </c>
      <c r="L397" s="43">
        <v>1192.5034468035442</v>
      </c>
      <c r="M397" s="44">
        <v>298.06230087225447</v>
      </c>
      <c r="N397" s="44">
        <v>525.19991958988828</v>
      </c>
      <c r="O397" s="45" t="s">
        <v>5074</v>
      </c>
      <c r="P397" s="46">
        <v>3</v>
      </c>
      <c r="Q397" s="43">
        <v>1195.9582517191795</v>
      </c>
      <c r="R397" s="43">
        <v>1199.5018065039578</v>
      </c>
      <c r="S397" s="43">
        <v>3.45480491563535</v>
      </c>
      <c r="T397" s="48">
        <v>1197.5869161115061</v>
      </c>
      <c r="U397" s="48">
        <v>1196.780652922326</v>
      </c>
      <c r="V397" s="48">
        <v>1199.5018065039578</v>
      </c>
      <c r="W397" s="48">
        <v>1201.7962968185197</v>
      </c>
    </row>
    <row r="398" spans="1:23" ht="13.2" x14ac:dyDescent="0.25">
      <c r="A398" s="41">
        <v>396</v>
      </c>
      <c r="B398" s="42">
        <v>0.45945292080727074</v>
      </c>
      <c r="C398" s="14" t="s">
        <v>5077</v>
      </c>
      <c r="D398" s="42">
        <v>0.34514266827383205</v>
      </c>
      <c r="E398" s="43">
        <v>43.106284014464485</v>
      </c>
      <c r="F398" s="42">
        <v>7.2044446166625448E-2</v>
      </c>
      <c r="G398" s="43">
        <v>3.1545813341599804</v>
      </c>
      <c r="H398" s="42">
        <v>0.25389144814288778</v>
      </c>
      <c r="I398" s="43">
        <v>1.1023258528995488</v>
      </c>
      <c r="J398" s="42">
        <v>0.13485598616993799</v>
      </c>
      <c r="K398" s="43">
        <v>5.8497747125793591</v>
      </c>
      <c r="L398" s="43">
        <v>1198.3532215161235</v>
      </c>
      <c r="M398" s="44">
        <v>300.01973674067284</v>
      </c>
      <c r="N398" s="44">
        <v>538.82855018080602</v>
      </c>
      <c r="O398" s="45" t="s">
        <v>5074</v>
      </c>
      <c r="P398" s="46">
        <v>2</v>
      </c>
      <c r="Q398" s="43">
        <v>1198.3532215161235</v>
      </c>
      <c r="R398" s="43">
        <v>1201.5078028502835</v>
      </c>
      <c r="S398" s="47">
        <v>0</v>
      </c>
      <c r="T398" s="48">
        <v>1197.5869161115061</v>
      </c>
      <c r="U398" s="48">
        <v>1201.5078028502835</v>
      </c>
      <c r="V398" s="48">
        <v>1199.5018065039578</v>
      </c>
      <c r="W398" s="48">
        <v>1201.7962968185197</v>
      </c>
    </row>
    <row r="399" spans="1:23" ht="13.2" x14ac:dyDescent="0.25">
      <c r="A399" s="41">
        <v>397</v>
      </c>
      <c r="B399" s="42">
        <v>0.63251546194428365</v>
      </c>
      <c r="C399" s="14" t="s">
        <v>5076</v>
      </c>
      <c r="D399" s="42">
        <v>0.27142875467959265</v>
      </c>
      <c r="E399" s="43">
        <v>37.71428754679593</v>
      </c>
      <c r="F399" s="42">
        <v>0.42001899491065137</v>
      </c>
      <c r="G399" s="43">
        <v>3.2332087376588996</v>
      </c>
      <c r="H399" s="42">
        <v>0.58963959784695863</v>
      </c>
      <c r="I399" s="43">
        <v>0.86102962872420319</v>
      </c>
      <c r="J399" s="42">
        <v>0.32374215467075917</v>
      </c>
      <c r="K399" s="43">
        <v>3.2928697779246638</v>
      </c>
      <c r="L399" s="43">
        <v>1201.6460912940481</v>
      </c>
      <c r="M399" s="44">
        <v>262.49144132569967</v>
      </c>
      <c r="N399" s="44">
        <v>471.42859433494914</v>
      </c>
      <c r="O399" s="45" t="s">
        <v>5074</v>
      </c>
      <c r="P399" s="46">
        <v>1</v>
      </c>
      <c r="Q399" s="43">
        <v>1201.6460912940481</v>
      </c>
      <c r="R399" s="43">
        <v>1204.8793000317071</v>
      </c>
      <c r="S399" s="47">
        <v>0</v>
      </c>
      <c r="T399" s="48">
        <v>1204.8793000317071</v>
      </c>
      <c r="U399" s="48">
        <v>1201.5078028502835</v>
      </c>
      <c r="V399" s="48">
        <v>1199.5018065039578</v>
      </c>
      <c r="W399" s="48">
        <v>1201.7962968185197</v>
      </c>
    </row>
    <row r="400" spans="1:23" ht="13.2" x14ac:dyDescent="0.25">
      <c r="A400" s="41">
        <v>398</v>
      </c>
      <c r="B400" s="42">
        <v>0.38213929132658025</v>
      </c>
      <c r="C400" s="14" t="s">
        <v>5077</v>
      </c>
      <c r="D400" s="42">
        <v>0.87603132188135358</v>
      </c>
      <c r="E400" s="43">
        <v>47.88428189693218</v>
      </c>
      <c r="F400" s="42">
        <v>0.50819050590889081</v>
      </c>
      <c r="G400" s="43">
        <v>3.3639314428362677</v>
      </c>
      <c r="H400" s="42">
        <v>0.27398394247236846</v>
      </c>
      <c r="I400" s="43">
        <v>1.1140608528455156</v>
      </c>
      <c r="J400" s="42">
        <v>0.59397976500633165</v>
      </c>
      <c r="K400" s="43">
        <v>1.5209051849507904</v>
      </c>
      <c r="L400" s="43">
        <v>1203.166996478999</v>
      </c>
      <c r="M400" s="44">
        <v>333.27460200264795</v>
      </c>
      <c r="N400" s="44">
        <v>598.55352371165225</v>
      </c>
      <c r="O400" s="45" t="s">
        <v>5074</v>
      </c>
      <c r="P400" s="46">
        <v>3</v>
      </c>
      <c r="Q400" s="43">
        <v>1203.166996478999</v>
      </c>
      <c r="R400" s="43">
        <v>1206.5309279218352</v>
      </c>
      <c r="S400" s="47">
        <v>0</v>
      </c>
      <c r="T400" s="48">
        <v>1204.8793000317071</v>
      </c>
      <c r="U400" s="48">
        <v>1201.5078028502835</v>
      </c>
      <c r="V400" s="48">
        <v>1206.5309279218352</v>
      </c>
      <c r="W400" s="48">
        <v>1201.7962968185197</v>
      </c>
    </row>
    <row r="401" spans="1:23" ht="13.2" x14ac:dyDescent="0.25">
      <c r="A401" s="41">
        <v>399</v>
      </c>
      <c r="B401" s="42">
        <v>0.64048311004437652</v>
      </c>
      <c r="C401" s="14" t="s">
        <v>5079</v>
      </c>
      <c r="D401" s="42">
        <v>0.62088256171945599</v>
      </c>
      <c r="E401" s="43">
        <v>8.8626476851583682</v>
      </c>
      <c r="F401" s="42">
        <v>1.8182023436847154E-2</v>
      </c>
      <c r="G401" s="43">
        <v>1.4420000225780532</v>
      </c>
      <c r="H401" s="42">
        <v>0.90469716391744892</v>
      </c>
      <c r="I401" s="43">
        <v>0.58043652141066371</v>
      </c>
      <c r="J401" s="42">
        <v>0.51890563756176533</v>
      </c>
      <c r="K401" s="43">
        <v>1.9154254838541387</v>
      </c>
      <c r="L401" s="43">
        <v>1205.082421962853</v>
      </c>
      <c r="M401" s="44">
        <v>61.684027888702239</v>
      </c>
      <c r="N401" s="44">
        <v>110.78309606447961</v>
      </c>
      <c r="O401" s="45" t="s">
        <v>5074</v>
      </c>
      <c r="P401" s="46">
        <v>2</v>
      </c>
      <c r="Q401" s="43">
        <v>1205.082421962853</v>
      </c>
      <c r="R401" s="43">
        <v>1206.524421985431</v>
      </c>
      <c r="S401" s="47">
        <v>0</v>
      </c>
      <c r="T401" s="48">
        <v>1204.8793000317071</v>
      </c>
      <c r="U401" s="48">
        <v>1206.524421985431</v>
      </c>
      <c r="V401" s="48">
        <v>1206.5309279218352</v>
      </c>
      <c r="W401" s="48">
        <v>1201.7962968185197</v>
      </c>
    </row>
    <row r="402" spans="1:23" ht="13.2" x14ac:dyDescent="0.25">
      <c r="A402" s="41">
        <v>400</v>
      </c>
      <c r="B402" s="42">
        <v>0.87849844334577143</v>
      </c>
      <c r="C402" s="14" t="s">
        <v>5081</v>
      </c>
      <c r="D402" s="42">
        <v>9.3546066011090792E-2</v>
      </c>
      <c r="E402" s="43">
        <v>263.74184264044362</v>
      </c>
      <c r="F402" s="42">
        <v>0.23766305681209221</v>
      </c>
      <c r="G402" s="43">
        <v>8.4252864262439715</v>
      </c>
      <c r="H402" s="42">
        <v>0.5717760937156976</v>
      </c>
      <c r="I402" s="43">
        <v>4.0745553433248398</v>
      </c>
      <c r="J402" s="42">
        <v>7.4528067407444151E-2</v>
      </c>
      <c r="K402" s="43">
        <v>7.5812539586062417</v>
      </c>
      <c r="L402" s="43">
        <v>1212.6636759214593</v>
      </c>
      <c r="M402" s="44">
        <v>1835.6432247774876</v>
      </c>
      <c r="N402" s="44">
        <v>3296.7730330055451</v>
      </c>
      <c r="O402" s="45" t="s">
        <v>5074</v>
      </c>
      <c r="P402" s="46">
        <v>4</v>
      </c>
      <c r="Q402" s="43">
        <v>1212.6636759214593</v>
      </c>
      <c r="R402" s="43">
        <v>1221.0889623477033</v>
      </c>
      <c r="S402" s="47">
        <v>0</v>
      </c>
      <c r="T402" s="48">
        <v>1204.8793000317071</v>
      </c>
      <c r="U402" s="48">
        <v>1206.524421985431</v>
      </c>
      <c r="V402" s="48">
        <v>1206.5309279218352</v>
      </c>
      <c r="W402" s="48">
        <v>1221.0889623477033</v>
      </c>
    </row>
    <row r="403" spans="1:23" ht="13.2" x14ac:dyDescent="0.25">
      <c r="A403" s="41">
        <v>401</v>
      </c>
      <c r="B403" s="42">
        <v>0.30353732188396965</v>
      </c>
      <c r="C403" s="14" t="s">
        <v>5077</v>
      </c>
      <c r="D403" s="42">
        <v>0.93284486044796411</v>
      </c>
      <c r="E403" s="43">
        <v>48.395603744031675</v>
      </c>
      <c r="F403" s="42">
        <v>6.3473093352966525E-2</v>
      </c>
      <c r="G403" s="43">
        <v>3.1504670848094238</v>
      </c>
      <c r="H403" s="42">
        <v>2.2849292504996663E-2</v>
      </c>
      <c r="I403" s="43">
        <v>0.89069589462483301</v>
      </c>
      <c r="J403" s="42">
        <v>0.69074282547959254</v>
      </c>
      <c r="K403" s="43">
        <v>1.0802560636451659</v>
      </c>
      <c r="L403" s="43">
        <v>1213.7439319851046</v>
      </c>
      <c r="M403" s="44">
        <v>336.83340205846048</v>
      </c>
      <c r="N403" s="44">
        <v>604.94504680039597</v>
      </c>
      <c r="O403" s="45" t="s">
        <v>5074</v>
      </c>
      <c r="P403" s="46">
        <v>1</v>
      </c>
      <c r="Q403" s="43">
        <v>1213.7439319851046</v>
      </c>
      <c r="R403" s="43">
        <v>1216.894399069914</v>
      </c>
      <c r="S403" s="47">
        <v>0</v>
      </c>
      <c r="T403" s="48">
        <v>1216.894399069914</v>
      </c>
      <c r="U403" s="48">
        <v>1206.524421985431</v>
      </c>
      <c r="V403" s="48">
        <v>1206.5309279218352</v>
      </c>
      <c r="W403" s="48">
        <v>1221.0889623477033</v>
      </c>
    </row>
    <row r="404" spans="1:23" ht="13.2" x14ac:dyDescent="0.25">
      <c r="A404" s="41">
        <v>402</v>
      </c>
      <c r="B404" s="42">
        <v>0.17371736474973959</v>
      </c>
      <c r="C404" s="14" t="s">
        <v>5073</v>
      </c>
      <c r="D404" s="42">
        <v>0.36869600618663056</v>
      </c>
      <c r="E404" s="43">
        <v>324.24352074239567</v>
      </c>
      <c r="F404" s="42">
        <v>0.1918337471745134</v>
      </c>
      <c r="G404" s="43">
        <v>8.980439628656228</v>
      </c>
      <c r="H404" s="42">
        <v>0.54015160284012165</v>
      </c>
      <c r="I404" s="43">
        <v>3.4001263268342852</v>
      </c>
      <c r="J404" s="42">
        <v>0.31885339939913404</v>
      </c>
      <c r="K404" s="43">
        <v>3.3372958973455669</v>
      </c>
      <c r="L404" s="43">
        <v>1217.0812278824501</v>
      </c>
      <c r="M404" s="44">
        <v>2256.7349043670738</v>
      </c>
      <c r="N404" s="44">
        <v>4053.0440092799458</v>
      </c>
      <c r="O404" s="45" t="s">
        <v>5074</v>
      </c>
      <c r="P404" s="46">
        <v>2</v>
      </c>
      <c r="Q404" s="43">
        <v>1217.0812278824501</v>
      </c>
      <c r="R404" s="43">
        <v>1226.0616675111064</v>
      </c>
      <c r="S404" s="47">
        <v>0</v>
      </c>
      <c r="T404" s="48">
        <v>1216.894399069914</v>
      </c>
      <c r="U404" s="48">
        <v>1226.0616675111064</v>
      </c>
      <c r="V404" s="48">
        <v>1206.5309279218352</v>
      </c>
      <c r="W404" s="48">
        <v>1221.0889623477033</v>
      </c>
    </row>
    <row r="405" spans="1:23" ht="13.2" x14ac:dyDescent="0.25">
      <c r="A405" s="41">
        <v>403</v>
      </c>
      <c r="B405" s="42">
        <v>0.92677078951465464</v>
      </c>
      <c r="C405" s="14" t="s">
        <v>5075</v>
      </c>
      <c r="D405" s="42">
        <v>0.62055282649609855</v>
      </c>
      <c r="E405" s="43">
        <v>323.43869785472691</v>
      </c>
      <c r="F405" s="42">
        <v>0.16565936439002835</v>
      </c>
      <c r="G405" s="43">
        <v>8.6796621351361569</v>
      </c>
      <c r="H405" s="42">
        <v>0.6256472578391653</v>
      </c>
      <c r="I405" s="43">
        <v>2.6347223079717881</v>
      </c>
      <c r="J405" s="42">
        <v>0.97399068250041021</v>
      </c>
      <c r="K405" s="43">
        <v>7.6944647026870927E-2</v>
      </c>
      <c r="L405" s="43">
        <v>1217.158172529477</v>
      </c>
      <c r="M405" s="44">
        <v>2251.1333370688994</v>
      </c>
      <c r="N405" s="44">
        <v>4042.9837231840866</v>
      </c>
      <c r="O405" s="45" t="s">
        <v>5074</v>
      </c>
      <c r="P405" s="46">
        <v>3</v>
      </c>
      <c r="Q405" s="43">
        <v>1217.158172529477</v>
      </c>
      <c r="R405" s="43">
        <v>1225.8378346646132</v>
      </c>
      <c r="S405" s="47">
        <v>0</v>
      </c>
      <c r="T405" s="48">
        <v>1216.894399069914</v>
      </c>
      <c r="U405" s="48">
        <v>1226.0616675111064</v>
      </c>
      <c r="V405" s="48">
        <v>1225.8378346646132</v>
      </c>
      <c r="W405" s="48">
        <v>1221.0889623477033</v>
      </c>
    </row>
    <row r="406" spans="1:23" ht="13.2" x14ac:dyDescent="0.25">
      <c r="A406" s="41">
        <v>404</v>
      </c>
      <c r="B406" s="42">
        <v>0.31292494121609488</v>
      </c>
      <c r="C406" s="14" t="s">
        <v>5077</v>
      </c>
      <c r="D406" s="42">
        <v>0.85991366620171517</v>
      </c>
      <c r="E406" s="43">
        <v>47.739222995815439</v>
      </c>
      <c r="F406" s="42">
        <v>0.26737035590567176</v>
      </c>
      <c r="G406" s="43">
        <v>3.2483377708347225</v>
      </c>
      <c r="H406" s="42">
        <v>0.11379983421126373</v>
      </c>
      <c r="I406" s="43">
        <v>1.0024053860845974</v>
      </c>
      <c r="J406" s="42">
        <v>0.14117644966634757</v>
      </c>
      <c r="K406" s="43">
        <v>5.7160430799971733</v>
      </c>
      <c r="L406" s="43">
        <v>1222.8742156094743</v>
      </c>
      <c r="M406" s="44">
        <v>332.26499205087543</v>
      </c>
      <c r="N406" s="44">
        <v>596.74028744769294</v>
      </c>
      <c r="O406" s="45" t="s">
        <v>5074</v>
      </c>
      <c r="P406" s="46">
        <v>1</v>
      </c>
      <c r="Q406" s="43">
        <v>1222.8742156094743</v>
      </c>
      <c r="R406" s="43">
        <v>1226.122553380309</v>
      </c>
      <c r="S406" s="47">
        <v>0</v>
      </c>
      <c r="T406" s="48">
        <v>1226.122553380309</v>
      </c>
      <c r="U406" s="48">
        <v>1226.0616675111064</v>
      </c>
      <c r="V406" s="48">
        <v>1225.8378346646132</v>
      </c>
      <c r="W406" s="48">
        <v>1221.0889623477033</v>
      </c>
    </row>
    <row r="407" spans="1:23" ht="13.2" x14ac:dyDescent="0.25">
      <c r="A407" s="41">
        <v>405</v>
      </c>
      <c r="B407" s="42">
        <v>0.20201682308782676</v>
      </c>
      <c r="C407" s="14" t="s">
        <v>5073</v>
      </c>
      <c r="D407" s="42">
        <v>0.52458621073727785</v>
      </c>
      <c r="E407" s="43">
        <v>342.95034528847333</v>
      </c>
      <c r="F407" s="42">
        <v>0.3345634133250282</v>
      </c>
      <c r="G407" s="43">
        <v>9.4271834837073385</v>
      </c>
      <c r="H407" s="42">
        <v>0.63770078850803003</v>
      </c>
      <c r="I407" s="43">
        <v>3.4780343464122541</v>
      </c>
      <c r="J407" s="42">
        <v>0.37712727458082479</v>
      </c>
      <c r="K407" s="43">
        <v>2.8472191245255587</v>
      </c>
      <c r="L407" s="43">
        <v>1225.7214347339998</v>
      </c>
      <c r="M407" s="44">
        <v>2386.9344032077743</v>
      </c>
      <c r="N407" s="44">
        <v>4286.8793161059166</v>
      </c>
      <c r="O407" s="45" t="s">
        <v>5074</v>
      </c>
      <c r="P407" s="46">
        <v>4</v>
      </c>
      <c r="Q407" s="43">
        <v>1225.7214347339998</v>
      </c>
      <c r="R407" s="43">
        <v>1235.1486182177071</v>
      </c>
      <c r="S407" s="47">
        <v>0</v>
      </c>
      <c r="T407" s="48">
        <v>1226.122553380309</v>
      </c>
      <c r="U407" s="48">
        <v>1226.0616675111064</v>
      </c>
      <c r="V407" s="48">
        <v>1225.8378346646132</v>
      </c>
      <c r="W407" s="48">
        <v>1235.1486182177071</v>
      </c>
    </row>
    <row r="408" spans="1:23" ht="13.2" x14ac:dyDescent="0.25">
      <c r="A408" s="41">
        <v>406</v>
      </c>
      <c r="B408" s="42">
        <v>0.24885759327973128</v>
      </c>
      <c r="C408" s="14" t="s">
        <v>5077</v>
      </c>
      <c r="D408" s="42">
        <v>0.1575898906018538</v>
      </c>
      <c r="E408" s="43">
        <v>41.418309015416682</v>
      </c>
      <c r="F408" s="42">
        <v>0.78478999658710791</v>
      </c>
      <c r="G408" s="43">
        <v>3.4966991983618119</v>
      </c>
      <c r="H408" s="42">
        <v>4.1205101665670568E-2</v>
      </c>
      <c r="I408" s="43">
        <v>0.92179423877852928</v>
      </c>
      <c r="J408" s="42">
        <v>0.39398599620628449</v>
      </c>
      <c r="K408" s="43">
        <v>2.7195325925240894</v>
      </c>
      <c r="L408" s="43">
        <v>1228.4409673265238</v>
      </c>
      <c r="M408" s="44">
        <v>288.27143074730009</v>
      </c>
      <c r="N408" s="44">
        <v>517.7288626927085</v>
      </c>
      <c r="O408" s="45" t="s">
        <v>5074</v>
      </c>
      <c r="P408" s="46">
        <v>3</v>
      </c>
      <c r="Q408" s="43">
        <v>1228.4409673265238</v>
      </c>
      <c r="R408" s="43">
        <v>1231.9376665248856</v>
      </c>
      <c r="S408" s="47">
        <v>0</v>
      </c>
      <c r="T408" s="48">
        <v>1226.122553380309</v>
      </c>
      <c r="U408" s="48">
        <v>1226.0616675111064</v>
      </c>
      <c r="V408" s="48">
        <v>1231.9376665248856</v>
      </c>
      <c r="W408" s="48">
        <v>1235.1486182177071</v>
      </c>
    </row>
    <row r="409" spans="1:23" ht="13.2" x14ac:dyDescent="0.25">
      <c r="A409" s="41">
        <v>407</v>
      </c>
      <c r="B409" s="42">
        <v>1.2471211614306648E-2</v>
      </c>
      <c r="C409" s="14" t="s">
        <v>5073</v>
      </c>
      <c r="D409" s="42">
        <v>0.11564824968373787</v>
      </c>
      <c r="E409" s="43">
        <v>293.87778996204855</v>
      </c>
      <c r="F409" s="42">
        <v>0.87494076968866441</v>
      </c>
      <c r="G409" s="43">
        <v>11.118564609125519</v>
      </c>
      <c r="H409" s="42">
        <v>0.25680196995698007</v>
      </c>
      <c r="I409" s="43">
        <v>3.1206472064993687</v>
      </c>
      <c r="J409" s="42">
        <v>0.77117858816458773</v>
      </c>
      <c r="K409" s="43">
        <v>0.75864321279019165</v>
      </c>
      <c r="L409" s="43">
        <v>1229.1996105393141</v>
      </c>
      <c r="M409" s="44">
        <v>2045.389418135858</v>
      </c>
      <c r="N409" s="44">
        <v>3673.4723745256069</v>
      </c>
      <c r="O409" s="45" t="s">
        <v>5074</v>
      </c>
      <c r="P409" s="46">
        <v>2</v>
      </c>
      <c r="Q409" s="43">
        <v>1229.1996105393141</v>
      </c>
      <c r="R409" s="43">
        <v>1240.3181751484397</v>
      </c>
      <c r="S409" s="47">
        <v>0</v>
      </c>
      <c r="T409" s="48">
        <v>1226.122553380309</v>
      </c>
      <c r="U409" s="48">
        <v>1240.3181751484397</v>
      </c>
      <c r="V409" s="48">
        <v>1231.9376665248856</v>
      </c>
      <c r="W409" s="48">
        <v>1235.1486182177071</v>
      </c>
    </row>
    <row r="410" spans="1:23" ht="13.2" x14ac:dyDescent="0.25">
      <c r="A410" s="41">
        <v>408</v>
      </c>
      <c r="B410" s="42">
        <v>0.51160060638170712</v>
      </c>
      <c r="C410" s="14" t="s">
        <v>5076</v>
      </c>
      <c r="D410" s="42">
        <v>0.47147345704560795</v>
      </c>
      <c r="E410" s="43">
        <v>39.714734570456081</v>
      </c>
      <c r="F410" s="42">
        <v>0.82822478647726816</v>
      </c>
      <c r="G410" s="43">
        <v>3.4209834017795435</v>
      </c>
      <c r="H410" s="42">
        <v>0.33484702060690474</v>
      </c>
      <c r="I410" s="43">
        <v>0.76517517668034085</v>
      </c>
      <c r="J410" s="42">
        <v>0.7091116540642044</v>
      </c>
      <c r="K410" s="43">
        <v>1.0036271059830504</v>
      </c>
      <c r="L410" s="43">
        <v>1230.2032376452971</v>
      </c>
      <c r="M410" s="44">
        <v>276.4145526103743</v>
      </c>
      <c r="N410" s="44">
        <v>496.434182130701</v>
      </c>
      <c r="O410" s="45" t="s">
        <v>5074</v>
      </c>
      <c r="P410" s="46">
        <v>1</v>
      </c>
      <c r="Q410" s="43">
        <v>1230.2032376452971</v>
      </c>
      <c r="R410" s="43">
        <v>1233.6242210470766</v>
      </c>
      <c r="S410" s="47">
        <v>0</v>
      </c>
      <c r="T410" s="48">
        <v>1233.6242210470766</v>
      </c>
      <c r="U410" s="48">
        <v>1240.3181751484397</v>
      </c>
      <c r="V410" s="48">
        <v>1231.9376665248856</v>
      </c>
      <c r="W410" s="48">
        <v>1235.1486182177071</v>
      </c>
    </row>
    <row r="411" spans="1:23" ht="13.2" x14ac:dyDescent="0.25">
      <c r="A411" s="41">
        <v>409</v>
      </c>
      <c r="B411" s="42">
        <v>0.54811716570896896</v>
      </c>
      <c r="C411" s="14" t="s">
        <v>5076</v>
      </c>
      <c r="D411" s="42">
        <v>0.19738766746473857</v>
      </c>
      <c r="E411" s="43">
        <v>36.973876674647386</v>
      </c>
      <c r="F411" s="42">
        <v>0.17932268985515587</v>
      </c>
      <c r="G411" s="43">
        <v>3.1224884373333719</v>
      </c>
      <c r="H411" s="42">
        <v>0.5724670992104649</v>
      </c>
      <c r="I411" s="43">
        <v>0.85400980906813295</v>
      </c>
      <c r="J411" s="42">
        <v>0.2704492450088492</v>
      </c>
      <c r="K411" s="43">
        <v>3.818017028553093</v>
      </c>
      <c r="L411" s="43">
        <v>1234.0212546738503</v>
      </c>
      <c r="M411" s="44">
        <v>257.33818165554578</v>
      </c>
      <c r="N411" s="44">
        <v>462.17345843309232</v>
      </c>
      <c r="O411" s="45" t="s">
        <v>5074</v>
      </c>
      <c r="P411" s="46">
        <v>3</v>
      </c>
      <c r="Q411" s="43">
        <v>1234.0212546738503</v>
      </c>
      <c r="R411" s="43">
        <v>1237.1437431111838</v>
      </c>
      <c r="S411" s="47">
        <v>0</v>
      </c>
      <c r="T411" s="48">
        <v>1233.6242210470766</v>
      </c>
      <c r="U411" s="48">
        <v>1240.3181751484397</v>
      </c>
      <c r="V411" s="48">
        <v>1237.1437431111838</v>
      </c>
      <c r="W411" s="48">
        <v>1235.1486182177071</v>
      </c>
    </row>
    <row r="412" spans="1:23" ht="13.2" x14ac:dyDescent="0.25">
      <c r="A412" s="41">
        <v>410</v>
      </c>
      <c r="B412" s="42">
        <v>1.6843006022667049E-3</v>
      </c>
      <c r="C412" s="14" t="s">
        <v>5073</v>
      </c>
      <c r="D412" s="42">
        <v>3.2595933895835622E-2</v>
      </c>
      <c r="E412" s="43">
        <v>283.91151206750027</v>
      </c>
      <c r="F412" s="42">
        <v>0.21900391169777322</v>
      </c>
      <c r="G412" s="43">
        <v>9.0654822436140314</v>
      </c>
      <c r="H412" s="42">
        <v>0.9582546818807044</v>
      </c>
      <c r="I412" s="43">
        <v>3.8230565384382014</v>
      </c>
      <c r="J412" s="42">
        <v>0.34649342547473194</v>
      </c>
      <c r="K412" s="43">
        <v>3.0945735317695977</v>
      </c>
      <c r="L412" s="43">
        <v>1237.1158282056199</v>
      </c>
      <c r="M412" s="44">
        <v>1976.0241239898019</v>
      </c>
      <c r="N412" s="44">
        <v>3548.8939008437533</v>
      </c>
      <c r="O412" s="45" t="s">
        <v>5074</v>
      </c>
      <c r="P412" s="46">
        <v>1</v>
      </c>
      <c r="Q412" s="43">
        <v>1237.1158282056199</v>
      </c>
      <c r="R412" s="43">
        <v>1246.1813104492339</v>
      </c>
      <c r="S412" s="47">
        <v>0</v>
      </c>
      <c r="T412" s="48">
        <v>1246.1813104492339</v>
      </c>
      <c r="U412" s="48">
        <v>1240.3181751484397</v>
      </c>
      <c r="V412" s="48">
        <v>1237.1437431111838</v>
      </c>
      <c r="W412" s="48">
        <v>1235.1486182177071</v>
      </c>
    </row>
    <row r="413" spans="1:23" ht="13.2" x14ac:dyDescent="0.25">
      <c r="A413" s="41">
        <v>411</v>
      </c>
      <c r="B413" s="42">
        <v>0.44117427405024612</v>
      </c>
      <c r="C413" s="14" t="s">
        <v>5077</v>
      </c>
      <c r="D413" s="42">
        <v>8.0649431832437141E-2</v>
      </c>
      <c r="E413" s="43">
        <v>40.725844886491934</v>
      </c>
      <c r="F413" s="42">
        <v>0.46765683333746011</v>
      </c>
      <c r="G413" s="43">
        <v>3.3444752800019808</v>
      </c>
      <c r="H413" s="42">
        <v>0.96264698168386098</v>
      </c>
      <c r="I413" s="43">
        <v>1.5703510191237025</v>
      </c>
      <c r="J413" s="42">
        <v>0.43932327462328752</v>
      </c>
      <c r="K413" s="43">
        <v>2.4015175131227422</v>
      </c>
      <c r="L413" s="43">
        <v>1239.5173457187427</v>
      </c>
      <c r="M413" s="44">
        <v>283.45188040998386</v>
      </c>
      <c r="N413" s="44">
        <v>509.07306108114921</v>
      </c>
      <c r="O413" s="45" t="s">
        <v>5074</v>
      </c>
      <c r="P413" s="46">
        <v>4</v>
      </c>
      <c r="Q413" s="43">
        <v>1239.5173457187427</v>
      </c>
      <c r="R413" s="43">
        <v>1242.8618209987446</v>
      </c>
      <c r="S413" s="47">
        <v>0</v>
      </c>
      <c r="T413" s="48">
        <v>1246.1813104492339</v>
      </c>
      <c r="U413" s="48">
        <v>1240.3181751484397</v>
      </c>
      <c r="V413" s="48">
        <v>1237.1437431111838</v>
      </c>
      <c r="W413" s="48">
        <v>1242.8618209987446</v>
      </c>
    </row>
    <row r="414" spans="1:23" ht="13.2" x14ac:dyDescent="0.25">
      <c r="A414" s="41">
        <v>412</v>
      </c>
      <c r="B414" s="42">
        <v>4.5828273541214069E-2</v>
      </c>
      <c r="C414" s="14" t="s">
        <v>5073</v>
      </c>
      <c r="D414" s="42">
        <v>0.77915213526187099</v>
      </c>
      <c r="E414" s="43">
        <v>373.49825623142453</v>
      </c>
      <c r="F414" s="42">
        <v>0.68008271170783918</v>
      </c>
      <c r="G414" s="43">
        <v>10.508658887645536</v>
      </c>
      <c r="H414" s="42">
        <v>0.14784143685728379</v>
      </c>
      <c r="I414" s="43">
        <v>2.9709162932899282</v>
      </c>
      <c r="J414" s="42">
        <v>0.23982081620014312</v>
      </c>
      <c r="K414" s="43">
        <v>4.1689437478837137</v>
      </c>
      <c r="L414" s="43">
        <v>1243.6862894666265</v>
      </c>
      <c r="M414" s="44">
        <v>2599.5478633707148</v>
      </c>
      <c r="N414" s="44">
        <v>4668.7282028928066</v>
      </c>
      <c r="O414" s="45" t="s">
        <v>5074</v>
      </c>
      <c r="P414" s="46">
        <v>3</v>
      </c>
      <c r="Q414" s="43">
        <v>1243.6862894666265</v>
      </c>
      <c r="R414" s="43">
        <v>1254.1949483542719</v>
      </c>
      <c r="S414" s="47">
        <v>0</v>
      </c>
      <c r="T414" s="48">
        <v>1246.1813104492339</v>
      </c>
      <c r="U414" s="48">
        <v>1240.3181751484397</v>
      </c>
      <c r="V414" s="48">
        <v>1254.1949483542719</v>
      </c>
      <c r="W414" s="48">
        <v>1242.8618209987446</v>
      </c>
    </row>
    <row r="415" spans="1:23" ht="13.2" x14ac:dyDescent="0.25">
      <c r="A415" s="41">
        <v>413</v>
      </c>
      <c r="B415" s="42">
        <v>0.21622148911292735</v>
      </c>
      <c r="C415" s="14" t="s">
        <v>5073</v>
      </c>
      <c r="D415" s="42">
        <v>0.54630164129021652</v>
      </c>
      <c r="E415" s="43">
        <v>345.55619695482596</v>
      </c>
      <c r="F415" s="42">
        <v>0.21160454359445932</v>
      </c>
      <c r="G415" s="43">
        <v>9.0423222214506573</v>
      </c>
      <c r="H415" s="42">
        <v>0.52506251331654497</v>
      </c>
      <c r="I415" s="43">
        <v>3.3874647992877338</v>
      </c>
      <c r="J415" s="42">
        <v>0.15211416788032006</v>
      </c>
      <c r="K415" s="43">
        <v>5.4981720747383065</v>
      </c>
      <c r="L415" s="43">
        <v>1249.1844615413647</v>
      </c>
      <c r="M415" s="44">
        <v>2405.0711308055888</v>
      </c>
      <c r="N415" s="44">
        <v>4319.4524619353242</v>
      </c>
      <c r="O415" s="45" t="s">
        <v>5074</v>
      </c>
      <c r="P415" s="46">
        <v>2</v>
      </c>
      <c r="Q415" s="43">
        <v>1249.1844615413647</v>
      </c>
      <c r="R415" s="43">
        <v>1258.2267837628153</v>
      </c>
      <c r="S415" s="47">
        <v>0</v>
      </c>
      <c r="T415" s="48">
        <v>1246.1813104492339</v>
      </c>
      <c r="U415" s="48">
        <v>1258.2267837628153</v>
      </c>
      <c r="V415" s="48">
        <v>1254.1949483542719</v>
      </c>
      <c r="W415" s="48">
        <v>1242.8618209987446</v>
      </c>
    </row>
    <row r="416" spans="1:23" ht="13.2" x14ac:dyDescent="0.25">
      <c r="A416" s="41">
        <v>414</v>
      </c>
      <c r="B416" s="42">
        <v>0.30742693567063051</v>
      </c>
      <c r="C416" s="14" t="s">
        <v>5077</v>
      </c>
      <c r="D416" s="42">
        <v>0.29223310215968318</v>
      </c>
      <c r="E416" s="43">
        <v>42.630097919437148</v>
      </c>
      <c r="F416" s="42">
        <v>0.77650829254486986</v>
      </c>
      <c r="G416" s="43">
        <v>3.4927239804215375</v>
      </c>
      <c r="H416" s="42">
        <v>0.93778419538297886</v>
      </c>
      <c r="I416" s="43">
        <v>1.5326766242342107</v>
      </c>
      <c r="J416" s="42">
        <v>0.70995579879263215</v>
      </c>
      <c r="K416" s="43">
        <v>1.0001534776827958</v>
      </c>
      <c r="L416" s="43">
        <v>1250.1846150190474</v>
      </c>
      <c r="M416" s="44">
        <v>296.70548151928256</v>
      </c>
      <c r="N416" s="44">
        <v>532.87622399296436</v>
      </c>
      <c r="O416" s="45" t="s">
        <v>5074</v>
      </c>
      <c r="P416" s="46">
        <v>4</v>
      </c>
      <c r="Q416" s="43">
        <v>1250.1846150190474</v>
      </c>
      <c r="R416" s="43">
        <v>1253.6773389994689</v>
      </c>
      <c r="S416" s="47">
        <v>0</v>
      </c>
      <c r="T416" s="48">
        <v>1246.1813104492339</v>
      </c>
      <c r="U416" s="48">
        <v>1258.2267837628153</v>
      </c>
      <c r="V416" s="48">
        <v>1254.1949483542719</v>
      </c>
      <c r="W416" s="48">
        <v>1253.6773389994689</v>
      </c>
    </row>
    <row r="417" spans="1:23" ht="13.2" x14ac:dyDescent="0.25">
      <c r="A417" s="41">
        <v>415</v>
      </c>
      <c r="B417" s="42">
        <v>0.64812125202646542</v>
      </c>
      <c r="C417" s="14" t="s">
        <v>5079</v>
      </c>
      <c r="D417" s="42">
        <v>0.49916529818399125</v>
      </c>
      <c r="E417" s="43">
        <v>8.4974958945519745</v>
      </c>
      <c r="F417" s="42">
        <v>0.59009565393910546</v>
      </c>
      <c r="G417" s="43">
        <v>1.5049105219333017</v>
      </c>
      <c r="H417" s="42">
        <v>0.44050893533998586</v>
      </c>
      <c r="I417" s="43">
        <v>0.41030419454365219</v>
      </c>
      <c r="J417" s="42">
        <v>0.60773273585724308</v>
      </c>
      <c r="K417" s="43">
        <v>1.4540732053763135</v>
      </c>
      <c r="L417" s="43">
        <v>1251.6386882244237</v>
      </c>
      <c r="M417" s="44">
        <v>59.142571426081744</v>
      </c>
      <c r="N417" s="44">
        <v>106.21869868189968</v>
      </c>
      <c r="O417" s="45" t="s">
        <v>5074</v>
      </c>
      <c r="P417" s="46">
        <v>1</v>
      </c>
      <c r="Q417" s="43">
        <v>1251.6386882244237</v>
      </c>
      <c r="R417" s="43">
        <v>1253.1435987463569</v>
      </c>
      <c r="S417" s="47">
        <v>0</v>
      </c>
      <c r="T417" s="48">
        <v>1253.1435987463569</v>
      </c>
      <c r="U417" s="48">
        <v>1258.2267837628153</v>
      </c>
      <c r="V417" s="48">
        <v>1254.1949483542719</v>
      </c>
      <c r="W417" s="48">
        <v>1253.6773389994689</v>
      </c>
    </row>
    <row r="418" spans="1:23" ht="13.2" x14ac:dyDescent="0.25">
      <c r="A418" s="41">
        <v>416</v>
      </c>
      <c r="B418" s="42">
        <v>0.80428872341489821</v>
      </c>
      <c r="C418" s="14" t="s">
        <v>5078</v>
      </c>
      <c r="D418" s="42">
        <v>0.15947812942763703</v>
      </c>
      <c r="E418" s="43">
        <v>176.37912517710549</v>
      </c>
      <c r="F418" s="42">
        <v>0.80552148344252328</v>
      </c>
      <c r="G418" s="43">
        <v>6.1530245499326961</v>
      </c>
      <c r="H418" s="42">
        <v>0.11936311196506168</v>
      </c>
      <c r="I418" s="43">
        <v>2.5462671323744952</v>
      </c>
      <c r="J418" s="42">
        <v>0.35607959020700286</v>
      </c>
      <c r="K418" s="43">
        <v>3.0148934456073229</v>
      </c>
      <c r="L418" s="43">
        <v>1254.6535816700311</v>
      </c>
      <c r="M418" s="44">
        <v>1227.5987112326543</v>
      </c>
      <c r="N418" s="44">
        <v>2204.7390647138186</v>
      </c>
      <c r="O418" s="45" t="s">
        <v>5074</v>
      </c>
      <c r="P418" s="46">
        <v>1</v>
      </c>
      <c r="Q418" s="43">
        <v>1254.6535816700311</v>
      </c>
      <c r="R418" s="43">
        <v>1260.8066062199639</v>
      </c>
      <c r="S418" s="47">
        <v>0</v>
      </c>
      <c r="T418" s="48">
        <v>1260.8066062199639</v>
      </c>
      <c r="U418" s="48">
        <v>1258.2267837628153</v>
      </c>
      <c r="V418" s="48">
        <v>1254.1949483542719</v>
      </c>
      <c r="W418" s="48">
        <v>1253.6773389994689</v>
      </c>
    </row>
    <row r="419" spans="1:23" ht="13.2" x14ac:dyDescent="0.25">
      <c r="A419" s="41">
        <v>417</v>
      </c>
      <c r="B419" s="42">
        <v>0.85202525735461399</v>
      </c>
      <c r="C419" s="14" t="s">
        <v>5081</v>
      </c>
      <c r="D419" s="42">
        <v>0.81363413474226098</v>
      </c>
      <c r="E419" s="43">
        <v>292.54536538969046</v>
      </c>
      <c r="F419" s="42">
        <v>0.83026780785539556</v>
      </c>
      <c r="G419" s="43">
        <v>9.0119651297768417</v>
      </c>
      <c r="H419" s="42">
        <v>0.99500644812127881</v>
      </c>
      <c r="I419" s="43">
        <v>4.9000645020153382</v>
      </c>
      <c r="J419" s="42">
        <v>0.58019501742915947</v>
      </c>
      <c r="K419" s="43">
        <v>1.5894627591527579</v>
      </c>
      <c r="L419" s="43">
        <v>1256.243044429184</v>
      </c>
      <c r="M419" s="44">
        <v>2036.1157431122456</v>
      </c>
      <c r="N419" s="44">
        <v>3656.8170673711306</v>
      </c>
      <c r="O419" s="45" t="s">
        <v>5074</v>
      </c>
      <c r="P419" s="46">
        <v>4</v>
      </c>
      <c r="Q419" s="43">
        <v>1256.243044429184</v>
      </c>
      <c r="R419" s="43">
        <v>1265.2550095589609</v>
      </c>
      <c r="S419" s="47">
        <v>0</v>
      </c>
      <c r="T419" s="48">
        <v>1260.8066062199639</v>
      </c>
      <c r="U419" s="48">
        <v>1258.2267837628153</v>
      </c>
      <c r="V419" s="48">
        <v>1254.1949483542719</v>
      </c>
      <c r="W419" s="48">
        <v>1265.2550095589609</v>
      </c>
    </row>
    <row r="420" spans="1:23" ht="13.2" x14ac:dyDescent="0.25">
      <c r="A420" s="41">
        <v>418</v>
      </c>
      <c r="B420" s="42">
        <v>0.58352221761994172</v>
      </c>
      <c r="C420" s="14" t="s">
        <v>5076</v>
      </c>
      <c r="D420" s="42">
        <v>0.79141977931904595</v>
      </c>
      <c r="E420" s="43">
        <v>42.914197793190461</v>
      </c>
      <c r="F420" s="42">
        <v>0.48030698088943352</v>
      </c>
      <c r="G420" s="43">
        <v>3.2609412112091394</v>
      </c>
      <c r="H420" s="42">
        <v>0.44950093023921406</v>
      </c>
      <c r="I420" s="43">
        <v>0.80739365831278276</v>
      </c>
      <c r="J420" s="42">
        <v>8.0423736982244871E-3</v>
      </c>
      <c r="K420" s="43">
        <v>14.081842345305956</v>
      </c>
      <c r="L420" s="43">
        <v>1270.3248867744899</v>
      </c>
      <c r="M420" s="44">
        <v>298.68281664060561</v>
      </c>
      <c r="N420" s="44">
        <v>536.42747241488075</v>
      </c>
      <c r="O420" s="45" t="s">
        <v>5074</v>
      </c>
      <c r="P420" s="46">
        <v>3</v>
      </c>
      <c r="Q420" s="43">
        <v>1270.3248867744899</v>
      </c>
      <c r="R420" s="43">
        <v>1273.5858279856991</v>
      </c>
      <c r="S420" s="47">
        <v>0</v>
      </c>
      <c r="T420" s="48">
        <v>1260.8066062199639</v>
      </c>
      <c r="U420" s="48">
        <v>1258.2267837628153</v>
      </c>
      <c r="V420" s="48">
        <v>1273.5858279856991</v>
      </c>
      <c r="W420" s="48">
        <v>1265.2550095589609</v>
      </c>
    </row>
    <row r="421" spans="1:23" ht="13.2" x14ac:dyDescent="0.25">
      <c r="A421" s="41">
        <v>419</v>
      </c>
      <c r="B421" s="42">
        <v>0.2042159830239676</v>
      </c>
      <c r="C421" s="14" t="s">
        <v>5073</v>
      </c>
      <c r="D421" s="42">
        <v>8.1278915554880593E-2</v>
      </c>
      <c r="E421" s="43">
        <v>289.75346986658565</v>
      </c>
      <c r="F421" s="42">
        <v>0.2590499335243599</v>
      </c>
      <c r="G421" s="43">
        <v>9.1908262919312467</v>
      </c>
      <c r="H421" s="42">
        <v>0.56273558110126087</v>
      </c>
      <c r="I421" s="43">
        <v>3.4187509845719304</v>
      </c>
      <c r="J421" s="42">
        <v>0.91526852218213883</v>
      </c>
      <c r="K421" s="43">
        <v>0.25850449604049053</v>
      </c>
      <c r="L421" s="43">
        <v>1270.5833912705305</v>
      </c>
      <c r="M421" s="44">
        <v>2016.684150271436</v>
      </c>
      <c r="N421" s="44">
        <v>3621.9183733323207</v>
      </c>
      <c r="O421" s="45" t="s">
        <v>5074</v>
      </c>
      <c r="P421" s="46">
        <v>2</v>
      </c>
      <c r="Q421" s="43">
        <v>1270.5833912705305</v>
      </c>
      <c r="R421" s="43">
        <v>1279.7742175624617</v>
      </c>
      <c r="S421" s="47">
        <v>0</v>
      </c>
      <c r="T421" s="48">
        <v>1260.8066062199639</v>
      </c>
      <c r="U421" s="48">
        <v>1279.7742175624617</v>
      </c>
      <c r="V421" s="48">
        <v>1273.5858279856991</v>
      </c>
      <c r="W421" s="48">
        <v>1265.2550095589609</v>
      </c>
    </row>
    <row r="422" spans="1:23" ht="13.2" x14ac:dyDescent="0.25">
      <c r="A422" s="41">
        <v>420</v>
      </c>
      <c r="B422" s="42">
        <v>0.80902117062780132</v>
      </c>
      <c r="C422" s="14" t="s">
        <v>5078</v>
      </c>
      <c r="D422" s="42">
        <v>0.43617518685580009</v>
      </c>
      <c r="E422" s="43">
        <v>187.44700747423201</v>
      </c>
      <c r="F422" s="42">
        <v>0.97503709652230008</v>
      </c>
      <c r="G422" s="43">
        <v>6.3072837578352932</v>
      </c>
      <c r="H422" s="42">
        <v>9.5224727455165581E-2</v>
      </c>
      <c r="I422" s="43">
        <v>2.4879157905191365</v>
      </c>
      <c r="J422" s="42">
        <v>0.4116032553890735</v>
      </c>
      <c r="K422" s="43">
        <v>2.5918112874306076</v>
      </c>
      <c r="L422" s="43">
        <v>1273.175202557961</v>
      </c>
      <c r="M422" s="44">
        <v>1304.6311720206547</v>
      </c>
      <c r="N422" s="44">
        <v>2343.0875934279002</v>
      </c>
      <c r="O422" s="45" t="s">
        <v>5074</v>
      </c>
      <c r="P422" s="46">
        <v>1</v>
      </c>
      <c r="Q422" s="43">
        <v>1273.175202557961</v>
      </c>
      <c r="R422" s="43">
        <v>1279.4824863157962</v>
      </c>
      <c r="S422" s="47">
        <v>0</v>
      </c>
      <c r="T422" s="48">
        <v>1279.4824863157962</v>
      </c>
      <c r="U422" s="48">
        <v>1279.7742175624617</v>
      </c>
      <c r="V422" s="48">
        <v>1273.5858279856991</v>
      </c>
      <c r="W422" s="48">
        <v>1265.2550095589609</v>
      </c>
    </row>
    <row r="423" spans="1:23" ht="13.2" x14ac:dyDescent="0.25">
      <c r="A423" s="41">
        <v>421</v>
      </c>
      <c r="B423" s="42">
        <v>0.38081244350448828</v>
      </c>
      <c r="C423" s="14" t="s">
        <v>5077</v>
      </c>
      <c r="D423" s="42">
        <v>0.30466025429994809</v>
      </c>
      <c r="E423" s="43">
        <v>42.741942288699533</v>
      </c>
      <c r="F423" s="42">
        <v>8.1924567037226892E-2</v>
      </c>
      <c r="G423" s="43">
        <v>3.1593237921778692</v>
      </c>
      <c r="H423" s="42">
        <v>0.96208358600832689</v>
      </c>
      <c r="I423" s="43">
        <v>1.5693769304592298</v>
      </c>
      <c r="J423" s="42">
        <v>0.65313645622373395</v>
      </c>
      <c r="K423" s="43">
        <v>1.2437057032208929</v>
      </c>
      <c r="L423" s="43">
        <v>1274.418908261182</v>
      </c>
      <c r="M423" s="44">
        <v>297.48391832934874</v>
      </c>
      <c r="N423" s="44">
        <v>534.27427860874423</v>
      </c>
      <c r="O423" s="45" t="s">
        <v>5074</v>
      </c>
      <c r="P423" s="46">
        <v>4</v>
      </c>
      <c r="Q423" s="43">
        <v>1274.418908261182</v>
      </c>
      <c r="R423" s="43">
        <v>1277.5782320533599</v>
      </c>
      <c r="S423" s="47">
        <v>0</v>
      </c>
      <c r="T423" s="48">
        <v>1279.4824863157962</v>
      </c>
      <c r="U423" s="48">
        <v>1279.7742175624617</v>
      </c>
      <c r="V423" s="48">
        <v>1273.5858279856991</v>
      </c>
      <c r="W423" s="48">
        <v>1277.5782320533599</v>
      </c>
    </row>
    <row r="424" spans="1:23" ht="13.2" x14ac:dyDescent="0.25">
      <c r="A424" s="41">
        <v>422</v>
      </c>
      <c r="B424" s="42">
        <v>0.43193175663795869</v>
      </c>
      <c r="C424" s="14" t="s">
        <v>5077</v>
      </c>
      <c r="D424" s="42">
        <v>0.67935374410792893</v>
      </c>
      <c r="E424" s="43">
        <v>46.114183696971359</v>
      </c>
      <c r="F424" s="42">
        <v>0.76304719632633367</v>
      </c>
      <c r="G424" s="43">
        <v>3.4862626542366404</v>
      </c>
      <c r="H424" s="42">
        <v>0.60660103643620433</v>
      </c>
      <c r="I424" s="43">
        <v>1.279251222694934</v>
      </c>
      <c r="J424" s="42">
        <v>6.2309918954181448E-2</v>
      </c>
      <c r="K424" s="43">
        <v>8.1040427828147106</v>
      </c>
      <c r="L424" s="43">
        <v>1282.5229510439967</v>
      </c>
      <c r="M424" s="44">
        <v>320.95471853092067</v>
      </c>
      <c r="N424" s="44">
        <v>576.42729621214198</v>
      </c>
      <c r="O424" s="45" t="s">
        <v>5074</v>
      </c>
      <c r="P424" s="46">
        <v>3</v>
      </c>
      <c r="Q424" s="43">
        <v>1282.5229510439967</v>
      </c>
      <c r="R424" s="43">
        <v>1286.0092136982335</v>
      </c>
      <c r="S424" s="47">
        <v>0</v>
      </c>
      <c r="T424" s="48">
        <v>1279.4824863157962</v>
      </c>
      <c r="U424" s="48">
        <v>1279.7742175624617</v>
      </c>
      <c r="V424" s="48">
        <v>1286.0092136982335</v>
      </c>
      <c r="W424" s="48">
        <v>1277.5782320533599</v>
      </c>
    </row>
    <row r="425" spans="1:23" ht="13.2" x14ac:dyDescent="0.25">
      <c r="A425" s="41">
        <v>423</v>
      </c>
      <c r="B425" s="42">
        <v>0.88998315478208623</v>
      </c>
      <c r="C425" s="14" t="s">
        <v>5075</v>
      </c>
      <c r="D425" s="42">
        <v>0.68284959796948808</v>
      </c>
      <c r="E425" s="43">
        <v>327.79947185786415</v>
      </c>
      <c r="F425" s="42">
        <v>0.6991961080111545</v>
      </c>
      <c r="G425" s="43">
        <v>9.7414002549421976</v>
      </c>
      <c r="H425" s="42">
        <v>0.87382321286658904</v>
      </c>
      <c r="I425" s="43">
        <v>2.99765193912306</v>
      </c>
      <c r="J425" s="42">
        <v>5.5532705064645367E-2</v>
      </c>
      <c r="K425" s="43">
        <v>8.440242777644464</v>
      </c>
      <c r="L425" s="43">
        <v>1290.9631938216412</v>
      </c>
      <c r="M425" s="44">
        <v>2281.4843241307344</v>
      </c>
      <c r="N425" s="44">
        <v>4097.4933982233015</v>
      </c>
      <c r="O425" s="45" t="s">
        <v>5074</v>
      </c>
      <c r="P425" s="46">
        <v>4</v>
      </c>
      <c r="Q425" s="43">
        <v>1290.9631938216412</v>
      </c>
      <c r="R425" s="43">
        <v>1300.7045940765834</v>
      </c>
      <c r="S425" s="47">
        <v>0</v>
      </c>
      <c r="T425" s="48">
        <v>1279.4824863157962</v>
      </c>
      <c r="U425" s="48">
        <v>1279.7742175624617</v>
      </c>
      <c r="V425" s="48">
        <v>1286.0092136982335</v>
      </c>
      <c r="W425" s="48">
        <v>1300.7045940765834</v>
      </c>
    </row>
    <row r="426" spans="1:23" ht="13.2" x14ac:dyDescent="0.25">
      <c r="A426" s="41">
        <v>424</v>
      </c>
      <c r="B426" s="42">
        <v>4.8033674735591593E-2</v>
      </c>
      <c r="C426" s="14" t="s">
        <v>5073</v>
      </c>
      <c r="D426" s="42">
        <v>0.72457520650912788</v>
      </c>
      <c r="E426" s="43">
        <v>366.94902478109532</v>
      </c>
      <c r="F426" s="42">
        <v>1.7750551932375205E-2</v>
      </c>
      <c r="G426" s="43">
        <v>8.4355592275483353</v>
      </c>
      <c r="H426" s="42">
        <v>0.70959118274487143</v>
      </c>
      <c r="I426" s="43">
        <v>3.5333024395378239</v>
      </c>
      <c r="J426" s="42">
        <v>0.73559435304980458</v>
      </c>
      <c r="K426" s="43">
        <v>0.89657361442397798</v>
      </c>
      <c r="L426" s="43">
        <v>1291.8597674360651</v>
      </c>
      <c r="M426" s="44">
        <v>2553.9652124764234</v>
      </c>
      <c r="N426" s="44">
        <v>4586.8628097636911</v>
      </c>
      <c r="O426" s="45" t="s">
        <v>5074</v>
      </c>
      <c r="P426" s="46">
        <v>1</v>
      </c>
      <c r="Q426" s="43">
        <v>1291.8597674360651</v>
      </c>
      <c r="R426" s="43">
        <v>1300.2953266636134</v>
      </c>
      <c r="S426" s="47">
        <v>0</v>
      </c>
      <c r="T426" s="48">
        <v>1300.2953266636134</v>
      </c>
      <c r="U426" s="48">
        <v>1279.7742175624617</v>
      </c>
      <c r="V426" s="48">
        <v>1286.0092136982335</v>
      </c>
      <c r="W426" s="48">
        <v>1300.7045940765834</v>
      </c>
    </row>
    <row r="427" spans="1:23" ht="13.2" x14ac:dyDescent="0.25">
      <c r="A427" s="41">
        <v>425</v>
      </c>
      <c r="B427" s="42">
        <v>0.66264617194544806</v>
      </c>
      <c r="C427" s="14" t="s">
        <v>5079</v>
      </c>
      <c r="D427" s="42">
        <v>0.59149344293004524</v>
      </c>
      <c r="E427" s="43">
        <v>8.7744803287901352</v>
      </c>
      <c r="F427" s="42">
        <v>9.5229079525558785E-2</v>
      </c>
      <c r="G427" s="43">
        <v>1.4504751987478115</v>
      </c>
      <c r="H427" s="42">
        <v>0.65573322663816302</v>
      </c>
      <c r="I427" s="43">
        <v>0.47275560291994978</v>
      </c>
      <c r="J427" s="42">
        <v>0.82120583430920069</v>
      </c>
      <c r="K427" s="43">
        <v>0.57512843576167083</v>
      </c>
      <c r="L427" s="43">
        <v>1292.4348958718267</v>
      </c>
      <c r="M427" s="44">
        <v>61.070383088379337</v>
      </c>
      <c r="N427" s="44">
        <v>109.6810041098767</v>
      </c>
      <c r="O427" s="45" t="s">
        <v>5074</v>
      </c>
      <c r="P427" s="46">
        <v>2</v>
      </c>
      <c r="Q427" s="43">
        <v>1292.4348958718267</v>
      </c>
      <c r="R427" s="43">
        <v>1293.8853710705746</v>
      </c>
      <c r="S427" s="47">
        <v>0</v>
      </c>
      <c r="T427" s="48">
        <v>1300.2953266636134</v>
      </c>
      <c r="U427" s="48">
        <v>1293.8853710705746</v>
      </c>
      <c r="V427" s="48">
        <v>1286.0092136982335</v>
      </c>
      <c r="W427" s="48">
        <v>1300.7045940765834</v>
      </c>
    </row>
    <row r="428" spans="1:23" ht="13.2" x14ac:dyDescent="0.25">
      <c r="A428" s="41">
        <v>426</v>
      </c>
      <c r="B428" s="42">
        <v>0.11348946816916088</v>
      </c>
      <c r="C428" s="14" t="s">
        <v>5073</v>
      </c>
      <c r="D428" s="42">
        <v>0.52914021840744663</v>
      </c>
      <c r="E428" s="43">
        <v>343.49682620889359</v>
      </c>
      <c r="F428" s="42">
        <v>0.59418060099435066</v>
      </c>
      <c r="G428" s="43">
        <v>10.239785281112319</v>
      </c>
      <c r="H428" s="42">
        <v>0.93700606745528336</v>
      </c>
      <c r="I428" s="43">
        <v>3.7826398164140049</v>
      </c>
      <c r="J428" s="42">
        <v>0.49656695150610386</v>
      </c>
      <c r="K428" s="43">
        <v>2.0439035259770741</v>
      </c>
      <c r="L428" s="43">
        <v>1294.4787993978039</v>
      </c>
      <c r="M428" s="44">
        <v>2390.7379104138995</v>
      </c>
      <c r="N428" s="44">
        <v>4293.7103276111702</v>
      </c>
      <c r="O428" s="45" t="s">
        <v>5074</v>
      </c>
      <c r="P428" s="46">
        <v>3</v>
      </c>
      <c r="Q428" s="43">
        <v>1294.4787993978039</v>
      </c>
      <c r="R428" s="43">
        <v>1304.7185846789162</v>
      </c>
      <c r="S428" s="47">
        <v>0</v>
      </c>
      <c r="T428" s="48">
        <v>1300.2953266636134</v>
      </c>
      <c r="U428" s="48">
        <v>1293.8853710705746</v>
      </c>
      <c r="V428" s="48">
        <v>1304.7185846789162</v>
      </c>
      <c r="W428" s="48">
        <v>1300.7045940765834</v>
      </c>
    </row>
    <row r="429" spans="1:23" ht="13.2" x14ac:dyDescent="0.25">
      <c r="A429" s="41">
        <v>427</v>
      </c>
      <c r="B429" s="42">
        <v>0.57709164338982277</v>
      </c>
      <c r="C429" s="14" t="s">
        <v>5076</v>
      </c>
      <c r="D429" s="42">
        <v>0.9398493906202956</v>
      </c>
      <c r="E429" s="43">
        <v>44.398493906202958</v>
      </c>
      <c r="F429" s="42">
        <v>0.27905819345221772</v>
      </c>
      <c r="G429" s="43">
        <v>3.1683667689880202</v>
      </c>
      <c r="H429" s="42">
        <v>0.8115919985862412</v>
      </c>
      <c r="I429" s="43">
        <v>0.97031708727932664</v>
      </c>
      <c r="J429" s="42">
        <v>0.64358270896765535</v>
      </c>
      <c r="K429" s="43">
        <v>1.2867291396815903</v>
      </c>
      <c r="L429" s="43">
        <v>1295.7655285374854</v>
      </c>
      <c r="M429" s="44">
        <v>309.0135175871726</v>
      </c>
      <c r="N429" s="44">
        <v>554.98117382753696</v>
      </c>
      <c r="O429" s="45" t="s">
        <v>5074</v>
      </c>
      <c r="P429" s="46">
        <v>2</v>
      </c>
      <c r="Q429" s="43">
        <v>1295.7655285374854</v>
      </c>
      <c r="R429" s="43">
        <v>1298.9338953064735</v>
      </c>
      <c r="S429" s="47">
        <v>0</v>
      </c>
      <c r="T429" s="48">
        <v>1300.2953266636134</v>
      </c>
      <c r="U429" s="48">
        <v>1298.9338953064735</v>
      </c>
      <c r="V429" s="48">
        <v>1304.7185846789162</v>
      </c>
      <c r="W429" s="48">
        <v>1300.7045940765834</v>
      </c>
    </row>
    <row r="430" spans="1:23" ht="13.2" x14ac:dyDescent="0.25">
      <c r="A430" s="41">
        <v>428</v>
      </c>
      <c r="B430" s="42">
        <v>0.98078033234029094</v>
      </c>
      <c r="C430" s="14" t="s">
        <v>5080</v>
      </c>
      <c r="D430" s="42">
        <v>0.85482466866021267</v>
      </c>
      <c r="E430" s="43">
        <v>106.37061671650531</v>
      </c>
      <c r="F430" s="42">
        <v>0.50373758631932442</v>
      </c>
      <c r="G430" s="43">
        <v>4.4820182966124351</v>
      </c>
      <c r="H430" s="42">
        <v>0.27800411930214808</v>
      </c>
      <c r="I430" s="43">
        <v>1.8327131512740138</v>
      </c>
      <c r="J430" s="42">
        <v>0.27881735389997125</v>
      </c>
      <c r="K430" s="43">
        <v>3.7290462979694321</v>
      </c>
      <c r="L430" s="43">
        <v>1299.4945748354548</v>
      </c>
      <c r="M430" s="44">
        <v>740.33949234687691</v>
      </c>
      <c r="N430" s="44">
        <v>1329.6327089563165</v>
      </c>
      <c r="O430" s="45" t="s">
        <v>5074</v>
      </c>
      <c r="P430" s="46">
        <v>2</v>
      </c>
      <c r="Q430" s="43">
        <v>1299.4945748354548</v>
      </c>
      <c r="R430" s="43">
        <v>1303.9765931320674</v>
      </c>
      <c r="S430" s="47">
        <v>0</v>
      </c>
      <c r="T430" s="48">
        <v>1300.2953266636134</v>
      </c>
      <c r="U430" s="48">
        <v>1303.9765931320674</v>
      </c>
      <c r="V430" s="48">
        <v>1304.7185846789162</v>
      </c>
      <c r="W430" s="48">
        <v>1300.7045940765834</v>
      </c>
    </row>
    <row r="431" spans="1:23" ht="13.2" x14ac:dyDescent="0.25">
      <c r="A431" s="41">
        <v>429</v>
      </c>
      <c r="B431" s="42">
        <v>0.92813629560551436</v>
      </c>
      <c r="C431" s="14" t="s">
        <v>5075</v>
      </c>
      <c r="D431" s="42">
        <v>0.53957871465924134</v>
      </c>
      <c r="E431" s="43">
        <v>317.77051002614689</v>
      </c>
      <c r="F431" s="42">
        <v>0.7321541196350726</v>
      </c>
      <c r="G431" s="43">
        <v>9.8069866980737945</v>
      </c>
      <c r="H431" s="42">
        <v>0.30812151511577962</v>
      </c>
      <c r="I431" s="43">
        <v>2.2850114841399196</v>
      </c>
      <c r="J431" s="42">
        <v>0.43708403894541975</v>
      </c>
      <c r="K431" s="43">
        <v>2.4164373535063541</v>
      </c>
      <c r="L431" s="43">
        <v>1301.9110121889612</v>
      </c>
      <c r="M431" s="44">
        <v>2211.6827497819822</v>
      </c>
      <c r="N431" s="44">
        <v>3972.131375326836</v>
      </c>
      <c r="O431" s="45" t="s">
        <v>5074</v>
      </c>
      <c r="P431" s="46">
        <v>1</v>
      </c>
      <c r="Q431" s="43">
        <v>1301.9110121889612</v>
      </c>
      <c r="R431" s="43">
        <v>1311.717998887035</v>
      </c>
      <c r="S431" s="47">
        <v>0</v>
      </c>
      <c r="T431" s="48">
        <v>1311.717998887035</v>
      </c>
      <c r="U431" s="48">
        <v>1303.9765931320674</v>
      </c>
      <c r="V431" s="48">
        <v>1304.7185846789162</v>
      </c>
      <c r="W431" s="48">
        <v>1300.7045940765834</v>
      </c>
    </row>
    <row r="432" spans="1:23" ht="13.2" x14ac:dyDescent="0.25">
      <c r="A432" s="41">
        <v>430</v>
      </c>
      <c r="B432" s="42">
        <v>0.7820615706881795</v>
      </c>
      <c r="C432" s="14" t="s">
        <v>5078</v>
      </c>
      <c r="D432" s="42">
        <v>0.50808568788137554</v>
      </c>
      <c r="E432" s="43">
        <v>190.32342751525502</v>
      </c>
      <c r="F432" s="42">
        <v>0.80175669249228976</v>
      </c>
      <c r="G432" s="43">
        <v>6.1495985901679839</v>
      </c>
      <c r="H432" s="42">
        <v>0.53070667457334075</v>
      </c>
      <c r="I432" s="43">
        <v>3.1734066296147971</v>
      </c>
      <c r="J432" s="42">
        <v>0.99963013594952888</v>
      </c>
      <c r="K432" s="43">
        <v>1.0800947943049601E-3</v>
      </c>
      <c r="L432" s="43">
        <v>1301.9120922837556</v>
      </c>
      <c r="M432" s="44">
        <v>1324.651055506175</v>
      </c>
      <c r="N432" s="44">
        <v>2379.0428439406878</v>
      </c>
      <c r="O432" s="45" t="s">
        <v>5074</v>
      </c>
      <c r="P432" s="46">
        <v>4</v>
      </c>
      <c r="Q432" s="43">
        <v>1301.9120922837556</v>
      </c>
      <c r="R432" s="43">
        <v>1308.0616908739235</v>
      </c>
      <c r="S432" s="47">
        <v>0</v>
      </c>
      <c r="T432" s="48">
        <v>1311.717998887035</v>
      </c>
      <c r="U432" s="48">
        <v>1303.9765931320674</v>
      </c>
      <c r="V432" s="48">
        <v>1304.7185846789162</v>
      </c>
      <c r="W432" s="48">
        <v>1308.0616908739235</v>
      </c>
    </row>
    <row r="433" spans="1:23" ht="13.2" x14ac:dyDescent="0.25">
      <c r="A433" s="41">
        <v>431</v>
      </c>
      <c r="B433" s="42">
        <v>0.82417733540021687</v>
      </c>
      <c r="C433" s="14" t="s">
        <v>5078</v>
      </c>
      <c r="D433" s="42">
        <v>0.25134299194968446</v>
      </c>
      <c r="E433" s="43">
        <v>180.05371967798737</v>
      </c>
      <c r="F433" s="42">
        <v>0.16581099441545596</v>
      </c>
      <c r="G433" s="43">
        <v>5.5708880049180651</v>
      </c>
      <c r="H433" s="42">
        <v>1.7615332742042529E-2</v>
      </c>
      <c r="I433" s="43">
        <v>2.2098531197173545</v>
      </c>
      <c r="J433" s="42">
        <v>0.63386839424905761</v>
      </c>
      <c r="K433" s="43">
        <v>1.3311355507779166</v>
      </c>
      <c r="L433" s="43">
        <v>1303.2432278345334</v>
      </c>
      <c r="M433" s="44">
        <v>1254.79451854944</v>
      </c>
      <c r="N433" s="44">
        <v>2250.6714959748424</v>
      </c>
      <c r="O433" s="45" t="s">
        <v>5074</v>
      </c>
      <c r="P433" s="46">
        <v>2</v>
      </c>
      <c r="Q433" s="43">
        <v>1303.9765931320674</v>
      </c>
      <c r="R433" s="43">
        <v>1309.5474811369854</v>
      </c>
      <c r="S433" s="43">
        <v>0.73336529753396462</v>
      </c>
      <c r="T433" s="48">
        <v>1311.717998887035</v>
      </c>
      <c r="U433" s="48">
        <v>1309.5474811369854</v>
      </c>
      <c r="V433" s="48">
        <v>1304.7185846789162</v>
      </c>
      <c r="W433" s="48">
        <v>1308.0616908739235</v>
      </c>
    </row>
    <row r="434" spans="1:23" ht="13.2" x14ac:dyDescent="0.25">
      <c r="A434" s="41">
        <v>432</v>
      </c>
      <c r="B434" s="42">
        <v>0.26107335847852442</v>
      </c>
      <c r="C434" s="14" t="s">
        <v>5077</v>
      </c>
      <c r="D434" s="42">
        <v>0.60415741177469373</v>
      </c>
      <c r="E434" s="43">
        <v>45.43741670597224</v>
      </c>
      <c r="F434" s="42">
        <v>0.58797021796366677</v>
      </c>
      <c r="G434" s="43">
        <v>3.4022257046225599</v>
      </c>
      <c r="H434" s="42">
        <v>0.59919191831685226</v>
      </c>
      <c r="I434" s="43">
        <v>1.2753075974809338</v>
      </c>
      <c r="J434" s="42">
        <v>0.39997230442239545</v>
      </c>
      <c r="K434" s="43">
        <v>2.6755035714315114</v>
      </c>
      <c r="L434" s="43">
        <v>1305.918731405965</v>
      </c>
      <c r="M434" s="44">
        <v>316.24442027356679</v>
      </c>
      <c r="N434" s="44">
        <v>567.96770882465296</v>
      </c>
      <c r="O434" s="45" t="s">
        <v>5074</v>
      </c>
      <c r="P434" s="46">
        <v>3</v>
      </c>
      <c r="Q434" s="43">
        <v>1305.918731405965</v>
      </c>
      <c r="R434" s="43">
        <v>1309.3209571105876</v>
      </c>
      <c r="S434" s="47">
        <v>0</v>
      </c>
      <c r="T434" s="48">
        <v>1311.717998887035</v>
      </c>
      <c r="U434" s="48">
        <v>1309.5474811369854</v>
      </c>
      <c r="V434" s="48">
        <v>1309.3209571105876</v>
      </c>
      <c r="W434" s="48">
        <v>1308.0616908739235</v>
      </c>
    </row>
    <row r="435" spans="1:23" ht="13.2" x14ac:dyDescent="0.25">
      <c r="A435" s="41">
        <v>433</v>
      </c>
      <c r="B435" s="42">
        <v>0.3721546336878811</v>
      </c>
      <c r="C435" s="14" t="s">
        <v>5077</v>
      </c>
      <c r="D435" s="42">
        <v>0.16377526622441377</v>
      </c>
      <c r="E435" s="43">
        <v>41.473977396019727</v>
      </c>
      <c r="F435" s="42">
        <v>0.49714813823678911</v>
      </c>
      <c r="G435" s="43">
        <v>3.3586311063536587</v>
      </c>
      <c r="H435" s="42">
        <v>0.97693453728078605</v>
      </c>
      <c r="I435" s="43">
        <v>1.598120373854012</v>
      </c>
      <c r="J435" s="42">
        <v>0.43280324639417384</v>
      </c>
      <c r="K435" s="43">
        <v>2.445173870269326</v>
      </c>
      <c r="L435" s="43">
        <v>1308.3639052762344</v>
      </c>
      <c r="M435" s="44">
        <v>288.65888267629731</v>
      </c>
      <c r="N435" s="44">
        <v>518.42471745024659</v>
      </c>
      <c r="O435" s="45" t="s">
        <v>5074</v>
      </c>
      <c r="P435" s="46">
        <v>4</v>
      </c>
      <c r="Q435" s="43">
        <v>1308.3639052762344</v>
      </c>
      <c r="R435" s="43">
        <v>1311.722536382588</v>
      </c>
      <c r="S435" s="47">
        <v>0</v>
      </c>
      <c r="T435" s="48">
        <v>1311.717998887035</v>
      </c>
      <c r="U435" s="48">
        <v>1309.5474811369854</v>
      </c>
      <c r="V435" s="48">
        <v>1309.3209571105876</v>
      </c>
      <c r="W435" s="48">
        <v>1311.722536382588</v>
      </c>
    </row>
    <row r="436" spans="1:23" ht="13.2" x14ac:dyDescent="0.25">
      <c r="A436" s="41">
        <v>434</v>
      </c>
      <c r="B436" s="42">
        <v>0.29584020809076739</v>
      </c>
      <c r="C436" s="14" t="s">
        <v>5077</v>
      </c>
      <c r="D436" s="42">
        <v>0.89450823045079975</v>
      </c>
      <c r="E436" s="43">
        <v>48.050574074057195</v>
      </c>
      <c r="F436" s="42">
        <v>0.78442706343924029</v>
      </c>
      <c r="G436" s="43">
        <v>3.4965249904508355</v>
      </c>
      <c r="H436" s="42">
        <v>0.92990714727430934</v>
      </c>
      <c r="I436" s="43">
        <v>1.5223999332022626</v>
      </c>
      <c r="J436" s="42">
        <v>0.16645271571653555</v>
      </c>
      <c r="K436" s="43">
        <v>5.2351649622914573</v>
      </c>
      <c r="L436" s="43">
        <v>1313.5990702385259</v>
      </c>
      <c r="M436" s="44">
        <v>334.43199555543805</v>
      </c>
      <c r="N436" s="44">
        <v>600.63217592571493</v>
      </c>
      <c r="O436" s="45" t="s">
        <v>5074</v>
      </c>
      <c r="P436" s="46">
        <v>3</v>
      </c>
      <c r="Q436" s="43">
        <v>1313.5990702385259</v>
      </c>
      <c r="R436" s="43">
        <v>1317.0955952289767</v>
      </c>
      <c r="S436" s="47">
        <v>0</v>
      </c>
      <c r="T436" s="48">
        <v>1311.717998887035</v>
      </c>
      <c r="U436" s="48">
        <v>1309.5474811369854</v>
      </c>
      <c r="V436" s="48">
        <v>1317.0955952289767</v>
      </c>
      <c r="W436" s="48">
        <v>1311.722536382588</v>
      </c>
    </row>
    <row r="437" spans="1:23" ht="13.2" x14ac:dyDescent="0.25">
      <c r="A437" s="41">
        <v>435</v>
      </c>
      <c r="B437" s="42">
        <v>0.17876401225978694</v>
      </c>
      <c r="C437" s="14" t="s">
        <v>5073</v>
      </c>
      <c r="D437" s="42">
        <v>0.63964266778884582</v>
      </c>
      <c r="E437" s="43">
        <v>356.75712013466148</v>
      </c>
      <c r="F437" s="42">
        <v>0.68373717446054205</v>
      </c>
      <c r="G437" s="43">
        <v>10.520097356061497</v>
      </c>
      <c r="H437" s="42">
        <v>9.2454879587728009E-2</v>
      </c>
      <c r="I437" s="43">
        <v>2.8724007510486413</v>
      </c>
      <c r="J437" s="42">
        <v>0.9305817088720304</v>
      </c>
      <c r="K437" s="43">
        <v>0.21005954733874066</v>
      </c>
      <c r="L437" s="43">
        <v>1313.8091297858646</v>
      </c>
      <c r="M437" s="44">
        <v>2483.0295561372441</v>
      </c>
      <c r="N437" s="44">
        <v>4459.4640016832682</v>
      </c>
      <c r="O437" s="45" t="s">
        <v>5074</v>
      </c>
      <c r="P437" s="46">
        <v>2</v>
      </c>
      <c r="Q437" s="43">
        <v>1313.8091297858646</v>
      </c>
      <c r="R437" s="43">
        <v>1324.3292271419261</v>
      </c>
      <c r="S437" s="47">
        <v>0</v>
      </c>
      <c r="T437" s="48">
        <v>1311.717998887035</v>
      </c>
      <c r="U437" s="48">
        <v>1324.3292271419261</v>
      </c>
      <c r="V437" s="48">
        <v>1317.0955952289767</v>
      </c>
      <c r="W437" s="48">
        <v>1311.722536382588</v>
      </c>
    </row>
    <row r="438" spans="1:23" ht="13.2" x14ac:dyDescent="0.25">
      <c r="A438" s="41">
        <v>436</v>
      </c>
      <c r="B438" s="42">
        <v>0.99109616223308084</v>
      </c>
      <c r="C438" s="14" t="s">
        <v>5080</v>
      </c>
      <c r="D438" s="42">
        <v>0.81157696471157348</v>
      </c>
      <c r="E438" s="43">
        <v>105.28942411778934</v>
      </c>
      <c r="F438" s="42">
        <v>0.61932247766262039</v>
      </c>
      <c r="G438" s="43">
        <v>4.5444341379378148</v>
      </c>
      <c r="H438" s="42">
        <v>0.21926731905865823</v>
      </c>
      <c r="I438" s="43">
        <v>1.7619118609216822</v>
      </c>
      <c r="J438" s="42">
        <v>0.40639205901249875</v>
      </c>
      <c r="K438" s="43">
        <v>2.629012913110131</v>
      </c>
      <c r="L438" s="43">
        <v>1316.4381426989746</v>
      </c>
      <c r="M438" s="44">
        <v>732.81439185981378</v>
      </c>
      <c r="N438" s="44">
        <v>1316.1178014723666</v>
      </c>
      <c r="O438" s="45" t="s">
        <v>5074</v>
      </c>
      <c r="P438" s="46">
        <v>1</v>
      </c>
      <c r="Q438" s="43">
        <v>1316.4381426989746</v>
      </c>
      <c r="R438" s="43">
        <v>1320.9825768369124</v>
      </c>
      <c r="S438" s="47">
        <v>0</v>
      </c>
      <c r="T438" s="48">
        <v>1320.9825768369124</v>
      </c>
      <c r="U438" s="48">
        <v>1324.3292271419261</v>
      </c>
      <c r="V438" s="48">
        <v>1317.0955952289767</v>
      </c>
      <c r="W438" s="48">
        <v>1311.722536382588</v>
      </c>
    </row>
    <row r="439" spans="1:23" ht="13.2" x14ac:dyDescent="0.25">
      <c r="A439" s="41">
        <v>437</v>
      </c>
      <c r="B439" s="42">
        <v>0.2141637253640982</v>
      </c>
      <c r="C439" s="14" t="s">
        <v>5073</v>
      </c>
      <c r="D439" s="42">
        <v>0.34709762146095635</v>
      </c>
      <c r="E439" s="43">
        <v>321.65171457531477</v>
      </c>
      <c r="F439" s="42">
        <v>0.14049824426905169</v>
      </c>
      <c r="G439" s="43">
        <v>8.819759504562132</v>
      </c>
      <c r="H439" s="42">
        <v>0.31217788919442235</v>
      </c>
      <c r="I439" s="43">
        <v>3.1843002511994523</v>
      </c>
      <c r="J439" s="42">
        <v>0.37314729177073913</v>
      </c>
      <c r="K439" s="43">
        <v>2.8781957757099907</v>
      </c>
      <c r="L439" s="43">
        <v>1319.3163384746847</v>
      </c>
      <c r="M439" s="44">
        <v>2238.6959334441908</v>
      </c>
      <c r="N439" s="44">
        <v>4020.6464321914345</v>
      </c>
      <c r="O439" s="45" t="s">
        <v>5074</v>
      </c>
      <c r="P439" s="46">
        <v>4</v>
      </c>
      <c r="Q439" s="43">
        <v>1319.3163384746847</v>
      </c>
      <c r="R439" s="43">
        <v>1328.1360979792469</v>
      </c>
      <c r="S439" s="47">
        <v>0</v>
      </c>
      <c r="T439" s="48">
        <v>1320.9825768369124</v>
      </c>
      <c r="U439" s="48">
        <v>1324.3292271419261</v>
      </c>
      <c r="V439" s="48">
        <v>1317.0955952289767</v>
      </c>
      <c r="W439" s="48">
        <v>1328.1360979792469</v>
      </c>
    </row>
    <row r="440" spans="1:23" ht="13.2" x14ac:dyDescent="0.25">
      <c r="A440" s="41">
        <v>438</v>
      </c>
      <c r="B440" s="42">
        <v>0.46797063549420359</v>
      </c>
      <c r="C440" s="14" t="s">
        <v>5077</v>
      </c>
      <c r="D440" s="42">
        <v>0.29418193516050556</v>
      </c>
      <c r="E440" s="43">
        <v>42.647637416444553</v>
      </c>
      <c r="F440" s="42">
        <v>0.65775898641802322</v>
      </c>
      <c r="G440" s="43">
        <v>3.4357243134806512</v>
      </c>
      <c r="H440" s="42">
        <v>0.74900340603152449</v>
      </c>
      <c r="I440" s="43">
        <v>1.3639219327510139</v>
      </c>
      <c r="J440" s="42">
        <v>0.36656056920371977</v>
      </c>
      <c r="K440" s="43">
        <v>2.9301941823434894</v>
      </c>
      <c r="L440" s="43">
        <v>1322.2465326570282</v>
      </c>
      <c r="M440" s="44">
        <v>296.82755641845409</v>
      </c>
      <c r="N440" s="44">
        <v>533.09546770555687</v>
      </c>
      <c r="O440" s="45" t="s">
        <v>5074</v>
      </c>
      <c r="P440" s="46">
        <v>3</v>
      </c>
      <c r="Q440" s="43">
        <v>1322.2465326570282</v>
      </c>
      <c r="R440" s="43">
        <v>1325.6822569705089</v>
      </c>
      <c r="S440" s="47">
        <v>0</v>
      </c>
      <c r="T440" s="48">
        <v>1320.9825768369124</v>
      </c>
      <c r="U440" s="48">
        <v>1324.3292271419261</v>
      </c>
      <c r="V440" s="48">
        <v>1325.6822569705089</v>
      </c>
      <c r="W440" s="48">
        <v>1328.1360979792469</v>
      </c>
    </row>
    <row r="441" spans="1:23" ht="13.2" x14ac:dyDescent="0.25">
      <c r="A441" s="41">
        <v>439</v>
      </c>
      <c r="B441" s="42">
        <v>0.70358976754527058</v>
      </c>
      <c r="C441" s="14" t="s">
        <v>5079</v>
      </c>
      <c r="D441" s="42">
        <v>0.22995923749634961</v>
      </c>
      <c r="E441" s="43">
        <v>7.6898777124890492</v>
      </c>
      <c r="F441" s="42">
        <v>0.37192955723587867</v>
      </c>
      <c r="G441" s="43">
        <v>1.4809122512959467</v>
      </c>
      <c r="H441" s="42">
        <v>0.51839399687871057</v>
      </c>
      <c r="I441" s="43">
        <v>0.43122332603405961</v>
      </c>
      <c r="J441" s="42">
        <v>0.2397904816268899</v>
      </c>
      <c r="K441" s="43">
        <v>4.1693130807063934</v>
      </c>
      <c r="L441" s="43">
        <v>1326.4158457377346</v>
      </c>
      <c r="M441" s="44">
        <v>53.521548878923781</v>
      </c>
      <c r="N441" s="44">
        <v>96.123471406113111</v>
      </c>
      <c r="O441" s="45" t="s">
        <v>5074</v>
      </c>
      <c r="P441" s="46">
        <v>1</v>
      </c>
      <c r="Q441" s="43">
        <v>1326.4158457377346</v>
      </c>
      <c r="R441" s="43">
        <v>1327.8967579890304</v>
      </c>
      <c r="S441" s="47">
        <v>0</v>
      </c>
      <c r="T441" s="48">
        <v>1327.8967579890304</v>
      </c>
      <c r="U441" s="48">
        <v>1324.3292271419261</v>
      </c>
      <c r="V441" s="48">
        <v>1325.6822569705089</v>
      </c>
      <c r="W441" s="48">
        <v>1328.1360979792469</v>
      </c>
    </row>
    <row r="442" spans="1:23" ht="13.2" x14ac:dyDescent="0.25">
      <c r="A442" s="41">
        <v>440</v>
      </c>
      <c r="B442" s="42">
        <v>0.72356594480740188</v>
      </c>
      <c r="C442" s="14" t="s">
        <v>5079</v>
      </c>
      <c r="D442" s="42">
        <v>7.641648644414567E-2</v>
      </c>
      <c r="E442" s="43">
        <v>7.2292494593324372</v>
      </c>
      <c r="F442" s="42">
        <v>0.62423438747610638</v>
      </c>
      <c r="G442" s="43">
        <v>1.5086657826223717</v>
      </c>
      <c r="H442" s="42">
        <v>0.21594961183888353</v>
      </c>
      <c r="I442" s="43">
        <v>0.34695224116660606</v>
      </c>
      <c r="J442" s="42">
        <v>0.99978206353251919</v>
      </c>
      <c r="K442" s="43">
        <v>6.3638020170420811E-4</v>
      </c>
      <c r="L442" s="43">
        <v>1326.4164821179363</v>
      </c>
      <c r="M442" s="44">
        <v>50.31557623695376</v>
      </c>
      <c r="N442" s="44">
        <v>90.365618241655469</v>
      </c>
      <c r="O442" s="45" t="s">
        <v>5074</v>
      </c>
      <c r="P442" s="46">
        <v>2</v>
      </c>
      <c r="Q442" s="43">
        <v>1326.4164821179363</v>
      </c>
      <c r="R442" s="43">
        <v>1327.9251479005586</v>
      </c>
      <c r="S442" s="47">
        <v>0</v>
      </c>
      <c r="T442" s="48">
        <v>1327.8967579890304</v>
      </c>
      <c r="U442" s="48">
        <v>1327.9251479005586</v>
      </c>
      <c r="V442" s="48">
        <v>1325.6822569705089</v>
      </c>
      <c r="W442" s="48">
        <v>1328.1360979792469</v>
      </c>
    </row>
    <row r="443" spans="1:23" ht="13.2" x14ac:dyDescent="0.25">
      <c r="A443" s="41">
        <v>441</v>
      </c>
      <c r="B443" s="42">
        <v>0.71143741240326197</v>
      </c>
      <c r="C443" s="14" t="s">
        <v>5079</v>
      </c>
      <c r="D443" s="42">
        <v>0.83101648550062279</v>
      </c>
      <c r="E443" s="43">
        <v>9.4930494565018684</v>
      </c>
      <c r="F443" s="42">
        <v>0.18766387001968168</v>
      </c>
      <c r="G443" s="43">
        <v>1.460643025702165</v>
      </c>
      <c r="H443" s="42">
        <v>0.67538045657583534</v>
      </c>
      <c r="I443" s="43">
        <v>0.47933525085862783</v>
      </c>
      <c r="J443" s="42">
        <v>0.12661783822188985</v>
      </c>
      <c r="K443" s="43">
        <v>6.0338156991860723</v>
      </c>
      <c r="L443" s="43">
        <v>1332.4502978171224</v>
      </c>
      <c r="M443" s="44">
        <v>66.071624217253003</v>
      </c>
      <c r="N443" s="44">
        <v>118.66311820627335</v>
      </c>
      <c r="O443" s="45" t="s">
        <v>5074</v>
      </c>
      <c r="P443" s="46">
        <v>3</v>
      </c>
      <c r="Q443" s="43">
        <v>1332.4502978171224</v>
      </c>
      <c r="R443" s="43">
        <v>1333.9109408428246</v>
      </c>
      <c r="S443" s="47">
        <v>0</v>
      </c>
      <c r="T443" s="48">
        <v>1327.8967579890304</v>
      </c>
      <c r="U443" s="48">
        <v>1327.9251479005586</v>
      </c>
      <c r="V443" s="48">
        <v>1333.9109408428246</v>
      </c>
      <c r="W443" s="48">
        <v>1328.1360979792469</v>
      </c>
    </row>
    <row r="444" spans="1:23" ht="13.2" x14ac:dyDescent="0.25">
      <c r="A444" s="41">
        <v>442</v>
      </c>
      <c r="B444" s="42">
        <v>2.9302237103368267E-2</v>
      </c>
      <c r="C444" s="14" t="s">
        <v>5073</v>
      </c>
      <c r="D444" s="42">
        <v>0.77835042997186554</v>
      </c>
      <c r="E444" s="43">
        <v>373.40205159662389</v>
      </c>
      <c r="F444" s="42">
        <v>0.2215848654609103</v>
      </c>
      <c r="G444" s="43">
        <v>9.0735606288926505</v>
      </c>
      <c r="H444" s="42">
        <v>2.0317267635984938E-2</v>
      </c>
      <c r="I444" s="43">
        <v>2.6745734843954758</v>
      </c>
      <c r="J444" s="42">
        <v>7.2047733735315381E-2</v>
      </c>
      <c r="K444" s="43">
        <v>7.6800771126616016</v>
      </c>
      <c r="L444" s="43">
        <v>1340.130374929784</v>
      </c>
      <c r="M444" s="44">
        <v>2598.8782791125022</v>
      </c>
      <c r="N444" s="44">
        <v>4667.5256449577982</v>
      </c>
      <c r="O444" s="45" t="s">
        <v>5074</v>
      </c>
      <c r="P444" s="46">
        <v>1</v>
      </c>
      <c r="Q444" s="43">
        <v>1340.130374929784</v>
      </c>
      <c r="R444" s="43">
        <v>1349.2039355586767</v>
      </c>
      <c r="S444" s="47">
        <v>0</v>
      </c>
      <c r="T444" s="48">
        <v>1349.2039355586767</v>
      </c>
      <c r="U444" s="48">
        <v>1327.9251479005586</v>
      </c>
      <c r="V444" s="48">
        <v>1333.9109408428246</v>
      </c>
      <c r="W444" s="48">
        <v>1328.1360979792469</v>
      </c>
    </row>
    <row r="445" spans="1:23" ht="13.2" x14ac:dyDescent="0.25">
      <c r="A445" s="41">
        <v>443</v>
      </c>
      <c r="B445" s="42">
        <v>0.7261317217378559</v>
      </c>
      <c r="C445" s="14" t="s">
        <v>5079</v>
      </c>
      <c r="D445" s="42">
        <v>0.87626165052701799</v>
      </c>
      <c r="E445" s="43">
        <v>9.6287849515810535</v>
      </c>
      <c r="F445" s="42">
        <v>0.89597943047805662</v>
      </c>
      <c r="G445" s="43">
        <v>1.5385577373525863</v>
      </c>
      <c r="H445" s="42">
        <v>0.63365243311675845</v>
      </c>
      <c r="I445" s="43">
        <v>0.46558128267459908</v>
      </c>
      <c r="J445" s="42">
        <v>0.78836961825767982</v>
      </c>
      <c r="K445" s="43">
        <v>0.69427223473069721</v>
      </c>
      <c r="L445" s="43">
        <v>1340.8246471645148</v>
      </c>
      <c r="M445" s="44">
        <v>67.016343263004131</v>
      </c>
      <c r="N445" s="44">
        <v>120.35981189476317</v>
      </c>
      <c r="O445" s="45" t="s">
        <v>5074</v>
      </c>
      <c r="P445" s="46">
        <v>2</v>
      </c>
      <c r="Q445" s="43">
        <v>1340.8246471645148</v>
      </c>
      <c r="R445" s="43">
        <v>1342.3632049018674</v>
      </c>
      <c r="S445" s="47">
        <v>0</v>
      </c>
      <c r="T445" s="48">
        <v>1349.2039355586767</v>
      </c>
      <c r="U445" s="48">
        <v>1342.3632049018674</v>
      </c>
      <c r="V445" s="48">
        <v>1333.9109408428246</v>
      </c>
      <c r="W445" s="48">
        <v>1328.1360979792469</v>
      </c>
    </row>
    <row r="446" spans="1:23" ht="13.2" x14ac:dyDescent="0.25">
      <c r="A446" s="41">
        <v>444</v>
      </c>
      <c r="B446" s="42">
        <v>0.41096631037582004</v>
      </c>
      <c r="C446" s="14" t="s">
        <v>5077</v>
      </c>
      <c r="D446" s="42">
        <v>0.16991425779178471</v>
      </c>
      <c r="E446" s="43">
        <v>41.529228320126066</v>
      </c>
      <c r="F446" s="42">
        <v>2.0868163565578015E-3</v>
      </c>
      <c r="G446" s="43">
        <v>3.1210016718511477</v>
      </c>
      <c r="H446" s="42">
        <v>3.0131845283383432E-2</v>
      </c>
      <c r="I446" s="43">
        <v>0.90415116082895108</v>
      </c>
      <c r="J446" s="42">
        <v>0.68190626971512391</v>
      </c>
      <c r="K446" s="43">
        <v>1.1178483650188453</v>
      </c>
      <c r="L446" s="43">
        <v>1341.9424955295335</v>
      </c>
      <c r="M446" s="44">
        <v>289.04342910807742</v>
      </c>
      <c r="N446" s="44">
        <v>519.11535400157584</v>
      </c>
      <c r="O446" s="45" t="s">
        <v>5074</v>
      </c>
      <c r="P446" s="46">
        <v>4</v>
      </c>
      <c r="Q446" s="43">
        <v>1341.9424955295335</v>
      </c>
      <c r="R446" s="43">
        <v>1345.0634972013847</v>
      </c>
      <c r="S446" s="47">
        <v>0</v>
      </c>
      <c r="T446" s="48">
        <v>1349.2039355586767</v>
      </c>
      <c r="U446" s="48">
        <v>1342.3632049018674</v>
      </c>
      <c r="V446" s="48">
        <v>1333.9109408428246</v>
      </c>
      <c r="W446" s="48">
        <v>1345.0634972013847</v>
      </c>
    </row>
    <row r="447" spans="1:23" ht="13.2" x14ac:dyDescent="0.25">
      <c r="A447" s="41">
        <v>445</v>
      </c>
      <c r="B447" s="42">
        <v>0.50573351257747667</v>
      </c>
      <c r="C447" s="14" t="s">
        <v>5076</v>
      </c>
      <c r="D447" s="42">
        <v>0.54715897028667804</v>
      </c>
      <c r="E447" s="43">
        <v>40.47158970286678</v>
      </c>
      <c r="F447" s="42">
        <v>0.25715237867885848</v>
      </c>
      <c r="G447" s="43">
        <v>3.1582900941922749</v>
      </c>
      <c r="H447" s="42">
        <v>3.5256372781124139E-2</v>
      </c>
      <c r="I447" s="43">
        <v>0.58604555935105584</v>
      </c>
      <c r="J447" s="42">
        <v>0.58603944656720364</v>
      </c>
      <c r="K447" s="43">
        <v>1.5601990560863543</v>
      </c>
      <c r="L447" s="43">
        <v>1343.5026945856198</v>
      </c>
      <c r="M447" s="44">
        <v>281.68226433195281</v>
      </c>
      <c r="N447" s="44">
        <v>505.89487128583477</v>
      </c>
      <c r="O447" s="45" t="s">
        <v>5074</v>
      </c>
      <c r="P447" s="46">
        <v>3</v>
      </c>
      <c r="Q447" s="43">
        <v>1343.5026945856198</v>
      </c>
      <c r="R447" s="43">
        <v>1346.6609846798121</v>
      </c>
      <c r="S447" s="47">
        <v>0</v>
      </c>
      <c r="T447" s="48">
        <v>1349.2039355586767</v>
      </c>
      <c r="U447" s="48">
        <v>1342.3632049018674</v>
      </c>
      <c r="V447" s="48">
        <v>1346.6609846798121</v>
      </c>
      <c r="W447" s="48">
        <v>1345.0634972013847</v>
      </c>
    </row>
    <row r="448" spans="1:23" ht="13.2" x14ac:dyDescent="0.25">
      <c r="A448" s="41">
        <v>446</v>
      </c>
      <c r="B448" s="42">
        <v>0.78193322046749913</v>
      </c>
      <c r="C448" s="14" t="s">
        <v>5078</v>
      </c>
      <c r="D448" s="42">
        <v>0.86593460983873094</v>
      </c>
      <c r="E448" s="43">
        <v>204.63738439354924</v>
      </c>
      <c r="F448" s="42">
        <v>0.27857775952600772</v>
      </c>
      <c r="G448" s="43">
        <v>5.6735057611686672</v>
      </c>
      <c r="H448" s="42">
        <v>0.11731097387024712</v>
      </c>
      <c r="I448" s="43">
        <v>2.5415509529819129</v>
      </c>
      <c r="J448" s="42">
        <v>0.5209173190039198</v>
      </c>
      <c r="K448" s="43">
        <v>1.9041283111005813</v>
      </c>
      <c r="L448" s="43">
        <v>1345.4068228967203</v>
      </c>
      <c r="M448" s="44">
        <v>1424.2761953791028</v>
      </c>
      <c r="N448" s="44">
        <v>2557.9673049193657</v>
      </c>
      <c r="O448" s="45" t="s">
        <v>5074</v>
      </c>
      <c r="P448" s="46">
        <v>2</v>
      </c>
      <c r="Q448" s="43">
        <v>1345.4068228967203</v>
      </c>
      <c r="R448" s="43">
        <v>1351.0803286578889</v>
      </c>
      <c r="S448" s="47">
        <v>0</v>
      </c>
      <c r="T448" s="48">
        <v>1349.2039355586767</v>
      </c>
      <c r="U448" s="48">
        <v>1351.0803286578889</v>
      </c>
      <c r="V448" s="48">
        <v>1346.6609846798121</v>
      </c>
      <c r="W448" s="48">
        <v>1345.0634972013847</v>
      </c>
    </row>
    <row r="449" spans="1:23" ht="13.2" x14ac:dyDescent="0.25">
      <c r="A449" s="41">
        <v>447</v>
      </c>
      <c r="B449" s="42">
        <v>0.37255094543683853</v>
      </c>
      <c r="C449" s="14" t="s">
        <v>5077</v>
      </c>
      <c r="D449" s="42">
        <v>0.83458919955165556</v>
      </c>
      <c r="E449" s="43">
        <v>47.511302795964902</v>
      </c>
      <c r="F449" s="42">
        <v>5.9519665343463264E-2</v>
      </c>
      <c r="G449" s="43">
        <v>3.1485694393648624</v>
      </c>
      <c r="H449" s="42">
        <v>0.44309177410001482</v>
      </c>
      <c r="I449" s="43">
        <v>1.1993908344917361</v>
      </c>
      <c r="J449" s="42">
        <v>0.80741977310153645</v>
      </c>
      <c r="K449" s="43">
        <v>0.62455936063451534</v>
      </c>
      <c r="L449" s="43">
        <v>1346.0313822573548</v>
      </c>
      <c r="M449" s="44">
        <v>330.67866745991569</v>
      </c>
      <c r="N449" s="44">
        <v>593.89128494956128</v>
      </c>
      <c r="O449" s="45" t="s">
        <v>5074</v>
      </c>
      <c r="P449" s="46">
        <v>4</v>
      </c>
      <c r="Q449" s="43">
        <v>1346.0313822573548</v>
      </c>
      <c r="R449" s="43">
        <v>1349.1799516967196</v>
      </c>
      <c r="S449" s="47">
        <v>0</v>
      </c>
      <c r="T449" s="48">
        <v>1349.2039355586767</v>
      </c>
      <c r="U449" s="48">
        <v>1351.0803286578889</v>
      </c>
      <c r="V449" s="48">
        <v>1346.6609846798121</v>
      </c>
      <c r="W449" s="48">
        <v>1349.1799516967196</v>
      </c>
    </row>
    <row r="450" spans="1:23" ht="13.2" x14ac:dyDescent="0.25">
      <c r="A450" s="41">
        <v>448</v>
      </c>
      <c r="B450" s="42">
        <v>0.86995778087058928</v>
      </c>
      <c r="C450" s="14" t="s">
        <v>5081</v>
      </c>
      <c r="D450" s="42">
        <v>0.94733956360599936</v>
      </c>
      <c r="E450" s="43">
        <v>297.89358254423996</v>
      </c>
      <c r="F450" s="42">
        <v>0.85924722201155834</v>
      </c>
      <c r="G450" s="43">
        <v>9.0406547497914431</v>
      </c>
      <c r="H450" s="42">
        <v>0.9543547350700734</v>
      </c>
      <c r="I450" s="43">
        <v>4.6978567726063458</v>
      </c>
      <c r="J450" s="42">
        <v>0.7875284598150889</v>
      </c>
      <c r="K450" s="43">
        <v>0.69738910799308351</v>
      </c>
      <c r="L450" s="43">
        <v>1346.7287713653479</v>
      </c>
      <c r="M450" s="44">
        <v>2073.3393345079103</v>
      </c>
      <c r="N450" s="44">
        <v>3723.6697818029998</v>
      </c>
      <c r="O450" s="45" t="s">
        <v>5074</v>
      </c>
      <c r="P450" s="46">
        <v>3</v>
      </c>
      <c r="Q450" s="43">
        <v>1346.7287713653479</v>
      </c>
      <c r="R450" s="43">
        <v>1355.7694261151394</v>
      </c>
      <c r="S450" s="47">
        <v>0</v>
      </c>
      <c r="T450" s="48">
        <v>1349.2039355586767</v>
      </c>
      <c r="U450" s="48">
        <v>1351.0803286578889</v>
      </c>
      <c r="V450" s="48">
        <v>1355.7694261151394</v>
      </c>
      <c r="W450" s="48">
        <v>1349.1799516967196</v>
      </c>
    </row>
    <row r="451" spans="1:23" ht="13.2" x14ac:dyDescent="0.25">
      <c r="A451" s="41">
        <v>449</v>
      </c>
      <c r="B451" s="42">
        <v>0.28170965671618919</v>
      </c>
      <c r="C451" s="14" t="s">
        <v>5077</v>
      </c>
      <c r="D451" s="42">
        <v>0.23848146071586826</v>
      </c>
      <c r="E451" s="43">
        <v>42.146333146442814</v>
      </c>
      <c r="F451" s="42">
        <v>0.82553402652290375</v>
      </c>
      <c r="G451" s="43">
        <v>3.5162563327309941</v>
      </c>
      <c r="H451" s="42">
        <v>0.49763398221583754</v>
      </c>
      <c r="I451" s="43">
        <v>1.2245373747570971</v>
      </c>
      <c r="J451" s="42">
        <v>0.67638376293535518</v>
      </c>
      <c r="K451" s="43">
        <v>1.1415902696876574</v>
      </c>
      <c r="L451" s="43">
        <v>1347.8703616350356</v>
      </c>
      <c r="M451" s="44">
        <v>294.94212067538456</v>
      </c>
      <c r="N451" s="44">
        <v>526.82916433053515</v>
      </c>
      <c r="O451" s="45" t="s">
        <v>5074</v>
      </c>
      <c r="P451" s="46">
        <v>4</v>
      </c>
      <c r="Q451" s="43">
        <v>1349.1799516967196</v>
      </c>
      <c r="R451" s="43">
        <v>1352.6962080294506</v>
      </c>
      <c r="S451" s="43">
        <v>1.3095900616840481</v>
      </c>
      <c r="T451" s="48">
        <v>1349.2039355586767</v>
      </c>
      <c r="U451" s="48">
        <v>1351.0803286578889</v>
      </c>
      <c r="V451" s="48">
        <v>1355.7694261151394</v>
      </c>
      <c r="W451" s="48">
        <v>1352.6962080294506</v>
      </c>
    </row>
    <row r="452" spans="1:23" ht="13.2" x14ac:dyDescent="0.25">
      <c r="A452" s="41">
        <v>450</v>
      </c>
      <c r="B452" s="42">
        <v>0.15513591801521179</v>
      </c>
      <c r="C452" s="14" t="s">
        <v>5073</v>
      </c>
      <c r="D452" s="42">
        <v>8.6070216300929994E-2</v>
      </c>
      <c r="E452" s="43">
        <v>290.32842595611157</v>
      </c>
      <c r="F452" s="42">
        <v>0.49892425141247188</v>
      </c>
      <c r="G452" s="43">
        <v>9.9416329069210363</v>
      </c>
      <c r="H452" s="42">
        <v>0.36171829065387989</v>
      </c>
      <c r="I452" s="43">
        <v>3.2365985582261345</v>
      </c>
      <c r="J452" s="42">
        <v>0.60988659533201095</v>
      </c>
      <c r="K452" s="43">
        <v>1.4437437909192408</v>
      </c>
      <c r="L452" s="43">
        <v>1349.3141054259547</v>
      </c>
      <c r="M452" s="44">
        <v>2020.6858446545366</v>
      </c>
      <c r="N452" s="44">
        <v>3629.1053244513946</v>
      </c>
      <c r="O452" s="45" t="s">
        <v>5074</v>
      </c>
      <c r="P452" s="46">
        <v>1</v>
      </c>
      <c r="Q452" s="43">
        <v>1349.3141054259547</v>
      </c>
      <c r="R452" s="43">
        <v>1359.2557383328758</v>
      </c>
      <c r="S452" s="47">
        <v>0</v>
      </c>
      <c r="T452" s="48">
        <v>1359.2557383328758</v>
      </c>
      <c r="U452" s="48">
        <v>1351.0803286578889</v>
      </c>
      <c r="V452" s="48">
        <v>1355.7694261151394</v>
      </c>
      <c r="W452" s="48">
        <v>1352.6962080294506</v>
      </c>
    </row>
    <row r="453" spans="1:23" ht="13.2" x14ac:dyDescent="0.25">
      <c r="A453" s="41">
        <v>451</v>
      </c>
      <c r="B453" s="42">
        <v>0.95723096139600083</v>
      </c>
      <c r="C453" s="14" t="s">
        <v>5080</v>
      </c>
      <c r="D453" s="42">
        <v>0.33815362413327843</v>
      </c>
      <c r="E453" s="43">
        <v>93.453840603331955</v>
      </c>
      <c r="F453" s="42">
        <v>0.63334639120537151</v>
      </c>
      <c r="G453" s="43">
        <v>4.552007051250901</v>
      </c>
      <c r="H453" s="42">
        <v>0.37395706697085734</v>
      </c>
      <c r="I453" s="43">
        <v>1.9338243498535834</v>
      </c>
      <c r="J453" s="42">
        <v>0.35903561225116049</v>
      </c>
      <c r="K453" s="43">
        <v>2.9907553195401522</v>
      </c>
      <c r="L453" s="43">
        <v>1352.3048607454948</v>
      </c>
      <c r="M453" s="44">
        <v>650.43873059919042</v>
      </c>
      <c r="N453" s="44">
        <v>1168.1730075416494</v>
      </c>
      <c r="O453" s="45" t="s">
        <v>5074</v>
      </c>
      <c r="P453" s="46">
        <v>2</v>
      </c>
      <c r="Q453" s="43">
        <v>1352.3048607454948</v>
      </c>
      <c r="R453" s="43">
        <v>1356.8568677967457</v>
      </c>
      <c r="S453" s="47">
        <v>0</v>
      </c>
      <c r="T453" s="48">
        <v>1359.2557383328758</v>
      </c>
      <c r="U453" s="48">
        <v>1356.8568677967457</v>
      </c>
      <c r="V453" s="48">
        <v>1355.7694261151394</v>
      </c>
      <c r="W453" s="48">
        <v>1352.6962080294506</v>
      </c>
    </row>
    <row r="454" spans="1:23" ht="13.2" x14ac:dyDescent="0.25">
      <c r="A454" s="41">
        <v>452</v>
      </c>
      <c r="B454" s="42">
        <v>0.22461830881639305</v>
      </c>
      <c r="C454" s="14" t="s">
        <v>5073</v>
      </c>
      <c r="D454" s="42">
        <v>0.26261855255003019</v>
      </c>
      <c r="E454" s="43">
        <v>311.51422630600359</v>
      </c>
      <c r="F454" s="42">
        <v>0.61831928492445465</v>
      </c>
      <c r="G454" s="43">
        <v>10.315339361813542</v>
      </c>
      <c r="H454" s="42">
        <v>0.37987482379184795</v>
      </c>
      <c r="I454" s="43">
        <v>3.2548590833313007</v>
      </c>
      <c r="J454" s="42">
        <v>0.61320807161424684</v>
      </c>
      <c r="K454" s="43">
        <v>1.4278860407852469</v>
      </c>
      <c r="L454" s="43">
        <v>1353.7327467862801</v>
      </c>
      <c r="M454" s="44">
        <v>2168.1390150897851</v>
      </c>
      <c r="N454" s="44">
        <v>3893.9278288250448</v>
      </c>
      <c r="O454" s="45" t="s">
        <v>5074</v>
      </c>
      <c r="P454" s="46">
        <v>4</v>
      </c>
      <c r="Q454" s="43">
        <v>1353.7327467862801</v>
      </c>
      <c r="R454" s="43">
        <v>1364.0480861480937</v>
      </c>
      <c r="S454" s="47">
        <v>0</v>
      </c>
      <c r="T454" s="48">
        <v>1359.2557383328758</v>
      </c>
      <c r="U454" s="48">
        <v>1356.8568677967457</v>
      </c>
      <c r="V454" s="48">
        <v>1355.7694261151394</v>
      </c>
      <c r="W454" s="48">
        <v>1364.0480861480937</v>
      </c>
    </row>
    <row r="455" spans="1:23" ht="13.2" x14ac:dyDescent="0.25">
      <c r="A455" s="41">
        <v>453</v>
      </c>
      <c r="B455" s="42">
        <v>0.63753965014477243</v>
      </c>
      <c r="C455" s="14" t="s">
        <v>5079</v>
      </c>
      <c r="D455" s="42">
        <v>0.15829317325646672</v>
      </c>
      <c r="E455" s="43">
        <v>7.4748795197694005</v>
      </c>
      <c r="F455" s="42">
        <v>0.4163506661617899</v>
      </c>
      <c r="G455" s="43">
        <v>1.485798573277797</v>
      </c>
      <c r="H455" s="42">
        <v>0.56472889919054181</v>
      </c>
      <c r="I455" s="43">
        <v>0.44447961897058247</v>
      </c>
      <c r="J455" s="42">
        <v>0.84306108245768629</v>
      </c>
      <c r="K455" s="43">
        <v>0.49844048225940979</v>
      </c>
      <c r="L455" s="43">
        <v>1354.2311872685395</v>
      </c>
      <c r="M455" s="44">
        <v>52.70887727401746</v>
      </c>
      <c r="N455" s="44">
        <v>93.435993997117507</v>
      </c>
      <c r="O455" s="45" t="s">
        <v>5074</v>
      </c>
      <c r="P455" s="46">
        <v>3</v>
      </c>
      <c r="Q455" s="43">
        <v>1355.7694261151394</v>
      </c>
      <c r="R455" s="43">
        <v>1357.2552246884172</v>
      </c>
      <c r="S455" s="43">
        <v>1.5382388465998247</v>
      </c>
      <c r="T455" s="48">
        <v>1359.2557383328758</v>
      </c>
      <c r="U455" s="48">
        <v>1356.8568677967457</v>
      </c>
      <c r="V455" s="48">
        <v>1357.2552246884172</v>
      </c>
      <c r="W455" s="48">
        <v>1364.0480861480937</v>
      </c>
    </row>
    <row r="456" spans="1:23" ht="13.2" x14ac:dyDescent="0.25">
      <c r="A456" s="41">
        <v>454</v>
      </c>
      <c r="B456" s="42">
        <v>0.72041382627580963</v>
      </c>
      <c r="C456" s="14" t="s">
        <v>5079</v>
      </c>
      <c r="D456" s="42">
        <v>0.29631768786176932</v>
      </c>
      <c r="E456" s="43">
        <v>7.8889530635853085</v>
      </c>
      <c r="F456" s="42">
        <v>0.671524057477491</v>
      </c>
      <c r="G456" s="43">
        <v>1.513867646322524</v>
      </c>
      <c r="H456" s="42">
        <v>5.3908666620919789E-2</v>
      </c>
      <c r="I456" s="43">
        <v>0.27342252149097018</v>
      </c>
      <c r="J456" s="42">
        <v>0.79544313242446774</v>
      </c>
      <c r="K456" s="43">
        <v>0.66819246814896016</v>
      </c>
      <c r="L456" s="43">
        <v>1354.8993797366886</v>
      </c>
      <c r="M456" s="44">
        <v>55.442334643723036</v>
      </c>
      <c r="N456" s="44">
        <v>98.611913294816361</v>
      </c>
      <c r="O456" s="45" t="s">
        <v>5074</v>
      </c>
      <c r="P456" s="46">
        <v>2</v>
      </c>
      <c r="Q456" s="43">
        <v>1356.8568677967457</v>
      </c>
      <c r="R456" s="43">
        <v>1358.3707354430683</v>
      </c>
      <c r="S456" s="43">
        <v>1.9574880600571305</v>
      </c>
      <c r="T456" s="48">
        <v>1359.2557383328758</v>
      </c>
      <c r="U456" s="48">
        <v>1358.3707354430683</v>
      </c>
      <c r="V456" s="48">
        <v>1357.2552246884172</v>
      </c>
      <c r="W456" s="48">
        <v>1364.0480861480937</v>
      </c>
    </row>
    <row r="457" spans="1:23" ht="13.2" x14ac:dyDescent="0.25">
      <c r="A457" s="41">
        <v>455</v>
      </c>
      <c r="B457" s="42">
        <v>0.45213478312461391</v>
      </c>
      <c r="C457" s="14" t="s">
        <v>5077</v>
      </c>
      <c r="D457" s="42">
        <v>0.12201644392777999</v>
      </c>
      <c r="E457" s="43">
        <v>41.098147995350018</v>
      </c>
      <c r="F457" s="42">
        <v>0.89346483391405307</v>
      </c>
      <c r="G457" s="43">
        <v>3.5488631202787455</v>
      </c>
      <c r="H457" s="42">
        <v>2.4806735117364087E-2</v>
      </c>
      <c r="I457" s="43">
        <v>0.89450092402855685</v>
      </c>
      <c r="J457" s="42">
        <v>0.90290717636370432</v>
      </c>
      <c r="K457" s="43">
        <v>0.29820591408312808</v>
      </c>
      <c r="L457" s="43">
        <v>1355.1975856507718</v>
      </c>
      <c r="M457" s="44">
        <v>287.88367006812717</v>
      </c>
      <c r="N457" s="44">
        <v>513.72684994187523</v>
      </c>
      <c r="O457" s="45" t="s">
        <v>5074</v>
      </c>
      <c r="P457" s="46">
        <v>3</v>
      </c>
      <c r="Q457" s="43">
        <v>1357.2552246884172</v>
      </c>
      <c r="R457" s="43">
        <v>1360.8040878086961</v>
      </c>
      <c r="S457" s="43">
        <v>2.0576390376454583</v>
      </c>
      <c r="T457" s="48">
        <v>1359.2557383328758</v>
      </c>
      <c r="U457" s="48">
        <v>1358.3707354430683</v>
      </c>
      <c r="V457" s="48">
        <v>1360.8040878086961</v>
      </c>
      <c r="W457" s="48">
        <v>1364.0480861480937</v>
      </c>
    </row>
    <row r="458" spans="1:23" ht="13.2" x14ac:dyDescent="0.25">
      <c r="A458" s="41">
        <v>456</v>
      </c>
      <c r="B458" s="42">
        <v>3.9872740879595622E-2</v>
      </c>
      <c r="C458" s="14" t="s">
        <v>5073</v>
      </c>
      <c r="D458" s="42">
        <v>0.64614855481597988</v>
      </c>
      <c r="E458" s="43">
        <v>357.5378265779176</v>
      </c>
      <c r="F458" s="42">
        <v>0.89534101490645712</v>
      </c>
      <c r="G458" s="43">
        <v>11.182417376657211</v>
      </c>
      <c r="H458" s="42">
        <v>0.9749731165240394</v>
      </c>
      <c r="I458" s="43">
        <v>3.8629957569745725</v>
      </c>
      <c r="J458" s="42">
        <v>0.5989181225183039</v>
      </c>
      <c r="K458" s="43">
        <v>1.4967310379453846</v>
      </c>
      <c r="L458" s="43">
        <v>1356.6943166887172</v>
      </c>
      <c r="M458" s="44">
        <v>2494.9392715172771</v>
      </c>
      <c r="N458" s="44">
        <v>4469.2228322239698</v>
      </c>
      <c r="O458" s="45" t="s">
        <v>5074</v>
      </c>
      <c r="P458" s="46">
        <v>2</v>
      </c>
      <c r="Q458" s="43">
        <v>1358.3707354430683</v>
      </c>
      <c r="R458" s="43">
        <v>1369.5531528197255</v>
      </c>
      <c r="S458" s="43">
        <v>1.6764187543510616</v>
      </c>
      <c r="T458" s="48">
        <v>1359.2557383328758</v>
      </c>
      <c r="U458" s="48">
        <v>1369.5531528197255</v>
      </c>
      <c r="V458" s="48">
        <v>1360.8040878086961</v>
      </c>
      <c r="W458" s="48">
        <v>1364.0480861480937</v>
      </c>
    </row>
    <row r="459" spans="1:23" ht="13.2" x14ac:dyDescent="0.25">
      <c r="A459" s="41">
        <v>457</v>
      </c>
      <c r="B459" s="42">
        <v>0.66002072564327197</v>
      </c>
      <c r="C459" s="14" t="s">
        <v>5079</v>
      </c>
      <c r="D459" s="42">
        <v>0.47048731309850111</v>
      </c>
      <c r="E459" s="43">
        <v>8.4114619392955028</v>
      </c>
      <c r="F459" s="42">
        <v>0.3669712284426071</v>
      </c>
      <c r="G459" s="43">
        <v>1.4803668351286867</v>
      </c>
      <c r="H459" s="42">
        <v>0.25615937647230896</v>
      </c>
      <c r="I459" s="43">
        <v>0.36004979739828136</v>
      </c>
      <c r="J459" s="42">
        <v>0.1582585159494814</v>
      </c>
      <c r="K459" s="43">
        <v>5.3825559303324626</v>
      </c>
      <c r="L459" s="43">
        <v>1362.0768726190497</v>
      </c>
      <c r="M459" s="44">
        <v>58.543775097496699</v>
      </c>
      <c r="N459" s="44">
        <v>105.14327424119378</v>
      </c>
      <c r="O459" s="45" t="s">
        <v>5074</v>
      </c>
      <c r="P459" s="46">
        <v>1</v>
      </c>
      <c r="Q459" s="43">
        <v>1362.0768726190497</v>
      </c>
      <c r="R459" s="43">
        <v>1363.5572394541784</v>
      </c>
      <c r="S459" s="47">
        <v>0</v>
      </c>
      <c r="T459" s="48">
        <v>1363.5572394541784</v>
      </c>
      <c r="U459" s="48">
        <v>1369.5531528197255</v>
      </c>
      <c r="V459" s="48">
        <v>1360.8040878086961</v>
      </c>
      <c r="W459" s="48">
        <v>1364.0480861480937</v>
      </c>
    </row>
    <row r="460" spans="1:23" ht="13.2" x14ac:dyDescent="0.25">
      <c r="A460" s="41">
        <v>458</v>
      </c>
      <c r="B460" s="42">
        <v>0.72839675644803636</v>
      </c>
      <c r="C460" s="14" t="s">
        <v>5079</v>
      </c>
      <c r="D460" s="42">
        <v>8.316261371744918E-2</v>
      </c>
      <c r="E460" s="43">
        <v>7.2494878411523471</v>
      </c>
      <c r="F460" s="42">
        <v>0.72173398301086111</v>
      </c>
      <c r="G460" s="43">
        <v>1.5193907381311949</v>
      </c>
      <c r="H460" s="42">
        <v>0.73020709945364259</v>
      </c>
      <c r="I460" s="43">
        <v>0.49883107824031658</v>
      </c>
      <c r="J460" s="42">
        <v>0.44435402026602722</v>
      </c>
      <c r="K460" s="43">
        <v>2.3682735512917428</v>
      </c>
      <c r="L460" s="43">
        <v>1364.4451461703416</v>
      </c>
      <c r="M460" s="44">
        <v>50.456435374420337</v>
      </c>
      <c r="N460" s="44">
        <v>90.618598014404341</v>
      </c>
      <c r="O460" s="45" t="s">
        <v>5074</v>
      </c>
      <c r="P460" s="46">
        <v>3</v>
      </c>
      <c r="Q460" s="43">
        <v>1364.4451461703416</v>
      </c>
      <c r="R460" s="43">
        <v>1365.9645369084728</v>
      </c>
      <c r="S460" s="47">
        <v>0</v>
      </c>
      <c r="T460" s="48">
        <v>1363.5572394541784</v>
      </c>
      <c r="U460" s="48">
        <v>1369.5531528197255</v>
      </c>
      <c r="V460" s="48">
        <v>1365.9645369084728</v>
      </c>
      <c r="W460" s="48">
        <v>1364.0480861480937</v>
      </c>
    </row>
    <row r="461" spans="1:23" ht="13.2" x14ac:dyDescent="0.25">
      <c r="A461" s="41">
        <v>459</v>
      </c>
      <c r="B461" s="42">
        <v>0.84771925483258403</v>
      </c>
      <c r="C461" s="14" t="s">
        <v>5081</v>
      </c>
      <c r="D461" s="42">
        <v>0.36478615289776872</v>
      </c>
      <c r="E461" s="43">
        <v>274.59144611591074</v>
      </c>
      <c r="F461" s="42">
        <v>0.14328810439598191</v>
      </c>
      <c r="G461" s="43">
        <v>8.3318552233520222</v>
      </c>
      <c r="H461" s="42">
        <v>0.10410566772525463</v>
      </c>
      <c r="I461" s="43">
        <v>3.4563018030322796</v>
      </c>
      <c r="J461" s="42">
        <v>0.9587063253664907</v>
      </c>
      <c r="K461" s="43">
        <v>0.12312549215452466</v>
      </c>
      <c r="L461" s="43">
        <v>1364.568271662496</v>
      </c>
      <c r="M461" s="44">
        <v>1911.1564649667387</v>
      </c>
      <c r="N461" s="44">
        <v>3432.3930764488841</v>
      </c>
      <c r="O461" s="45" t="s">
        <v>5074</v>
      </c>
      <c r="P461" s="46">
        <v>1</v>
      </c>
      <c r="Q461" s="43">
        <v>1364.568271662496</v>
      </c>
      <c r="R461" s="43">
        <v>1372.9001268858481</v>
      </c>
      <c r="S461" s="47">
        <v>0</v>
      </c>
      <c r="T461" s="48">
        <v>1372.9001268858481</v>
      </c>
      <c r="U461" s="48">
        <v>1369.5531528197255</v>
      </c>
      <c r="V461" s="48">
        <v>1365.9645369084728</v>
      </c>
      <c r="W461" s="48">
        <v>1364.0480861480937</v>
      </c>
    </row>
    <row r="462" spans="1:23" ht="13.2" x14ac:dyDescent="0.25">
      <c r="A462" s="41">
        <v>460</v>
      </c>
      <c r="B462" s="42">
        <v>0.11836660379467839</v>
      </c>
      <c r="C462" s="14" t="s">
        <v>5073</v>
      </c>
      <c r="D462" s="42">
        <v>0.64331728296508883</v>
      </c>
      <c r="E462" s="43">
        <v>357.19807395581063</v>
      </c>
      <c r="F462" s="42">
        <v>0.17256341044444751</v>
      </c>
      <c r="G462" s="43">
        <v>8.9201234746911204</v>
      </c>
      <c r="H462" s="42">
        <v>0.58290598987737019</v>
      </c>
      <c r="I462" s="43">
        <v>3.4350716468891864</v>
      </c>
      <c r="J462" s="42">
        <v>6.493657551004392E-2</v>
      </c>
      <c r="K462" s="43">
        <v>7.983486852074404</v>
      </c>
      <c r="L462" s="43">
        <v>1372.5517585145703</v>
      </c>
      <c r="M462" s="44">
        <v>2486.0985947324421</v>
      </c>
      <c r="N462" s="44">
        <v>4464.9759244476327</v>
      </c>
      <c r="O462" s="45" t="s">
        <v>5074</v>
      </c>
      <c r="P462" s="46">
        <v>4</v>
      </c>
      <c r="Q462" s="43">
        <v>1372.5517585145703</v>
      </c>
      <c r="R462" s="43">
        <v>1381.4718819892614</v>
      </c>
      <c r="S462" s="47">
        <v>0</v>
      </c>
      <c r="T462" s="48">
        <v>1372.9001268858481</v>
      </c>
      <c r="U462" s="48">
        <v>1369.5531528197255</v>
      </c>
      <c r="V462" s="48">
        <v>1365.9645369084728</v>
      </c>
      <c r="W462" s="48">
        <v>1381.4718819892614</v>
      </c>
    </row>
    <row r="463" spans="1:23" ht="13.2" x14ac:dyDescent="0.25">
      <c r="A463" s="41">
        <v>461</v>
      </c>
      <c r="B463" s="42">
        <v>2.5486801762826184E-2</v>
      </c>
      <c r="C463" s="14" t="s">
        <v>5073</v>
      </c>
      <c r="D463" s="42">
        <v>0.89084021416066228</v>
      </c>
      <c r="E463" s="43">
        <v>386.90082569927949</v>
      </c>
      <c r="F463" s="42">
        <v>0.27961172223073044</v>
      </c>
      <c r="G463" s="43">
        <v>9.2551846905821868</v>
      </c>
      <c r="H463" s="42">
        <v>0.17408205250933861</v>
      </c>
      <c r="I463" s="43">
        <v>3.0110020340116153</v>
      </c>
      <c r="J463" s="42">
        <v>0.40058905277428641</v>
      </c>
      <c r="K463" s="43">
        <v>2.6710049144452084</v>
      </c>
      <c r="L463" s="43">
        <v>1375.2227634290155</v>
      </c>
      <c r="M463" s="44">
        <v>2692.8297468669853</v>
      </c>
      <c r="N463" s="44">
        <v>4836.260321240994</v>
      </c>
      <c r="O463" s="45" t="s">
        <v>5074</v>
      </c>
      <c r="P463" s="46">
        <v>3</v>
      </c>
      <c r="Q463" s="43">
        <v>1375.2227634290155</v>
      </c>
      <c r="R463" s="43">
        <v>1384.4779481195976</v>
      </c>
      <c r="S463" s="47">
        <v>0</v>
      </c>
      <c r="T463" s="48">
        <v>1372.9001268858481</v>
      </c>
      <c r="U463" s="48">
        <v>1369.5531528197255</v>
      </c>
      <c r="V463" s="48">
        <v>1384.4779481195976</v>
      </c>
      <c r="W463" s="48">
        <v>1381.4718819892614</v>
      </c>
    </row>
    <row r="464" spans="1:23" ht="13.2" x14ac:dyDescent="0.25">
      <c r="A464" s="41">
        <v>462</v>
      </c>
      <c r="B464" s="42">
        <v>0.96520506495852254</v>
      </c>
      <c r="C464" s="14" t="s">
        <v>5080</v>
      </c>
      <c r="D464" s="42">
        <v>0.43288603072654736</v>
      </c>
      <c r="E464" s="43">
        <v>95.822150768163681</v>
      </c>
      <c r="F464" s="42">
        <v>9.2431052165306657E-2</v>
      </c>
      <c r="G464" s="43">
        <v>4.2599127681692659</v>
      </c>
      <c r="H464" s="42">
        <v>0.26924140298238092</v>
      </c>
      <c r="I464" s="43">
        <v>1.8226617222012516</v>
      </c>
      <c r="J464" s="42">
        <v>0.51843519346715661</v>
      </c>
      <c r="K464" s="43">
        <v>1.918073715666478</v>
      </c>
      <c r="L464" s="43">
        <v>1377.1408371446819</v>
      </c>
      <c r="M464" s="44">
        <v>666.9221693464192</v>
      </c>
      <c r="N464" s="44">
        <v>1197.776884602046</v>
      </c>
      <c r="O464" s="45" t="s">
        <v>5074</v>
      </c>
      <c r="P464" s="46">
        <v>2</v>
      </c>
      <c r="Q464" s="43">
        <v>1377.1408371446819</v>
      </c>
      <c r="R464" s="43">
        <v>1381.4007499128511</v>
      </c>
      <c r="S464" s="47">
        <v>0</v>
      </c>
      <c r="T464" s="48">
        <v>1372.9001268858481</v>
      </c>
      <c r="U464" s="48">
        <v>1381.4007499128511</v>
      </c>
      <c r="V464" s="48">
        <v>1384.4779481195976</v>
      </c>
      <c r="W464" s="48">
        <v>1381.4718819892614</v>
      </c>
    </row>
    <row r="465" spans="1:23" ht="13.2" x14ac:dyDescent="0.25">
      <c r="A465" s="41">
        <v>463</v>
      </c>
      <c r="B465" s="42">
        <v>0.81254186472508216</v>
      </c>
      <c r="C465" s="14" t="s">
        <v>5078</v>
      </c>
      <c r="D465" s="42">
        <v>0.71951746322192134</v>
      </c>
      <c r="E465" s="43">
        <v>198.78069852887685</v>
      </c>
      <c r="F465" s="42">
        <v>0.27760541451983406</v>
      </c>
      <c r="G465" s="43">
        <v>5.6726209272130488</v>
      </c>
      <c r="H465" s="42">
        <v>0.62473957269673219</v>
      </c>
      <c r="I465" s="43">
        <v>3.3137341771814994</v>
      </c>
      <c r="J465" s="42">
        <v>0.10937897400435943</v>
      </c>
      <c r="K465" s="43">
        <v>6.4611287626577223</v>
      </c>
      <c r="L465" s="43">
        <v>1383.6019659073395</v>
      </c>
      <c r="M465" s="44">
        <v>1383.5136617609828</v>
      </c>
      <c r="N465" s="44">
        <v>2484.7587316109607</v>
      </c>
      <c r="O465" s="45" t="s">
        <v>5074</v>
      </c>
      <c r="P465" s="46">
        <v>1</v>
      </c>
      <c r="Q465" s="43">
        <v>1383.6019659073395</v>
      </c>
      <c r="R465" s="43">
        <v>1389.2745868345526</v>
      </c>
      <c r="S465" s="47">
        <v>0</v>
      </c>
      <c r="T465" s="48">
        <v>1389.2745868345526</v>
      </c>
      <c r="U465" s="48">
        <v>1381.4007499128511</v>
      </c>
      <c r="V465" s="48">
        <v>1384.4779481195976</v>
      </c>
      <c r="W465" s="48">
        <v>1381.4718819892614</v>
      </c>
    </row>
    <row r="466" spans="1:23" ht="13.2" x14ac:dyDescent="0.25">
      <c r="A466" s="41">
        <v>464</v>
      </c>
      <c r="B466" s="42">
        <v>0.50884055230246883</v>
      </c>
      <c r="C466" s="14" t="s">
        <v>5076</v>
      </c>
      <c r="D466" s="42">
        <v>0.29245721283017528</v>
      </c>
      <c r="E466" s="43">
        <v>37.924572128301755</v>
      </c>
      <c r="F466" s="42">
        <v>0.81432209341522399</v>
      </c>
      <c r="G466" s="43">
        <v>3.4145881629710031</v>
      </c>
      <c r="H466" s="42">
        <v>0.95467792169874433</v>
      </c>
      <c r="I466" s="43">
        <v>1.0873492923930277</v>
      </c>
      <c r="J466" s="42">
        <v>0.73975154838513191</v>
      </c>
      <c r="K466" s="43">
        <v>0.88011940024681234</v>
      </c>
      <c r="L466" s="43">
        <v>1384.4820853075862</v>
      </c>
      <c r="M466" s="44">
        <v>263.95502201298024</v>
      </c>
      <c r="N466" s="44">
        <v>474.05715160377196</v>
      </c>
      <c r="O466" s="45" t="s">
        <v>5074</v>
      </c>
      <c r="P466" s="46">
        <v>2</v>
      </c>
      <c r="Q466" s="43">
        <v>1384.4820853075862</v>
      </c>
      <c r="R466" s="43">
        <v>1387.8966734705573</v>
      </c>
      <c r="S466" s="47">
        <v>0</v>
      </c>
      <c r="T466" s="48">
        <v>1389.2745868345526</v>
      </c>
      <c r="U466" s="48">
        <v>1387.8966734705573</v>
      </c>
      <c r="V466" s="48">
        <v>1384.4779481195976</v>
      </c>
      <c r="W466" s="48">
        <v>1381.4718819892614</v>
      </c>
    </row>
    <row r="467" spans="1:23" ht="13.2" x14ac:dyDescent="0.25">
      <c r="A467" s="41">
        <v>465</v>
      </c>
      <c r="B467" s="42">
        <v>0.41821170757441395</v>
      </c>
      <c r="C467" s="14" t="s">
        <v>5077</v>
      </c>
      <c r="D467" s="42">
        <v>0.31468624729415695</v>
      </c>
      <c r="E467" s="43">
        <v>42.832176225647416</v>
      </c>
      <c r="F467" s="42">
        <v>0.5979132524681805</v>
      </c>
      <c r="G467" s="43">
        <v>3.4069983611847268</v>
      </c>
      <c r="H467" s="42">
        <v>2.8700544046564282E-2</v>
      </c>
      <c r="I467" s="43">
        <v>0.90164740949361744</v>
      </c>
      <c r="J467" s="42">
        <v>0.24521505331863419</v>
      </c>
      <c r="K467" s="43">
        <v>4.1039990797183572</v>
      </c>
      <c r="L467" s="43">
        <v>1388.5860843873045</v>
      </c>
      <c r="M467" s="44">
        <v>298.11194653050603</v>
      </c>
      <c r="N467" s="44">
        <v>535.40220282059272</v>
      </c>
      <c r="O467" s="45" t="s">
        <v>5074</v>
      </c>
      <c r="P467" s="46">
        <v>4</v>
      </c>
      <c r="Q467" s="43">
        <v>1388.5860843873045</v>
      </c>
      <c r="R467" s="43">
        <v>1391.9930827484893</v>
      </c>
      <c r="S467" s="47">
        <v>0</v>
      </c>
      <c r="T467" s="48">
        <v>1389.2745868345526</v>
      </c>
      <c r="U467" s="48">
        <v>1387.8966734705573</v>
      </c>
      <c r="V467" s="48">
        <v>1384.4779481195976</v>
      </c>
      <c r="W467" s="48">
        <v>1391.9930827484893</v>
      </c>
    </row>
    <row r="468" spans="1:23" ht="13.2" x14ac:dyDescent="0.25">
      <c r="A468" s="41">
        <v>466</v>
      </c>
      <c r="B468" s="42">
        <v>5.8761145481262891E-2</v>
      </c>
      <c r="C468" s="14" t="s">
        <v>5073</v>
      </c>
      <c r="D468" s="42">
        <v>0.86781814501984889</v>
      </c>
      <c r="E468" s="43">
        <v>384.13817740238187</v>
      </c>
      <c r="F468" s="42">
        <v>0.46997510989661101</v>
      </c>
      <c r="G468" s="43">
        <v>9.8510220939763933</v>
      </c>
      <c r="H468" s="42">
        <v>0.7919366023465696</v>
      </c>
      <c r="I468" s="43">
        <v>3.6049714589550867</v>
      </c>
      <c r="J468" s="42">
        <v>0.74515686963924987</v>
      </c>
      <c r="K468" s="43">
        <v>0.85886283063869029</v>
      </c>
      <c r="L468" s="43">
        <v>1389.4449472179431</v>
      </c>
      <c r="M468" s="44">
        <v>2673.601714720578</v>
      </c>
      <c r="N468" s="44">
        <v>4801.727217529773</v>
      </c>
      <c r="O468" s="45" t="s">
        <v>5074</v>
      </c>
      <c r="P468" s="46">
        <v>3</v>
      </c>
      <c r="Q468" s="43">
        <v>1389.4449472179431</v>
      </c>
      <c r="R468" s="43">
        <v>1399.2959693119194</v>
      </c>
      <c r="S468" s="47">
        <v>0</v>
      </c>
      <c r="T468" s="48">
        <v>1389.2745868345526</v>
      </c>
      <c r="U468" s="48">
        <v>1387.8966734705573</v>
      </c>
      <c r="V468" s="48">
        <v>1399.2959693119194</v>
      </c>
      <c r="W468" s="48">
        <v>1391.9930827484893</v>
      </c>
    </row>
    <row r="469" spans="1:23" ht="13.2" x14ac:dyDescent="0.25">
      <c r="A469" s="41">
        <v>467</v>
      </c>
      <c r="B469" s="42">
        <v>0.71057221838765416</v>
      </c>
      <c r="C469" s="14" t="s">
        <v>5079</v>
      </c>
      <c r="D469" s="42">
        <v>0.69394765593760999</v>
      </c>
      <c r="E469" s="43">
        <v>9.081842967812829</v>
      </c>
      <c r="F469" s="42">
        <v>0.69413549625041682</v>
      </c>
      <c r="G469" s="43">
        <v>1.516354904587546</v>
      </c>
      <c r="H469" s="42">
        <v>0.35903217101424567</v>
      </c>
      <c r="I469" s="43">
        <v>0.38948144263073514</v>
      </c>
      <c r="J469" s="42">
        <v>0.49659343319786409</v>
      </c>
      <c r="K469" s="43">
        <v>2.0437478234152966</v>
      </c>
      <c r="L469" s="43">
        <v>1391.4886950413584</v>
      </c>
      <c r="M469" s="44">
        <v>63.209627055977286</v>
      </c>
      <c r="N469" s="44">
        <v>113.52303709766036</v>
      </c>
      <c r="O469" s="45" t="s">
        <v>5074</v>
      </c>
      <c r="P469" s="46">
        <v>2</v>
      </c>
      <c r="Q469" s="43">
        <v>1391.4886950413584</v>
      </c>
      <c r="R469" s="43">
        <v>1393.005049945946</v>
      </c>
      <c r="S469" s="47">
        <v>0</v>
      </c>
      <c r="T469" s="48">
        <v>1389.2745868345526</v>
      </c>
      <c r="U469" s="48">
        <v>1393.005049945946</v>
      </c>
      <c r="V469" s="48">
        <v>1399.2959693119194</v>
      </c>
      <c r="W469" s="48">
        <v>1391.9930827484893</v>
      </c>
    </row>
    <row r="470" spans="1:23" ht="13.2" x14ac:dyDescent="0.25">
      <c r="A470" s="41">
        <v>468</v>
      </c>
      <c r="B470" s="42">
        <v>0.656529620595523</v>
      </c>
      <c r="C470" s="14" t="s">
        <v>5079</v>
      </c>
      <c r="D470" s="42">
        <v>0.43885770879632685</v>
      </c>
      <c r="E470" s="43">
        <v>8.3165731263889811</v>
      </c>
      <c r="F470" s="42">
        <v>9.9870151886656017E-2</v>
      </c>
      <c r="G470" s="43">
        <v>1.4509857167075322</v>
      </c>
      <c r="H470" s="42">
        <v>0.83670508202011928</v>
      </c>
      <c r="I470" s="43">
        <v>0.54349364965924829</v>
      </c>
      <c r="J470" s="42">
        <v>0.99878548504728148</v>
      </c>
      <c r="K470" s="43">
        <v>3.5481841567986711E-3</v>
      </c>
      <c r="L470" s="43">
        <v>1391.4922432255153</v>
      </c>
      <c r="M470" s="44">
        <v>57.883348959667309</v>
      </c>
      <c r="N470" s="44">
        <v>103.95716407986227</v>
      </c>
      <c r="O470" s="45" t="s">
        <v>5074</v>
      </c>
      <c r="P470" s="46">
        <v>1</v>
      </c>
      <c r="Q470" s="43">
        <v>1391.4922432255153</v>
      </c>
      <c r="R470" s="43">
        <v>1392.9432289422227</v>
      </c>
      <c r="S470" s="47">
        <v>0</v>
      </c>
      <c r="T470" s="48">
        <v>1392.9432289422227</v>
      </c>
      <c r="U470" s="48">
        <v>1393.005049945946</v>
      </c>
      <c r="V470" s="48">
        <v>1399.2959693119194</v>
      </c>
      <c r="W470" s="48">
        <v>1391.9930827484893</v>
      </c>
    </row>
    <row r="471" spans="1:23" ht="13.2" x14ac:dyDescent="0.25">
      <c r="A471" s="41">
        <v>469</v>
      </c>
      <c r="B471" s="42">
        <v>0.88163427211420342</v>
      </c>
      <c r="C471" s="14" t="s">
        <v>5075</v>
      </c>
      <c r="D471" s="42">
        <v>0.75892684038678504</v>
      </c>
      <c r="E471" s="43">
        <v>333.12487882707495</v>
      </c>
      <c r="F471" s="42">
        <v>0.17113075925555582</v>
      </c>
      <c r="G471" s="43">
        <v>8.6905502109185555</v>
      </c>
      <c r="H471" s="42">
        <v>0.89918579994662939</v>
      </c>
      <c r="I471" s="43">
        <v>3.0509694886683745</v>
      </c>
      <c r="J471" s="42">
        <v>0.71579210912612834</v>
      </c>
      <c r="K471" s="43">
        <v>0.97624964836153871</v>
      </c>
      <c r="L471" s="43">
        <v>1392.4684928738768</v>
      </c>
      <c r="M471" s="44">
        <v>2318.5491566364417</v>
      </c>
      <c r="N471" s="44">
        <v>4164.0609853384367</v>
      </c>
      <c r="O471" s="45" t="s">
        <v>5074</v>
      </c>
      <c r="P471" s="46">
        <v>4</v>
      </c>
      <c r="Q471" s="43">
        <v>1392.4684928738768</v>
      </c>
      <c r="R471" s="43">
        <v>1401.1590430847953</v>
      </c>
      <c r="S471" s="47">
        <v>0</v>
      </c>
      <c r="T471" s="48">
        <v>1392.9432289422227</v>
      </c>
      <c r="U471" s="48">
        <v>1393.005049945946</v>
      </c>
      <c r="V471" s="48">
        <v>1399.2959693119194</v>
      </c>
      <c r="W471" s="48">
        <v>1401.1590430847953</v>
      </c>
    </row>
    <row r="472" spans="1:23" ht="13.2" x14ac:dyDescent="0.25">
      <c r="A472" s="41">
        <v>470</v>
      </c>
      <c r="B472" s="42">
        <v>0.3325791146292254</v>
      </c>
      <c r="C472" s="14" t="s">
        <v>5077</v>
      </c>
      <c r="D472" s="42">
        <v>0.72291415730626984</v>
      </c>
      <c r="E472" s="43">
        <v>46.506227415756427</v>
      </c>
      <c r="F472" s="42">
        <v>0.1598261646739329</v>
      </c>
      <c r="G472" s="43">
        <v>3.1967165590434878</v>
      </c>
      <c r="H472" s="42">
        <v>0.11888982407697003</v>
      </c>
      <c r="I472" s="43">
        <v>1.0068824223265698</v>
      </c>
      <c r="J472" s="42">
        <v>0.55655766444120447</v>
      </c>
      <c r="K472" s="43">
        <v>1.7109036315160966</v>
      </c>
      <c r="L472" s="43">
        <v>1394.179396505393</v>
      </c>
      <c r="M472" s="44">
        <v>323.68334281366475</v>
      </c>
      <c r="N472" s="44">
        <v>581.32784269695537</v>
      </c>
      <c r="O472" s="45" t="s">
        <v>5074</v>
      </c>
      <c r="P472" s="46">
        <v>1</v>
      </c>
      <c r="Q472" s="43">
        <v>1394.179396505393</v>
      </c>
      <c r="R472" s="43">
        <v>1397.3761130644366</v>
      </c>
      <c r="S472" s="47">
        <v>0</v>
      </c>
      <c r="T472" s="48">
        <v>1397.3761130644366</v>
      </c>
      <c r="U472" s="48">
        <v>1393.005049945946</v>
      </c>
      <c r="V472" s="48">
        <v>1399.2959693119194</v>
      </c>
      <c r="W472" s="48">
        <v>1401.1590430847953</v>
      </c>
    </row>
    <row r="473" spans="1:23" ht="13.2" x14ac:dyDescent="0.25">
      <c r="A473" s="41">
        <v>471</v>
      </c>
      <c r="B473" s="42">
        <v>0.61853994178517724</v>
      </c>
      <c r="C473" s="14" t="s">
        <v>5076</v>
      </c>
      <c r="D473" s="42">
        <v>0.66873591796901821</v>
      </c>
      <c r="E473" s="43">
        <v>41.687359179690183</v>
      </c>
      <c r="F473" s="42">
        <v>0.125993325899352</v>
      </c>
      <c r="G473" s="43">
        <v>3.097956929913702</v>
      </c>
      <c r="H473" s="42">
        <v>0.51292856480596982</v>
      </c>
      <c r="I473" s="43">
        <v>0.83070336874765771</v>
      </c>
      <c r="J473" s="42">
        <v>0.89146960288820309</v>
      </c>
      <c r="K473" s="43">
        <v>0.33542755869277774</v>
      </c>
      <c r="L473" s="43">
        <v>1394.5148240640858</v>
      </c>
      <c r="M473" s="44">
        <v>290.14401989064368</v>
      </c>
      <c r="N473" s="44">
        <v>521.0919897461273</v>
      </c>
      <c r="O473" s="45" t="s">
        <v>5074</v>
      </c>
      <c r="P473" s="46">
        <v>2</v>
      </c>
      <c r="Q473" s="43">
        <v>1394.5148240640858</v>
      </c>
      <c r="R473" s="43">
        <v>1397.6127809939994</v>
      </c>
      <c r="S473" s="47">
        <v>0</v>
      </c>
      <c r="T473" s="48">
        <v>1397.3761130644366</v>
      </c>
      <c r="U473" s="48">
        <v>1397.6127809939994</v>
      </c>
      <c r="V473" s="48">
        <v>1399.2959693119194</v>
      </c>
      <c r="W473" s="48">
        <v>1401.1590430847953</v>
      </c>
    </row>
    <row r="474" spans="1:23" ht="13.2" x14ac:dyDescent="0.25">
      <c r="A474" s="41">
        <v>472</v>
      </c>
      <c r="B474" s="42">
        <v>0.9128834320757927</v>
      </c>
      <c r="C474" s="14" t="s">
        <v>5075</v>
      </c>
      <c r="D474" s="42">
        <v>0.76691190468469261</v>
      </c>
      <c r="E474" s="43">
        <v>333.68383332792848</v>
      </c>
      <c r="F474" s="42">
        <v>0.51028123382026391</v>
      </c>
      <c r="G474" s="43">
        <v>9.3654596553023257</v>
      </c>
      <c r="H474" s="42">
        <v>0.3428606206285118</v>
      </c>
      <c r="I474" s="43">
        <v>2.3280828710081036</v>
      </c>
      <c r="J474" s="42">
        <v>0.54668761954954248</v>
      </c>
      <c r="K474" s="43">
        <v>1.7631466251744048</v>
      </c>
      <c r="L474" s="43">
        <v>1396.2779706892602</v>
      </c>
      <c r="M474" s="44">
        <v>2324.9960464159585</v>
      </c>
      <c r="N474" s="44">
        <v>4171.0479165991064</v>
      </c>
      <c r="O474" s="45" t="s">
        <v>5074</v>
      </c>
      <c r="P474" s="46">
        <v>1</v>
      </c>
      <c r="Q474" s="43">
        <v>1397.3761130644366</v>
      </c>
      <c r="R474" s="43">
        <v>1406.741572719739</v>
      </c>
      <c r="S474" s="43">
        <v>1.0981423751763941</v>
      </c>
      <c r="T474" s="48">
        <v>1406.741572719739</v>
      </c>
      <c r="U474" s="48">
        <v>1397.6127809939994</v>
      </c>
      <c r="V474" s="48">
        <v>1399.2959693119194</v>
      </c>
      <c r="W474" s="48">
        <v>1401.1590430847953</v>
      </c>
    </row>
    <row r="475" spans="1:23" ht="13.2" x14ac:dyDescent="0.25">
      <c r="A475" s="41">
        <v>473</v>
      </c>
      <c r="B475" s="42">
        <v>0.68206664811916029</v>
      </c>
      <c r="C475" s="14" t="s">
        <v>5079</v>
      </c>
      <c r="D475" s="42">
        <v>0.45959649116713391</v>
      </c>
      <c r="E475" s="43">
        <v>8.378789473501401</v>
      </c>
      <c r="F475" s="42">
        <v>0.32159591946825195</v>
      </c>
      <c r="G475" s="43">
        <v>1.4753755511415076</v>
      </c>
      <c r="H475" s="42">
        <v>0.91998883798717934</v>
      </c>
      <c r="I475" s="43">
        <v>0.59044784665775341</v>
      </c>
      <c r="J475" s="42">
        <v>0.89268655557776178</v>
      </c>
      <c r="K475" s="43">
        <v>0.33144455858034311</v>
      </c>
      <c r="L475" s="43">
        <v>1396.6094152478406</v>
      </c>
      <c r="M475" s="44">
        <v>58.908809879799371</v>
      </c>
      <c r="N475" s="44">
        <v>104.73486841876752</v>
      </c>
      <c r="O475" s="45" t="s">
        <v>5074</v>
      </c>
      <c r="P475" s="46">
        <v>2</v>
      </c>
      <c r="Q475" s="43">
        <v>1397.6127809939994</v>
      </c>
      <c r="R475" s="43">
        <v>1399.0881565451409</v>
      </c>
      <c r="S475" s="43">
        <v>1.0033657461588064</v>
      </c>
      <c r="T475" s="48">
        <v>1406.741572719739</v>
      </c>
      <c r="U475" s="48">
        <v>1399.0881565451409</v>
      </c>
      <c r="V475" s="48">
        <v>1399.2959693119194</v>
      </c>
      <c r="W475" s="48">
        <v>1401.1590430847953</v>
      </c>
    </row>
    <row r="476" spans="1:23" ht="13.2" x14ac:dyDescent="0.25">
      <c r="A476" s="41">
        <v>474</v>
      </c>
      <c r="B476" s="42">
        <v>0.56105901978959283</v>
      </c>
      <c r="C476" s="14" t="s">
        <v>5076</v>
      </c>
      <c r="D476" s="42">
        <v>0.23705121792715564</v>
      </c>
      <c r="E476" s="43">
        <v>37.370512179271557</v>
      </c>
      <c r="F476" s="42">
        <v>0.15065614467051633</v>
      </c>
      <c r="G476" s="43">
        <v>3.1093018265484376</v>
      </c>
      <c r="H476" s="42">
        <v>0.39134363708614539</v>
      </c>
      <c r="I476" s="43">
        <v>0.78667431658258213</v>
      </c>
      <c r="J476" s="42">
        <v>0.73965676209873366</v>
      </c>
      <c r="K476" s="43">
        <v>0.88049353398645991</v>
      </c>
      <c r="L476" s="43">
        <v>1397.4899087818271</v>
      </c>
      <c r="M476" s="44">
        <v>261.35606523466453</v>
      </c>
      <c r="N476" s="44">
        <v>467.13140224089449</v>
      </c>
      <c r="O476" s="45" t="s">
        <v>5074</v>
      </c>
      <c r="P476" s="46">
        <v>2</v>
      </c>
      <c r="Q476" s="43">
        <v>1399.0881565451409</v>
      </c>
      <c r="R476" s="43">
        <v>1402.1974583716894</v>
      </c>
      <c r="S476" s="43">
        <v>1.5982477633137933</v>
      </c>
      <c r="T476" s="48">
        <v>1406.741572719739</v>
      </c>
      <c r="U476" s="48">
        <v>1402.1974583716894</v>
      </c>
      <c r="V476" s="48">
        <v>1399.2959693119194</v>
      </c>
      <c r="W476" s="48">
        <v>1401.1590430847953</v>
      </c>
    </row>
    <row r="477" spans="1:23" ht="13.2" x14ac:dyDescent="0.25">
      <c r="A477" s="41">
        <v>475</v>
      </c>
      <c r="B477" s="42">
        <v>0.64406834060515661</v>
      </c>
      <c r="C477" s="14" t="s">
        <v>5079</v>
      </c>
      <c r="D477" s="42">
        <v>0.32678174428957596</v>
      </c>
      <c r="E477" s="43">
        <v>7.9803452328687277</v>
      </c>
      <c r="F477" s="42">
        <v>0.85504955232844204</v>
      </c>
      <c r="G477" s="43">
        <v>1.5340554507561286</v>
      </c>
      <c r="H477" s="42">
        <v>0.82822544585365121</v>
      </c>
      <c r="I477" s="43">
        <v>0.53948151781818909</v>
      </c>
      <c r="J477" s="42">
        <v>0.43239549474436578</v>
      </c>
      <c r="K477" s="43">
        <v>2.4479258757852755</v>
      </c>
      <c r="L477" s="43">
        <v>1399.9378346576125</v>
      </c>
      <c r="M477" s="44">
        <v>55.543202820766346</v>
      </c>
      <c r="N477" s="44">
        <v>99.754315410859093</v>
      </c>
      <c r="O477" s="45" t="s">
        <v>5074</v>
      </c>
      <c r="P477" s="46">
        <v>3</v>
      </c>
      <c r="Q477" s="43">
        <v>1399.9378346576125</v>
      </c>
      <c r="R477" s="43">
        <v>1401.4718901083686</v>
      </c>
      <c r="S477" s="47">
        <v>0</v>
      </c>
      <c r="T477" s="48">
        <v>1406.741572719739</v>
      </c>
      <c r="U477" s="48">
        <v>1402.1974583716894</v>
      </c>
      <c r="V477" s="48">
        <v>1401.4718901083686</v>
      </c>
      <c r="W477" s="48">
        <v>1401.1590430847953</v>
      </c>
    </row>
    <row r="478" spans="1:23" ht="13.2" x14ac:dyDescent="0.25">
      <c r="A478" s="41">
        <v>476</v>
      </c>
      <c r="B478" s="42">
        <v>0.58302531139134672</v>
      </c>
      <c r="C478" s="14" t="s">
        <v>5076</v>
      </c>
      <c r="D478" s="42">
        <v>0.67857962738656419</v>
      </c>
      <c r="E478" s="43">
        <v>41.785796273865643</v>
      </c>
      <c r="F478" s="42">
        <v>0.22641156670935991</v>
      </c>
      <c r="G478" s="43">
        <v>3.1441493206863056</v>
      </c>
      <c r="H478" s="42">
        <v>0.18521284320634457</v>
      </c>
      <c r="I478" s="43">
        <v>0.69721738532221844</v>
      </c>
      <c r="J478" s="42">
        <v>0.87997398659585691</v>
      </c>
      <c r="K478" s="43">
        <v>0.37332243104623897</v>
      </c>
      <c r="L478" s="43">
        <v>1400.3111570886588</v>
      </c>
      <c r="M478" s="44">
        <v>291.42030292338245</v>
      </c>
      <c r="N478" s="44">
        <v>522.32245342332055</v>
      </c>
      <c r="O478" s="45" t="s">
        <v>5074</v>
      </c>
      <c r="P478" s="46">
        <v>4</v>
      </c>
      <c r="Q478" s="43">
        <v>1401.1590430847953</v>
      </c>
      <c r="R478" s="43">
        <v>1404.3031924054815</v>
      </c>
      <c r="S478" s="43">
        <v>0.8478859961364833</v>
      </c>
      <c r="T478" s="48">
        <v>1406.741572719739</v>
      </c>
      <c r="U478" s="48">
        <v>1402.1974583716894</v>
      </c>
      <c r="V478" s="48">
        <v>1401.4718901083686</v>
      </c>
      <c r="W478" s="48">
        <v>1404.3031924054815</v>
      </c>
    </row>
    <row r="479" spans="1:23" ht="13.2" x14ac:dyDescent="0.25">
      <c r="A479" s="41">
        <v>477</v>
      </c>
      <c r="B479" s="42">
        <v>0.17217441469997838</v>
      </c>
      <c r="C479" s="14" t="s">
        <v>5073</v>
      </c>
      <c r="D479" s="42">
        <v>8.9764427435474664E-2</v>
      </c>
      <c r="E479" s="43">
        <v>290.77173129225696</v>
      </c>
      <c r="F479" s="42">
        <v>0.60571297938270163</v>
      </c>
      <c r="G479" s="43">
        <v>10.275881625467857</v>
      </c>
      <c r="H479" s="42">
        <v>0.86914293741301774</v>
      </c>
      <c r="I479" s="43">
        <v>3.686722492125214</v>
      </c>
      <c r="J479" s="42">
        <v>0.62003334919923603</v>
      </c>
      <c r="K479" s="43">
        <v>1.3955679222147506</v>
      </c>
      <c r="L479" s="43">
        <v>1401.7067250108735</v>
      </c>
      <c r="M479" s="44">
        <v>2023.7712497941084</v>
      </c>
      <c r="N479" s="44">
        <v>3634.6466411532119</v>
      </c>
      <c r="O479" s="45" t="s">
        <v>5074</v>
      </c>
      <c r="P479" s="46">
        <v>3</v>
      </c>
      <c r="Q479" s="43">
        <v>1401.7067250108735</v>
      </c>
      <c r="R479" s="43">
        <v>1411.9826066363414</v>
      </c>
      <c r="S479" s="47">
        <v>0</v>
      </c>
      <c r="T479" s="48">
        <v>1406.741572719739</v>
      </c>
      <c r="U479" s="48">
        <v>1402.1974583716894</v>
      </c>
      <c r="V479" s="48">
        <v>1411.9826066363414</v>
      </c>
      <c r="W479" s="48">
        <v>1404.3031924054815</v>
      </c>
    </row>
    <row r="480" spans="1:23" ht="13.2" x14ac:dyDescent="0.25">
      <c r="A480" s="41">
        <v>478</v>
      </c>
      <c r="B480" s="42">
        <v>0.48271180432416116</v>
      </c>
      <c r="C480" s="14" t="s">
        <v>5077</v>
      </c>
      <c r="D480" s="42">
        <v>0.33822862028061812</v>
      </c>
      <c r="E480" s="43">
        <v>43.044057582525561</v>
      </c>
      <c r="F480" s="42">
        <v>0.46630854181307768</v>
      </c>
      <c r="G480" s="43">
        <v>3.3438281000702772</v>
      </c>
      <c r="H480" s="42">
        <v>0.69769735899646645</v>
      </c>
      <c r="I480" s="43">
        <v>1.3311691601132165</v>
      </c>
      <c r="J480" s="42">
        <v>0.1686195392015481</v>
      </c>
      <c r="K480" s="43">
        <v>5.1974024795739382</v>
      </c>
      <c r="L480" s="43">
        <v>1406.9041274904473</v>
      </c>
      <c r="M480" s="44">
        <v>299.58664077437788</v>
      </c>
      <c r="N480" s="44">
        <v>538.05071978156946</v>
      </c>
      <c r="O480" s="45" t="s">
        <v>5074</v>
      </c>
      <c r="P480" s="46">
        <v>2</v>
      </c>
      <c r="Q480" s="43">
        <v>1406.9041274904473</v>
      </c>
      <c r="R480" s="43">
        <v>1410.2479555905177</v>
      </c>
      <c r="S480" s="47">
        <v>0</v>
      </c>
      <c r="T480" s="48">
        <v>1406.741572719739</v>
      </c>
      <c r="U480" s="48">
        <v>1410.2479555905177</v>
      </c>
      <c r="V480" s="48">
        <v>1411.9826066363414</v>
      </c>
      <c r="W480" s="48">
        <v>1404.3031924054815</v>
      </c>
    </row>
    <row r="481" spans="1:23" ht="13.2" x14ac:dyDescent="0.25">
      <c r="A481" s="41">
        <v>479</v>
      </c>
      <c r="B481" s="42">
        <v>0.91062540277402171</v>
      </c>
      <c r="C481" s="14" t="s">
        <v>5075</v>
      </c>
      <c r="D481" s="42">
        <v>0.220688374350168</v>
      </c>
      <c r="E481" s="43">
        <v>295.44818620451179</v>
      </c>
      <c r="F481" s="42">
        <v>0.78845115927441567</v>
      </c>
      <c r="G481" s="43">
        <v>9.9190178069560879</v>
      </c>
      <c r="H481" s="42">
        <v>0.13802719262336716</v>
      </c>
      <c r="I481" s="43">
        <v>2.0254087791869626</v>
      </c>
      <c r="J481" s="42">
        <v>0.18493735612599987</v>
      </c>
      <c r="K481" s="43">
        <v>4.9277025599478357</v>
      </c>
      <c r="L481" s="43">
        <v>1411.8318300503952</v>
      </c>
      <c r="M481" s="44">
        <v>2056.3193759834021</v>
      </c>
      <c r="N481" s="44">
        <v>3693.1023275563975</v>
      </c>
      <c r="O481" s="45" t="s">
        <v>5074</v>
      </c>
      <c r="P481" s="46">
        <v>4</v>
      </c>
      <c r="Q481" s="43">
        <v>1411.8318300503952</v>
      </c>
      <c r="R481" s="43">
        <v>1421.7508478573513</v>
      </c>
      <c r="S481" s="47">
        <v>0</v>
      </c>
      <c r="T481" s="48">
        <v>1406.741572719739</v>
      </c>
      <c r="U481" s="48">
        <v>1410.2479555905177</v>
      </c>
      <c r="V481" s="48">
        <v>1411.9826066363414</v>
      </c>
      <c r="W481" s="48">
        <v>1421.7508478573513</v>
      </c>
    </row>
    <row r="482" spans="1:23" ht="13.2" x14ac:dyDescent="0.25">
      <c r="A482" s="41">
        <v>480</v>
      </c>
      <c r="B482" s="42">
        <v>0.32484157584833057</v>
      </c>
      <c r="C482" s="14" t="s">
        <v>5077</v>
      </c>
      <c r="D482" s="42">
        <v>0.39617488831103542</v>
      </c>
      <c r="E482" s="43">
        <v>43.565573994799323</v>
      </c>
      <c r="F482" s="42">
        <v>0.47810187213034455</v>
      </c>
      <c r="G482" s="43">
        <v>3.3494888986225657</v>
      </c>
      <c r="H482" s="42">
        <v>0.99084370769133967</v>
      </c>
      <c r="I482" s="43">
        <v>1.6358101913159329</v>
      </c>
      <c r="J482" s="42">
        <v>0.59468087302273176</v>
      </c>
      <c r="K482" s="43">
        <v>1.5174609202435829</v>
      </c>
      <c r="L482" s="43">
        <v>1413.3492909706388</v>
      </c>
      <c r="M482" s="44">
        <v>303.21639500380326</v>
      </c>
      <c r="N482" s="44">
        <v>544.56967493499155</v>
      </c>
      <c r="O482" s="45" t="s">
        <v>5074</v>
      </c>
      <c r="P482" s="46">
        <v>1</v>
      </c>
      <c r="Q482" s="43">
        <v>1413.3492909706388</v>
      </c>
      <c r="R482" s="43">
        <v>1416.6987798692614</v>
      </c>
      <c r="S482" s="47">
        <v>0</v>
      </c>
      <c r="T482" s="48">
        <v>1416.6987798692614</v>
      </c>
      <c r="U482" s="48">
        <v>1410.2479555905177</v>
      </c>
      <c r="V482" s="48">
        <v>1411.9826066363414</v>
      </c>
      <c r="W482" s="48">
        <v>1421.7508478573513</v>
      </c>
    </row>
    <row r="483" spans="1:23" ht="13.2" x14ac:dyDescent="0.25">
      <c r="A483" s="41">
        <v>481</v>
      </c>
      <c r="B483" s="42">
        <v>0.65230410855836429</v>
      </c>
      <c r="C483" s="14" t="s">
        <v>5079</v>
      </c>
      <c r="D483" s="42">
        <v>0.96843405718376585</v>
      </c>
      <c r="E483" s="43">
        <v>9.9053021715512983</v>
      </c>
      <c r="F483" s="42">
        <v>0.17116975373177312</v>
      </c>
      <c r="G483" s="43">
        <v>1.4588286729104949</v>
      </c>
      <c r="H483" s="42">
        <v>0.80646632556173314</v>
      </c>
      <c r="I483" s="43">
        <v>0.52961792592605272</v>
      </c>
      <c r="J483" s="42">
        <v>0.83269158975812219</v>
      </c>
      <c r="K483" s="43">
        <v>0.53457502410976976</v>
      </c>
      <c r="L483" s="43">
        <v>1413.8838659947485</v>
      </c>
      <c r="M483" s="44">
        <v>68.940903113997038</v>
      </c>
      <c r="N483" s="44">
        <v>123.81627714439122</v>
      </c>
      <c r="O483" s="45" t="s">
        <v>5074</v>
      </c>
      <c r="P483" s="46">
        <v>2</v>
      </c>
      <c r="Q483" s="43">
        <v>1413.8838659947485</v>
      </c>
      <c r="R483" s="43">
        <v>1415.3426946676589</v>
      </c>
      <c r="S483" s="47">
        <v>0</v>
      </c>
      <c r="T483" s="48">
        <v>1416.6987798692614</v>
      </c>
      <c r="U483" s="48">
        <v>1415.3426946676589</v>
      </c>
      <c r="V483" s="48">
        <v>1411.9826066363414</v>
      </c>
      <c r="W483" s="48">
        <v>1421.7508478573513</v>
      </c>
    </row>
    <row r="484" spans="1:23" ht="13.2" x14ac:dyDescent="0.25">
      <c r="A484" s="41">
        <v>482</v>
      </c>
      <c r="B484" s="42">
        <v>0.44057808417853811</v>
      </c>
      <c r="C484" s="14" t="s">
        <v>5077</v>
      </c>
      <c r="D484" s="42">
        <v>0.70770322704115096</v>
      </c>
      <c r="E484" s="43">
        <v>46.369329043370357</v>
      </c>
      <c r="F484" s="42">
        <v>0.18612661780143464</v>
      </c>
      <c r="G484" s="43">
        <v>3.2093407765446886</v>
      </c>
      <c r="H484" s="42">
        <v>0.88063187891646844</v>
      </c>
      <c r="I484" s="43">
        <v>1.4682336208860542</v>
      </c>
      <c r="J484" s="42">
        <v>0.25038938049710791</v>
      </c>
      <c r="K484" s="43">
        <v>4.0430308052871515</v>
      </c>
      <c r="L484" s="43">
        <v>1417.9268968000356</v>
      </c>
      <c r="M484" s="44">
        <v>322.73053014185768</v>
      </c>
      <c r="N484" s="44">
        <v>579.61661304212942</v>
      </c>
      <c r="O484" s="45" t="s">
        <v>5074</v>
      </c>
      <c r="P484" s="46">
        <v>3</v>
      </c>
      <c r="Q484" s="43">
        <v>1417.9268968000356</v>
      </c>
      <c r="R484" s="43">
        <v>1421.1362375765802</v>
      </c>
      <c r="S484" s="47">
        <v>0</v>
      </c>
      <c r="T484" s="48">
        <v>1416.6987798692614</v>
      </c>
      <c r="U484" s="48">
        <v>1415.3426946676589</v>
      </c>
      <c r="V484" s="48">
        <v>1421.1362375765802</v>
      </c>
      <c r="W484" s="48">
        <v>1421.7508478573513</v>
      </c>
    </row>
    <row r="485" spans="1:23" ht="13.2" x14ac:dyDescent="0.25">
      <c r="A485" s="41">
        <v>483</v>
      </c>
      <c r="B485" s="42">
        <v>0.85570789447785722</v>
      </c>
      <c r="C485" s="14" t="s">
        <v>5081</v>
      </c>
      <c r="D485" s="42">
        <v>0.65519170121065884</v>
      </c>
      <c r="E485" s="43">
        <v>286.20766804842634</v>
      </c>
      <c r="F485" s="42">
        <v>0.43859361784467177</v>
      </c>
      <c r="G485" s="43">
        <v>8.6242076816662241</v>
      </c>
      <c r="H485" s="42">
        <v>0.51387884817732443</v>
      </c>
      <c r="I485" s="43">
        <v>4.0139765197291943</v>
      </c>
      <c r="J485" s="42">
        <v>0.66189830687916762</v>
      </c>
      <c r="K485" s="43">
        <v>1.2047981016971412</v>
      </c>
      <c r="L485" s="43">
        <v>1419.1316949017328</v>
      </c>
      <c r="M485" s="44">
        <v>1992.0053696170473</v>
      </c>
      <c r="N485" s="44">
        <v>3577.5958506053294</v>
      </c>
      <c r="O485" s="45" t="s">
        <v>5074</v>
      </c>
      <c r="P485" s="46">
        <v>2</v>
      </c>
      <c r="Q485" s="43">
        <v>1419.1316949017328</v>
      </c>
      <c r="R485" s="43">
        <v>1427.7559025833989</v>
      </c>
      <c r="S485" s="47">
        <v>0</v>
      </c>
      <c r="T485" s="48">
        <v>1416.6987798692614</v>
      </c>
      <c r="U485" s="48">
        <v>1427.7559025833989</v>
      </c>
      <c r="V485" s="48">
        <v>1421.1362375765802</v>
      </c>
      <c r="W485" s="48">
        <v>1421.7508478573513</v>
      </c>
    </row>
    <row r="486" spans="1:23" ht="13.2" x14ac:dyDescent="0.25">
      <c r="A486" s="41">
        <v>484</v>
      </c>
      <c r="B486" s="42">
        <v>0.75139399233804738</v>
      </c>
      <c r="C486" s="14" t="s">
        <v>5079</v>
      </c>
      <c r="D486" s="42">
        <v>0.55723243418952095</v>
      </c>
      <c r="E486" s="43">
        <v>8.6716973025685622</v>
      </c>
      <c r="F486" s="42">
        <v>0.7896552583154548</v>
      </c>
      <c r="G486" s="43">
        <v>1.5268620784147</v>
      </c>
      <c r="H486" s="42">
        <v>0.39098347834822883</v>
      </c>
      <c r="I486" s="43">
        <v>0.39773302160949975</v>
      </c>
      <c r="J486" s="42">
        <v>0.24643353151457084</v>
      </c>
      <c r="K486" s="43">
        <v>4.0895269223046373</v>
      </c>
      <c r="L486" s="43">
        <v>1423.2212218240375</v>
      </c>
      <c r="M486" s="44">
        <v>60.355013225877194</v>
      </c>
      <c r="N486" s="44">
        <v>108.39621628210703</v>
      </c>
      <c r="O486" s="45" t="s">
        <v>5074</v>
      </c>
      <c r="P486" s="46">
        <v>1</v>
      </c>
      <c r="Q486" s="43">
        <v>1423.2212218240375</v>
      </c>
      <c r="R486" s="43">
        <v>1424.7480839024522</v>
      </c>
      <c r="S486" s="47">
        <v>0</v>
      </c>
      <c r="T486" s="48">
        <v>1424.7480839024522</v>
      </c>
      <c r="U486" s="48">
        <v>1427.7559025833989</v>
      </c>
      <c r="V486" s="48">
        <v>1421.1362375765802</v>
      </c>
      <c r="W486" s="48">
        <v>1421.7508478573513</v>
      </c>
    </row>
    <row r="487" spans="1:23" ht="13.2" x14ac:dyDescent="0.25">
      <c r="A487" s="41">
        <v>485</v>
      </c>
      <c r="B487" s="42">
        <v>0.24618023691986698</v>
      </c>
      <c r="C487" s="14" t="s">
        <v>5077</v>
      </c>
      <c r="D487" s="42">
        <v>0.63099498750222616</v>
      </c>
      <c r="E487" s="43">
        <v>45.678954887520035</v>
      </c>
      <c r="F487" s="42">
        <v>0.40370808886536774</v>
      </c>
      <c r="G487" s="43">
        <v>3.3137798826553766</v>
      </c>
      <c r="H487" s="42">
        <v>0.67875457214133561</v>
      </c>
      <c r="I487" s="43">
        <v>1.3197889500075004</v>
      </c>
      <c r="J487" s="42">
        <v>0.42632950256873364</v>
      </c>
      <c r="K487" s="43">
        <v>2.4891759167478162</v>
      </c>
      <c r="L487" s="43">
        <v>1425.7103977407853</v>
      </c>
      <c r="M487" s="44">
        <v>317.92552601713942</v>
      </c>
      <c r="N487" s="44">
        <v>570.98693609400038</v>
      </c>
      <c r="O487" s="45" t="s">
        <v>5074</v>
      </c>
      <c r="P487" s="46">
        <v>3</v>
      </c>
      <c r="Q487" s="43">
        <v>1425.7103977407853</v>
      </c>
      <c r="R487" s="43">
        <v>1429.0241776234407</v>
      </c>
      <c r="S487" s="47">
        <v>0</v>
      </c>
      <c r="T487" s="48">
        <v>1424.7480839024522</v>
      </c>
      <c r="U487" s="48">
        <v>1427.7559025833989</v>
      </c>
      <c r="V487" s="48">
        <v>1429.0241776234407</v>
      </c>
      <c r="W487" s="48">
        <v>1421.7508478573513</v>
      </c>
    </row>
    <row r="488" spans="1:23" ht="13.2" x14ac:dyDescent="0.25">
      <c r="A488" s="41">
        <v>486</v>
      </c>
      <c r="B488" s="42">
        <v>0.58739916728222707</v>
      </c>
      <c r="C488" s="14" t="s">
        <v>5076</v>
      </c>
      <c r="D488" s="42">
        <v>7.1056394870884901E-2</v>
      </c>
      <c r="E488" s="43">
        <v>35.710563948708852</v>
      </c>
      <c r="F488" s="42">
        <v>0.61780840559760497</v>
      </c>
      <c r="G488" s="43">
        <v>3.3241918665748984</v>
      </c>
      <c r="H488" s="42">
        <v>8.4632993715178691E-3</v>
      </c>
      <c r="I488" s="43">
        <v>0.54215795142103984</v>
      </c>
      <c r="J488" s="42">
        <v>0.84552232168872021</v>
      </c>
      <c r="K488" s="43">
        <v>0.48992908150063097</v>
      </c>
      <c r="L488" s="43">
        <v>1426.2003268222859</v>
      </c>
      <c r="M488" s="44">
        <v>248.54552508301362</v>
      </c>
      <c r="N488" s="44">
        <v>446.38204935886063</v>
      </c>
      <c r="O488" s="45" t="s">
        <v>5074</v>
      </c>
      <c r="P488" s="46">
        <v>4</v>
      </c>
      <c r="Q488" s="43">
        <v>1426.2003268222859</v>
      </c>
      <c r="R488" s="43">
        <v>1429.5245186888608</v>
      </c>
      <c r="S488" s="47">
        <v>0</v>
      </c>
      <c r="T488" s="48">
        <v>1424.7480839024522</v>
      </c>
      <c r="U488" s="48">
        <v>1427.7559025833989</v>
      </c>
      <c r="V488" s="48">
        <v>1429.0241776234407</v>
      </c>
      <c r="W488" s="48">
        <v>1429.5245186888608</v>
      </c>
    </row>
    <row r="489" spans="1:23" ht="13.2" x14ac:dyDescent="0.25">
      <c r="A489" s="41">
        <v>487</v>
      </c>
      <c r="B489" s="42">
        <v>0.51464486285794753</v>
      </c>
      <c r="C489" s="14" t="s">
        <v>5076</v>
      </c>
      <c r="D489" s="42">
        <v>0.71248457101755058</v>
      </c>
      <c r="E489" s="43">
        <v>42.124845710175506</v>
      </c>
      <c r="F489" s="42">
        <v>0.8527089342720382</v>
      </c>
      <c r="G489" s="43">
        <v>3.4322461097651376</v>
      </c>
      <c r="H489" s="42">
        <v>0.81095511038366475</v>
      </c>
      <c r="I489" s="43">
        <v>0.96992920851926057</v>
      </c>
      <c r="J489" s="42">
        <v>0.52724731551820758</v>
      </c>
      <c r="K489" s="43">
        <v>1.8688629229613045</v>
      </c>
      <c r="L489" s="43">
        <v>1428.0691897452473</v>
      </c>
      <c r="M489" s="44">
        <v>293.18892614282151</v>
      </c>
      <c r="N489" s="44">
        <v>526.56057137719381</v>
      </c>
      <c r="O489" s="45" t="s">
        <v>5074</v>
      </c>
      <c r="P489" s="46">
        <v>1</v>
      </c>
      <c r="Q489" s="43">
        <v>1428.0691897452473</v>
      </c>
      <c r="R489" s="43">
        <v>1431.5014358550125</v>
      </c>
      <c r="S489" s="47">
        <v>0</v>
      </c>
      <c r="T489" s="48">
        <v>1431.5014358550125</v>
      </c>
      <c r="U489" s="48">
        <v>1427.7559025833989</v>
      </c>
      <c r="V489" s="48">
        <v>1429.0241776234407</v>
      </c>
      <c r="W489" s="48">
        <v>1429.5245186888608</v>
      </c>
    </row>
    <row r="490" spans="1:23" ht="13.2" x14ac:dyDescent="0.25">
      <c r="A490" s="41">
        <v>488</v>
      </c>
      <c r="B490" s="42">
        <v>0.80999889029655558</v>
      </c>
      <c r="C490" s="14" t="s">
        <v>5078</v>
      </c>
      <c r="D490" s="42">
        <v>0.87500682001700947</v>
      </c>
      <c r="E490" s="43">
        <v>205.00027280068036</v>
      </c>
      <c r="F490" s="42">
        <v>0.19922475852036139</v>
      </c>
      <c r="G490" s="43">
        <v>5.6012945302535284</v>
      </c>
      <c r="H490" s="42">
        <v>6.3312050450272883E-2</v>
      </c>
      <c r="I490" s="43">
        <v>2.3978443491187003</v>
      </c>
      <c r="J490" s="42">
        <v>0.96291168637709301</v>
      </c>
      <c r="K490" s="43">
        <v>0.11034621361419637</v>
      </c>
      <c r="L490" s="43">
        <v>1428.1795359588614</v>
      </c>
      <c r="M490" s="44">
        <v>1426.8018986927352</v>
      </c>
      <c r="N490" s="44">
        <v>2562.5034100085045</v>
      </c>
      <c r="O490" s="45" t="s">
        <v>5074</v>
      </c>
      <c r="P490" s="46">
        <v>2</v>
      </c>
      <c r="Q490" s="43">
        <v>1428.1795359588614</v>
      </c>
      <c r="R490" s="43">
        <v>1433.7808304891148</v>
      </c>
      <c r="S490" s="47">
        <v>0</v>
      </c>
      <c r="T490" s="48">
        <v>1431.5014358550125</v>
      </c>
      <c r="U490" s="48">
        <v>1433.7808304891148</v>
      </c>
      <c r="V490" s="48">
        <v>1429.0241776234407</v>
      </c>
      <c r="W490" s="48">
        <v>1429.5245186888608</v>
      </c>
    </row>
    <row r="491" spans="1:23" ht="13.2" x14ac:dyDescent="0.25">
      <c r="A491" s="41">
        <v>489</v>
      </c>
      <c r="B491" s="42">
        <v>4.6902776717628714E-2</v>
      </c>
      <c r="C491" s="14" t="s">
        <v>5073</v>
      </c>
      <c r="D491" s="42">
        <v>0.3165518568440116</v>
      </c>
      <c r="E491" s="43">
        <v>317.98622282128139</v>
      </c>
      <c r="F491" s="42">
        <v>0.95164922436310406</v>
      </c>
      <c r="G491" s="43">
        <v>11.358662072256516</v>
      </c>
      <c r="H491" s="42">
        <v>0.39731894172603216</v>
      </c>
      <c r="I491" s="43">
        <v>3.2719963812020421</v>
      </c>
      <c r="J491" s="42">
        <v>0.78361246957611874</v>
      </c>
      <c r="K491" s="43">
        <v>0.71194359079652569</v>
      </c>
      <c r="L491" s="43">
        <v>1428.891479549658</v>
      </c>
      <c r="M491" s="44">
        <v>2213.618298453328</v>
      </c>
      <c r="N491" s="44">
        <v>3974.8277852660171</v>
      </c>
      <c r="O491" s="45" t="s">
        <v>5074</v>
      </c>
      <c r="P491" s="46">
        <v>3</v>
      </c>
      <c r="Q491" s="43">
        <v>1429.0241776234407</v>
      </c>
      <c r="R491" s="43">
        <v>1440.3828396956972</v>
      </c>
      <c r="S491" s="43">
        <v>0.13269807378264886</v>
      </c>
      <c r="T491" s="48">
        <v>1431.5014358550125</v>
      </c>
      <c r="U491" s="48">
        <v>1433.7808304891148</v>
      </c>
      <c r="V491" s="48">
        <v>1440.3828396956972</v>
      </c>
      <c r="W491" s="48">
        <v>1429.5245186888608</v>
      </c>
    </row>
    <row r="492" spans="1:23" ht="13.2" x14ac:dyDescent="0.25">
      <c r="A492" s="41">
        <v>490</v>
      </c>
      <c r="B492" s="42">
        <v>1.8057134942178213E-2</v>
      </c>
      <c r="C492" s="14" t="s">
        <v>5073</v>
      </c>
      <c r="D492" s="42">
        <v>2.4675575096474764E-2</v>
      </c>
      <c r="E492" s="43">
        <v>282.96106901157697</v>
      </c>
      <c r="F492" s="42">
        <v>0.58377340556298074</v>
      </c>
      <c r="G492" s="43">
        <v>10.20721075941213</v>
      </c>
      <c r="H492" s="42">
        <v>0.90003066645005281</v>
      </c>
      <c r="I492" s="43">
        <v>3.726180716233388</v>
      </c>
      <c r="J492" s="42">
        <v>1.720872009974379E-2</v>
      </c>
      <c r="K492" s="43">
        <v>11.86084391559625</v>
      </c>
      <c r="L492" s="43">
        <v>1440.7523234652542</v>
      </c>
      <c r="M492" s="44">
        <v>1969.4090403205757</v>
      </c>
      <c r="N492" s="44">
        <v>3537.0133626447123</v>
      </c>
      <c r="O492" s="45" t="s">
        <v>5074</v>
      </c>
      <c r="P492" s="46">
        <v>4</v>
      </c>
      <c r="Q492" s="43">
        <v>1440.7523234652542</v>
      </c>
      <c r="R492" s="43">
        <v>1450.9595342246664</v>
      </c>
      <c r="S492" s="47">
        <v>0</v>
      </c>
      <c r="T492" s="48">
        <v>1431.5014358550125</v>
      </c>
      <c r="U492" s="48">
        <v>1433.7808304891148</v>
      </c>
      <c r="V492" s="48">
        <v>1440.3828396956972</v>
      </c>
      <c r="W492" s="48">
        <v>1450.9595342246664</v>
      </c>
    </row>
    <row r="493" spans="1:23" ht="13.2" x14ac:dyDescent="0.25">
      <c r="A493" s="41">
        <v>491</v>
      </c>
      <c r="B493" s="42">
        <v>0.81695997194245451</v>
      </c>
      <c r="C493" s="14" t="s">
        <v>5078</v>
      </c>
      <c r="D493" s="42">
        <v>0.76943346009097691</v>
      </c>
      <c r="E493" s="43">
        <v>200.77733840363908</v>
      </c>
      <c r="F493" s="42">
        <v>0.70229387921387976</v>
      </c>
      <c r="G493" s="43">
        <v>6.0590874300846309</v>
      </c>
      <c r="H493" s="42">
        <v>0.19143442911628375</v>
      </c>
      <c r="I493" s="43">
        <v>2.6917991563963559</v>
      </c>
      <c r="J493" s="42">
        <v>0.8652607281064898</v>
      </c>
      <c r="K493" s="43">
        <v>0.42255298596141133</v>
      </c>
      <c r="L493" s="43">
        <v>1441.1748764512156</v>
      </c>
      <c r="M493" s="44">
        <v>1397.410275289328</v>
      </c>
      <c r="N493" s="44">
        <v>2509.7167300454885</v>
      </c>
      <c r="O493" s="45" t="s">
        <v>5074</v>
      </c>
      <c r="P493" s="46">
        <v>1</v>
      </c>
      <c r="Q493" s="43">
        <v>1441.1748764512156</v>
      </c>
      <c r="R493" s="43">
        <v>1447.2339638813003</v>
      </c>
      <c r="S493" s="47">
        <v>0</v>
      </c>
      <c r="T493" s="48">
        <v>1447.2339638813003</v>
      </c>
      <c r="U493" s="48">
        <v>1433.7808304891148</v>
      </c>
      <c r="V493" s="48">
        <v>1440.3828396956972</v>
      </c>
      <c r="W493" s="48">
        <v>1450.9595342246664</v>
      </c>
    </row>
    <row r="494" spans="1:23" ht="13.2" x14ac:dyDescent="0.25">
      <c r="A494" s="41">
        <v>492</v>
      </c>
      <c r="B494" s="42">
        <v>0.58558740075006499</v>
      </c>
      <c r="C494" s="14" t="s">
        <v>5076</v>
      </c>
      <c r="D494" s="42">
        <v>0.34036944775859335</v>
      </c>
      <c r="E494" s="43">
        <v>38.40369447758593</v>
      </c>
      <c r="F494" s="42">
        <v>0.92716631848698772</v>
      </c>
      <c r="G494" s="43">
        <v>3.4664965065040145</v>
      </c>
      <c r="H494" s="42">
        <v>0.98841549921241378</v>
      </c>
      <c r="I494" s="43">
        <v>1.1430468594323004</v>
      </c>
      <c r="J494" s="42">
        <v>0.78096248897768672</v>
      </c>
      <c r="K494" s="43">
        <v>0.72183404313546673</v>
      </c>
      <c r="L494" s="43">
        <v>1441.8967104943511</v>
      </c>
      <c r="M494" s="44">
        <v>267.28971356399808</v>
      </c>
      <c r="N494" s="44">
        <v>480.04618096982415</v>
      </c>
      <c r="O494" s="45" t="s">
        <v>5074</v>
      </c>
      <c r="P494" s="46">
        <v>2</v>
      </c>
      <c r="Q494" s="43">
        <v>1441.8967104943511</v>
      </c>
      <c r="R494" s="43">
        <v>1445.363207000855</v>
      </c>
      <c r="S494" s="47">
        <v>0</v>
      </c>
      <c r="T494" s="48">
        <v>1447.2339638813003</v>
      </c>
      <c r="U494" s="48">
        <v>1445.363207000855</v>
      </c>
      <c r="V494" s="48">
        <v>1440.3828396956972</v>
      </c>
      <c r="W494" s="48">
        <v>1450.9595342246664</v>
      </c>
    </row>
    <row r="495" spans="1:23" ht="13.2" x14ac:dyDescent="0.25">
      <c r="A495" s="41">
        <v>493</v>
      </c>
      <c r="B495" s="42">
        <v>5.9101529912604735E-2</v>
      </c>
      <c r="C495" s="14" t="s">
        <v>5073</v>
      </c>
      <c r="D495" s="42">
        <v>0.44621372429943351</v>
      </c>
      <c r="E495" s="43">
        <v>333.54564691593202</v>
      </c>
      <c r="F495" s="42">
        <v>0.37157546047660311</v>
      </c>
      <c r="G495" s="43">
        <v>9.5430311912917674</v>
      </c>
      <c r="H495" s="42">
        <v>0.11548576369671419</v>
      </c>
      <c r="I495" s="43">
        <v>2.9162074549369237</v>
      </c>
      <c r="J495" s="42">
        <v>0.41295321910313948</v>
      </c>
      <c r="K495" s="43">
        <v>2.582250987951678</v>
      </c>
      <c r="L495" s="43">
        <v>1444.4789614823028</v>
      </c>
      <c r="M495" s="44">
        <v>2321.4777025348867</v>
      </c>
      <c r="N495" s="44">
        <v>4169.3205864491501</v>
      </c>
      <c r="O495" s="45" t="s">
        <v>5074</v>
      </c>
      <c r="P495" s="46">
        <v>3</v>
      </c>
      <c r="Q495" s="43">
        <v>1444.4789614823028</v>
      </c>
      <c r="R495" s="43">
        <v>1454.0219926735945</v>
      </c>
      <c r="S495" s="47">
        <v>0</v>
      </c>
      <c r="T495" s="48">
        <v>1447.2339638813003</v>
      </c>
      <c r="U495" s="48">
        <v>1445.363207000855</v>
      </c>
      <c r="V495" s="48">
        <v>1454.0219926735945</v>
      </c>
      <c r="W495" s="48">
        <v>1450.9595342246664</v>
      </c>
    </row>
    <row r="496" spans="1:23" ht="13.2" x14ac:dyDescent="0.25">
      <c r="A496" s="41">
        <v>494</v>
      </c>
      <c r="B496" s="42">
        <v>0.42916359912099483</v>
      </c>
      <c r="C496" s="14" t="s">
        <v>5077</v>
      </c>
      <c r="D496" s="42">
        <v>1.1962819850054951E-2</v>
      </c>
      <c r="E496" s="43">
        <v>40.107665378650495</v>
      </c>
      <c r="F496" s="42">
        <v>0.88484685862662593</v>
      </c>
      <c r="G496" s="43">
        <v>3.5447264921407804</v>
      </c>
      <c r="H496" s="42">
        <v>0.18949143038573277</v>
      </c>
      <c r="I496" s="43">
        <v>1.0611836804604449</v>
      </c>
      <c r="J496" s="42">
        <v>0.69529875772786265</v>
      </c>
      <c r="K496" s="43">
        <v>1.0610617767867461</v>
      </c>
      <c r="L496" s="43">
        <v>1445.5400232590896</v>
      </c>
      <c r="M496" s="44">
        <v>279.14935103540745</v>
      </c>
      <c r="N496" s="44">
        <v>501.34581723313119</v>
      </c>
      <c r="O496" s="45" t="s">
        <v>5074</v>
      </c>
      <c r="P496" s="46">
        <v>2</v>
      </c>
      <c r="Q496" s="43">
        <v>1445.5400232590896</v>
      </c>
      <c r="R496" s="43">
        <v>1449.0847497512304</v>
      </c>
      <c r="S496" s="47">
        <v>0</v>
      </c>
      <c r="T496" s="48">
        <v>1447.2339638813003</v>
      </c>
      <c r="U496" s="48">
        <v>1449.0847497512304</v>
      </c>
      <c r="V496" s="48">
        <v>1454.0219926735945</v>
      </c>
      <c r="W496" s="48">
        <v>1450.9595342246664</v>
      </c>
    </row>
    <row r="497" spans="1:23" ht="13.2" x14ac:dyDescent="0.25">
      <c r="A497" s="41">
        <v>495</v>
      </c>
      <c r="B497" s="42">
        <v>0.63684291655050729</v>
      </c>
      <c r="C497" s="14" t="s">
        <v>5076</v>
      </c>
      <c r="D497" s="42">
        <v>0.42780717901317739</v>
      </c>
      <c r="E497" s="43">
        <v>39.278071790131776</v>
      </c>
      <c r="F497" s="42">
        <v>0.21678285497090913</v>
      </c>
      <c r="G497" s="43">
        <v>3.1397201132866184</v>
      </c>
      <c r="H497" s="42">
        <v>0.95380639841491655</v>
      </c>
      <c r="I497" s="43">
        <v>1.0862713385121263</v>
      </c>
      <c r="J497" s="42">
        <v>6.7457534869880195E-2</v>
      </c>
      <c r="K497" s="43">
        <v>7.8722831886630926</v>
      </c>
      <c r="L497" s="43">
        <v>1453.4123064477526</v>
      </c>
      <c r="M497" s="44">
        <v>273.37537965931716</v>
      </c>
      <c r="N497" s="44">
        <v>490.9758973766472</v>
      </c>
      <c r="O497" s="45" t="s">
        <v>5074</v>
      </c>
      <c r="P497" s="46">
        <v>1</v>
      </c>
      <c r="Q497" s="43">
        <v>1453.4123064477526</v>
      </c>
      <c r="R497" s="43">
        <v>1456.5520265610392</v>
      </c>
      <c r="S497" s="47">
        <v>0</v>
      </c>
      <c r="T497" s="48">
        <v>1456.5520265610392</v>
      </c>
      <c r="U497" s="48">
        <v>1449.0847497512304</v>
      </c>
      <c r="V497" s="48">
        <v>1454.0219926735945</v>
      </c>
      <c r="W497" s="48">
        <v>1450.9595342246664</v>
      </c>
    </row>
    <row r="498" spans="1:23" ht="13.2" x14ac:dyDescent="0.25">
      <c r="A498" s="41">
        <v>496</v>
      </c>
      <c r="B498" s="42">
        <v>0.22536523324687277</v>
      </c>
      <c r="C498" s="14" t="s">
        <v>5073</v>
      </c>
      <c r="D498" s="42">
        <v>0.53700619681598905</v>
      </c>
      <c r="E498" s="43">
        <v>344.44074361791866</v>
      </c>
      <c r="F498" s="42">
        <v>0.71189108011866509</v>
      </c>
      <c r="G498" s="43">
        <v>10.608219080771422</v>
      </c>
      <c r="H498" s="42">
        <v>0.97227046684002061</v>
      </c>
      <c r="I498" s="43">
        <v>3.8557878303679454</v>
      </c>
      <c r="J498" s="42">
        <v>0.97095283119517972</v>
      </c>
      <c r="K498" s="43">
        <v>8.6065370582839723E-2</v>
      </c>
      <c r="L498" s="43">
        <v>1453.4983718183355</v>
      </c>
      <c r="M498" s="44">
        <v>2397.307575580714</v>
      </c>
      <c r="N498" s="44">
        <v>4305.5092952239829</v>
      </c>
      <c r="O498" s="45" t="s">
        <v>5074</v>
      </c>
      <c r="P498" s="46">
        <v>2</v>
      </c>
      <c r="Q498" s="43">
        <v>1453.4983718183355</v>
      </c>
      <c r="R498" s="43">
        <v>1464.106590899107</v>
      </c>
      <c r="S498" s="47">
        <v>0</v>
      </c>
      <c r="T498" s="48">
        <v>1456.5520265610392</v>
      </c>
      <c r="U498" s="48">
        <v>1464.106590899107</v>
      </c>
      <c r="V498" s="48">
        <v>1454.0219926735945</v>
      </c>
      <c r="W498" s="48">
        <v>1450.9595342246664</v>
      </c>
    </row>
    <row r="499" spans="1:23" ht="13.2" x14ac:dyDescent="0.25">
      <c r="A499" s="41">
        <v>497</v>
      </c>
      <c r="B499" s="42">
        <v>0.73348110249893794</v>
      </c>
      <c r="C499" s="14" t="s">
        <v>5079</v>
      </c>
      <c r="D499" s="42">
        <v>0.10427299053607182</v>
      </c>
      <c r="E499" s="43">
        <v>7.3128189716082153</v>
      </c>
      <c r="F499" s="42">
        <v>0.47170800085724707</v>
      </c>
      <c r="G499" s="43">
        <v>1.4918878800942972</v>
      </c>
      <c r="H499" s="42">
        <v>0.23226285503816924</v>
      </c>
      <c r="I499" s="43">
        <v>0.35240172408413539</v>
      </c>
      <c r="J499" s="42">
        <v>0.8009183545601174</v>
      </c>
      <c r="K499" s="43">
        <v>0.64816428174320884</v>
      </c>
      <c r="L499" s="43">
        <v>1454.1465361000787</v>
      </c>
      <c r="M499" s="44">
        <v>50.89722004239318</v>
      </c>
      <c r="N499" s="44">
        <v>91.410237145102684</v>
      </c>
      <c r="O499" s="45" t="s">
        <v>5074</v>
      </c>
      <c r="P499" s="46">
        <v>4</v>
      </c>
      <c r="Q499" s="43">
        <v>1454.1465361000787</v>
      </c>
      <c r="R499" s="43">
        <v>1455.638423980173</v>
      </c>
      <c r="S499" s="47">
        <v>0</v>
      </c>
      <c r="T499" s="48">
        <v>1456.5520265610392</v>
      </c>
      <c r="U499" s="48">
        <v>1464.106590899107</v>
      </c>
      <c r="V499" s="48">
        <v>1454.0219926735945</v>
      </c>
      <c r="W499" s="48">
        <v>1455.638423980173</v>
      </c>
    </row>
    <row r="500" spans="1:23" ht="13.2" x14ac:dyDescent="0.25">
      <c r="A500" s="41">
        <v>498</v>
      </c>
      <c r="B500" s="42">
        <v>9.6260125327976481E-2</v>
      </c>
      <c r="C500" s="14" t="s">
        <v>5073</v>
      </c>
      <c r="D500" s="42">
        <v>0.85724749595729988</v>
      </c>
      <c r="E500" s="43">
        <v>382.869699514876</v>
      </c>
      <c r="F500" s="42">
        <v>0.36034427041203915</v>
      </c>
      <c r="G500" s="43">
        <v>9.5078775663896824</v>
      </c>
      <c r="H500" s="42">
        <v>0.51884354535436428</v>
      </c>
      <c r="I500" s="43">
        <v>3.3821934697284641</v>
      </c>
      <c r="J500" s="42">
        <v>0.5244669190256237</v>
      </c>
      <c r="K500" s="43">
        <v>1.8843005097304597</v>
      </c>
      <c r="L500" s="43">
        <v>1456.0308366098093</v>
      </c>
      <c r="M500" s="44">
        <v>2664.7731086235372</v>
      </c>
      <c r="N500" s="44">
        <v>4785.8712439359497</v>
      </c>
      <c r="O500" s="45" t="s">
        <v>5074</v>
      </c>
      <c r="P500" s="46">
        <v>3</v>
      </c>
      <c r="Q500" s="43">
        <v>1456.0308366098093</v>
      </c>
      <c r="R500" s="43">
        <v>1465.5387141761989</v>
      </c>
      <c r="S500" s="47">
        <v>0</v>
      </c>
      <c r="T500" s="48">
        <v>1456.5520265610392</v>
      </c>
      <c r="U500" s="48">
        <v>1464.106590899107</v>
      </c>
      <c r="V500" s="48">
        <v>1465.5387141761989</v>
      </c>
      <c r="W500" s="48">
        <v>1455.638423980173</v>
      </c>
    </row>
    <row r="501" spans="1:23" ht="13.2" x14ac:dyDescent="0.25">
      <c r="A501" s="41">
        <v>499</v>
      </c>
      <c r="B501" s="42">
        <v>0.77052707214398641</v>
      </c>
      <c r="C501" s="14" t="s">
        <v>5078</v>
      </c>
      <c r="D501" s="42">
        <v>4.6896414853118552E-2</v>
      </c>
      <c r="E501" s="43">
        <v>171.87585659412474</v>
      </c>
      <c r="F501" s="42">
        <v>0.72706933306859312</v>
      </c>
      <c r="G501" s="43">
        <v>6.0816330930924201</v>
      </c>
      <c r="H501" s="42">
        <v>0.55376194582961591</v>
      </c>
      <c r="I501" s="43">
        <v>3.206403191431372</v>
      </c>
      <c r="J501" s="42">
        <v>7.5017987319742324E-2</v>
      </c>
      <c r="K501" s="43">
        <v>7.5621236883818073</v>
      </c>
      <c r="L501" s="43">
        <v>1463.5929602981912</v>
      </c>
      <c r="M501" s="44">
        <v>1196.2559618951082</v>
      </c>
      <c r="N501" s="44">
        <v>2148.4482074265593</v>
      </c>
      <c r="O501" s="45" t="s">
        <v>5074</v>
      </c>
      <c r="P501" s="46">
        <v>4</v>
      </c>
      <c r="Q501" s="43">
        <v>1463.5929602981912</v>
      </c>
      <c r="R501" s="43">
        <v>1469.6745933912837</v>
      </c>
      <c r="S501" s="47">
        <v>0</v>
      </c>
      <c r="T501" s="48">
        <v>1456.5520265610392</v>
      </c>
      <c r="U501" s="48">
        <v>1464.106590899107</v>
      </c>
      <c r="V501" s="48">
        <v>1465.5387141761989</v>
      </c>
      <c r="W501" s="48">
        <v>1469.6745933912837</v>
      </c>
    </row>
    <row r="502" spans="1:23" ht="13.2" x14ac:dyDescent="0.25">
      <c r="A502" s="41">
        <v>500</v>
      </c>
      <c r="B502" s="42">
        <v>0.78747933999983566</v>
      </c>
      <c r="C502" s="14" t="s">
        <v>5078</v>
      </c>
      <c r="D502" s="42">
        <v>0.52054917231227693</v>
      </c>
      <c r="E502" s="43">
        <v>190.82196689249108</v>
      </c>
      <c r="F502" s="42">
        <v>0.58317903875521337</v>
      </c>
      <c r="G502" s="43">
        <v>5.9506929252672442</v>
      </c>
      <c r="H502" s="42">
        <v>0.56161996748373844</v>
      </c>
      <c r="I502" s="43">
        <v>3.2178435657315521</v>
      </c>
      <c r="J502" s="42">
        <v>0.94851181560592346</v>
      </c>
      <c r="K502" s="43">
        <v>0.1543387811257097</v>
      </c>
      <c r="L502" s="43">
        <v>1463.7472990793169</v>
      </c>
      <c r="M502" s="44">
        <v>1328.120889571738</v>
      </c>
      <c r="N502" s="44">
        <v>2385.2745861561384</v>
      </c>
      <c r="O502" s="45" t="s">
        <v>5074</v>
      </c>
      <c r="P502" s="46">
        <v>1</v>
      </c>
      <c r="Q502" s="43">
        <v>1463.7472990793169</v>
      </c>
      <c r="R502" s="43">
        <v>1469.6979920045842</v>
      </c>
      <c r="S502" s="47">
        <v>0</v>
      </c>
      <c r="T502" s="48">
        <v>1469.6979920045842</v>
      </c>
      <c r="U502" s="48">
        <v>1464.106590899107</v>
      </c>
      <c r="V502" s="48">
        <v>1465.5387141761989</v>
      </c>
      <c r="W502" s="48">
        <v>1469.6745933912837</v>
      </c>
    </row>
    <row r="503" spans="1:23" ht="13.2" x14ac:dyDescent="0.25">
      <c r="A503" s="41">
        <v>501</v>
      </c>
      <c r="B503" s="42">
        <v>0.10200739563536243</v>
      </c>
      <c r="C503" s="14" t="s">
        <v>5073</v>
      </c>
      <c r="D503" s="42">
        <v>0.33235589756274403</v>
      </c>
      <c r="E503" s="43">
        <v>319.88270770752928</v>
      </c>
      <c r="F503" s="42">
        <v>0.17252657244565273</v>
      </c>
      <c r="G503" s="43">
        <v>8.920008171754894</v>
      </c>
      <c r="H503" s="42">
        <v>0.26513604599290341</v>
      </c>
      <c r="I503" s="43">
        <v>3.1306378271158137</v>
      </c>
      <c r="J503" s="42">
        <v>4.9092283495279158E-2</v>
      </c>
      <c r="K503" s="43">
        <v>8.8001559576293218</v>
      </c>
      <c r="L503" s="43">
        <v>1472.5474550369463</v>
      </c>
      <c r="M503" s="44">
        <v>2226.3836456444037</v>
      </c>
      <c r="N503" s="44">
        <v>3998.5338463441158</v>
      </c>
      <c r="O503" s="45" t="s">
        <v>5074</v>
      </c>
      <c r="P503" s="46">
        <v>2</v>
      </c>
      <c r="Q503" s="43">
        <v>1472.5474550369463</v>
      </c>
      <c r="R503" s="43">
        <v>1481.4674632087012</v>
      </c>
      <c r="S503" s="47">
        <v>0</v>
      </c>
      <c r="T503" s="48">
        <v>1469.6979920045842</v>
      </c>
      <c r="U503" s="48">
        <v>1481.4674632087012</v>
      </c>
      <c r="V503" s="48">
        <v>1465.5387141761989</v>
      </c>
      <c r="W503" s="48">
        <v>1469.6745933912837</v>
      </c>
    </row>
    <row r="504" spans="1:23" ht="13.2" x14ac:dyDescent="0.25">
      <c r="A504" s="41">
        <v>502</v>
      </c>
      <c r="B504" s="42">
        <v>0.8053209254542929</v>
      </c>
      <c r="C504" s="14" t="s">
        <v>5078</v>
      </c>
      <c r="D504" s="42">
        <v>0.28557775276041486</v>
      </c>
      <c r="E504" s="43">
        <v>181.42311011041659</v>
      </c>
      <c r="F504" s="42">
        <v>0.7810494754375189</v>
      </c>
      <c r="G504" s="43">
        <v>6.1307550226481418</v>
      </c>
      <c r="H504" s="42">
        <v>0.85023858204960756</v>
      </c>
      <c r="I504" s="43">
        <v>3.7505966924853</v>
      </c>
      <c r="J504" s="42">
        <v>0.84792206894975253</v>
      </c>
      <c r="K504" s="43">
        <v>0.48165415251587307</v>
      </c>
      <c r="L504" s="43">
        <v>1473.0291091894621</v>
      </c>
      <c r="M504" s="44">
        <v>1262.7048463684994</v>
      </c>
      <c r="N504" s="44">
        <v>2267.7888763802075</v>
      </c>
      <c r="O504" s="45" t="s">
        <v>5074</v>
      </c>
      <c r="P504" s="46">
        <v>3</v>
      </c>
      <c r="Q504" s="43">
        <v>1473.0291091894621</v>
      </c>
      <c r="R504" s="43">
        <v>1479.1598642121103</v>
      </c>
      <c r="S504" s="47">
        <v>0</v>
      </c>
      <c r="T504" s="48">
        <v>1469.6979920045842</v>
      </c>
      <c r="U504" s="48">
        <v>1481.4674632087012</v>
      </c>
      <c r="V504" s="48">
        <v>1479.1598642121103</v>
      </c>
      <c r="W504" s="48">
        <v>1469.6745933912837</v>
      </c>
    </row>
    <row r="505" spans="1:23" ht="13.2" x14ac:dyDescent="0.25">
      <c r="A505" s="41">
        <v>503</v>
      </c>
      <c r="B505" s="42">
        <v>0.95395453272105868</v>
      </c>
      <c r="C505" s="14" t="s">
        <v>5080</v>
      </c>
      <c r="D505" s="42">
        <v>0.64071346616405689</v>
      </c>
      <c r="E505" s="43">
        <v>101.01783665410142</v>
      </c>
      <c r="F505" s="42">
        <v>5.4402672711015995E-2</v>
      </c>
      <c r="G505" s="43">
        <v>4.2393774432639484</v>
      </c>
      <c r="H505" s="42">
        <v>8.0930249803201418E-2</v>
      </c>
      <c r="I505" s="43">
        <v>1.5413789093025667</v>
      </c>
      <c r="J505" s="42">
        <v>0.89618961973869693</v>
      </c>
      <c r="K505" s="43">
        <v>0.3200095159849583</v>
      </c>
      <c r="L505" s="43">
        <v>1473.3491187054472</v>
      </c>
      <c r="M505" s="44">
        <v>703.0841431125458</v>
      </c>
      <c r="N505" s="44">
        <v>1262.7229581762676</v>
      </c>
      <c r="O505" s="45" t="s">
        <v>5074</v>
      </c>
      <c r="P505" s="46">
        <v>4</v>
      </c>
      <c r="Q505" s="43">
        <v>1473.3491187054472</v>
      </c>
      <c r="R505" s="43">
        <v>1477.5884961487111</v>
      </c>
      <c r="S505" s="47">
        <v>0</v>
      </c>
      <c r="T505" s="48">
        <v>1469.6979920045842</v>
      </c>
      <c r="U505" s="48">
        <v>1481.4674632087012</v>
      </c>
      <c r="V505" s="48">
        <v>1479.1598642121103</v>
      </c>
      <c r="W505" s="48">
        <v>1477.5884961487111</v>
      </c>
    </row>
    <row r="506" spans="1:23" ht="13.2" x14ac:dyDescent="0.25">
      <c r="A506" s="41">
        <v>504</v>
      </c>
      <c r="B506" s="42">
        <v>0.49893150036173478</v>
      </c>
      <c r="C506" s="14" t="s">
        <v>5076</v>
      </c>
      <c r="D506" s="42">
        <v>0.42777556247439963</v>
      </c>
      <c r="E506" s="43">
        <v>39.277755624743996</v>
      </c>
      <c r="F506" s="42">
        <v>0.59026364590519276</v>
      </c>
      <c r="G506" s="43">
        <v>3.3115212771163884</v>
      </c>
      <c r="H506" s="42">
        <v>6.7336286915157126E-2</v>
      </c>
      <c r="I506" s="43">
        <v>0.61891433997707335</v>
      </c>
      <c r="J506" s="42">
        <v>0.40511339782043981</v>
      </c>
      <c r="K506" s="43">
        <v>2.6382138874406009</v>
      </c>
      <c r="L506" s="43">
        <v>1475.9873325928877</v>
      </c>
      <c r="M506" s="44">
        <v>273.37317914821818</v>
      </c>
      <c r="N506" s="44">
        <v>490.97194530929994</v>
      </c>
      <c r="O506" s="45" t="s">
        <v>5074</v>
      </c>
      <c r="P506" s="46">
        <v>1</v>
      </c>
      <c r="Q506" s="43">
        <v>1475.9873325928877</v>
      </c>
      <c r="R506" s="43">
        <v>1479.298853870004</v>
      </c>
      <c r="S506" s="47">
        <v>0</v>
      </c>
      <c r="T506" s="48">
        <v>1479.298853870004</v>
      </c>
      <c r="U506" s="48">
        <v>1481.4674632087012</v>
      </c>
      <c r="V506" s="48">
        <v>1479.1598642121103</v>
      </c>
      <c r="W506" s="48">
        <v>1477.5884961487111</v>
      </c>
    </row>
    <row r="507" spans="1:23" ht="13.2" x14ac:dyDescent="0.25">
      <c r="A507" s="41">
        <v>505</v>
      </c>
      <c r="B507" s="42">
        <v>0.8506430135344355</v>
      </c>
      <c r="C507" s="14" t="s">
        <v>5081</v>
      </c>
      <c r="D507" s="42">
        <v>3.4239352231025394E-2</v>
      </c>
      <c r="E507" s="43">
        <v>261.36957408924104</v>
      </c>
      <c r="F507" s="42">
        <v>0.72990829345300245</v>
      </c>
      <c r="G507" s="43">
        <v>8.9126092105184718</v>
      </c>
      <c r="H507" s="42">
        <v>7.4295804870452647E-2</v>
      </c>
      <c r="I507" s="43">
        <v>3.3854758225114843</v>
      </c>
      <c r="J507" s="42">
        <v>0.69673793609102164</v>
      </c>
      <c r="K507" s="43">
        <v>1.0550246052981564</v>
      </c>
      <c r="L507" s="43">
        <v>1477.0423571981858</v>
      </c>
      <c r="M507" s="44">
        <v>1820.9811758738531</v>
      </c>
      <c r="N507" s="44">
        <v>3267.1196761155129</v>
      </c>
      <c r="O507" s="45" t="s">
        <v>5074</v>
      </c>
      <c r="P507" s="46">
        <v>4</v>
      </c>
      <c r="Q507" s="43">
        <v>1477.5884961487111</v>
      </c>
      <c r="R507" s="43">
        <v>1486.5011053592295</v>
      </c>
      <c r="S507" s="43">
        <v>0.54613895052534644</v>
      </c>
      <c r="T507" s="48">
        <v>1479.298853870004</v>
      </c>
      <c r="U507" s="48">
        <v>1481.4674632087012</v>
      </c>
      <c r="V507" s="48">
        <v>1479.1598642121103</v>
      </c>
      <c r="W507" s="48">
        <v>1486.5011053592295</v>
      </c>
    </row>
    <row r="508" spans="1:23" ht="13.2" x14ac:dyDescent="0.25">
      <c r="A508" s="41">
        <v>506</v>
      </c>
      <c r="B508" s="42">
        <v>0.18520785364564873</v>
      </c>
      <c r="C508" s="14" t="s">
        <v>5073</v>
      </c>
      <c r="D508" s="42">
        <v>0.57472546937629831</v>
      </c>
      <c r="E508" s="43">
        <v>348.9670563251558</v>
      </c>
      <c r="F508" s="42">
        <v>0.38404952892290872</v>
      </c>
      <c r="G508" s="43">
        <v>9.5820750255287042</v>
      </c>
      <c r="H508" s="42">
        <v>0.51426635054604442</v>
      </c>
      <c r="I508" s="43">
        <v>3.378293530557448</v>
      </c>
      <c r="J508" s="42">
        <v>0.66927860056482191</v>
      </c>
      <c r="K508" s="43">
        <v>1.1724229554646819</v>
      </c>
      <c r="L508" s="43">
        <v>1478.2147801536505</v>
      </c>
      <c r="M508" s="44">
        <v>2432.0034833836121</v>
      </c>
      <c r="N508" s="44">
        <v>4362.0882040644474</v>
      </c>
      <c r="O508" s="45" t="s">
        <v>5074</v>
      </c>
      <c r="P508" s="46">
        <v>3</v>
      </c>
      <c r="Q508" s="43">
        <v>1479.1598642121103</v>
      </c>
      <c r="R508" s="43">
        <v>1488.7419392376389</v>
      </c>
      <c r="S508" s="43">
        <v>0.94508405845976995</v>
      </c>
      <c r="T508" s="48">
        <v>1479.298853870004</v>
      </c>
      <c r="U508" s="48">
        <v>1481.4674632087012</v>
      </c>
      <c r="V508" s="48">
        <v>1488.7419392376389</v>
      </c>
      <c r="W508" s="48">
        <v>1486.5011053592295</v>
      </c>
    </row>
    <row r="509" spans="1:23" ht="13.2" x14ac:dyDescent="0.25">
      <c r="A509" s="41">
        <v>507</v>
      </c>
      <c r="B509" s="42">
        <v>0.4347411060867557</v>
      </c>
      <c r="C509" s="14" t="s">
        <v>5077</v>
      </c>
      <c r="D509" s="42">
        <v>0.91174500291782667</v>
      </c>
      <c r="E509" s="43">
        <v>48.205705026260439</v>
      </c>
      <c r="F509" s="42">
        <v>0.82311774130124493</v>
      </c>
      <c r="G509" s="43">
        <v>3.5150965158245975</v>
      </c>
      <c r="H509" s="42">
        <v>0.53047540063526266</v>
      </c>
      <c r="I509" s="43">
        <v>1.240341355227456</v>
      </c>
      <c r="J509" s="42">
        <v>3.837835650815552E-2</v>
      </c>
      <c r="K509" s="43">
        <v>9.5190120025960194</v>
      </c>
      <c r="L509" s="43">
        <v>1487.7337921562466</v>
      </c>
      <c r="M509" s="44">
        <v>335.51170698277264</v>
      </c>
      <c r="N509" s="44">
        <v>602.57131282825549</v>
      </c>
      <c r="O509" s="45" t="s">
        <v>5074</v>
      </c>
      <c r="P509" s="46">
        <v>1</v>
      </c>
      <c r="Q509" s="43">
        <v>1487.7337921562466</v>
      </c>
      <c r="R509" s="43">
        <v>1491.2488886720712</v>
      </c>
      <c r="S509" s="47">
        <v>0</v>
      </c>
      <c r="T509" s="48">
        <v>1491.2488886720712</v>
      </c>
      <c r="U509" s="48">
        <v>1481.4674632087012</v>
      </c>
      <c r="V509" s="48">
        <v>1488.7419392376389</v>
      </c>
      <c r="W509" s="48">
        <v>1486.5011053592295</v>
      </c>
    </row>
    <row r="510" spans="1:23" ht="13.2" x14ac:dyDescent="0.25">
      <c r="A510" s="41">
        <v>508</v>
      </c>
      <c r="B510" s="42">
        <v>0.20600268347468353</v>
      </c>
      <c r="C510" s="14" t="s">
        <v>5073</v>
      </c>
      <c r="D510" s="42">
        <v>8.8846643496699004E-2</v>
      </c>
      <c r="E510" s="43">
        <v>290.66159721960389</v>
      </c>
      <c r="F510" s="42">
        <v>0.93140228881100295</v>
      </c>
      <c r="G510" s="43">
        <v>11.295289163978438</v>
      </c>
      <c r="H510" s="42">
        <v>0.8669190806648317</v>
      </c>
      <c r="I510" s="43">
        <v>3.6840717019617011</v>
      </c>
      <c r="J510" s="42">
        <v>0.954879574922323</v>
      </c>
      <c r="K510" s="43">
        <v>0.1348030540449677</v>
      </c>
      <c r="L510" s="43">
        <v>1487.8685952102917</v>
      </c>
      <c r="M510" s="44">
        <v>2023.004716648443</v>
      </c>
      <c r="N510" s="44">
        <v>3633.2699652450488</v>
      </c>
      <c r="O510" s="45" t="s">
        <v>5074</v>
      </c>
      <c r="P510" s="46">
        <v>2</v>
      </c>
      <c r="Q510" s="43">
        <v>1487.8685952102917</v>
      </c>
      <c r="R510" s="43">
        <v>1499.1638843742701</v>
      </c>
      <c r="S510" s="47">
        <v>0</v>
      </c>
      <c r="T510" s="48">
        <v>1491.2488886720712</v>
      </c>
      <c r="U510" s="48">
        <v>1499.1638843742701</v>
      </c>
      <c r="V510" s="48">
        <v>1488.7419392376389</v>
      </c>
      <c r="W510" s="48">
        <v>1486.5011053592295</v>
      </c>
    </row>
    <row r="511" spans="1:23" ht="13.2" x14ac:dyDescent="0.25">
      <c r="A511" s="41">
        <v>509</v>
      </c>
      <c r="B511" s="42">
        <v>0.39658352564861232</v>
      </c>
      <c r="C511" s="14" t="s">
        <v>5077</v>
      </c>
      <c r="D511" s="42">
        <v>0.66516620231101575</v>
      </c>
      <c r="E511" s="43">
        <v>45.986495820799142</v>
      </c>
      <c r="F511" s="42">
        <v>0.24503768945347409</v>
      </c>
      <c r="G511" s="43">
        <v>3.2376180909376675</v>
      </c>
      <c r="H511" s="42">
        <v>0.83217348988734818</v>
      </c>
      <c r="I511" s="43">
        <v>1.4251874647133189</v>
      </c>
      <c r="J511" s="42">
        <v>5.0390684069316224E-2</v>
      </c>
      <c r="K511" s="43">
        <v>8.7239385719250588</v>
      </c>
      <c r="L511" s="43">
        <v>1496.5925337822168</v>
      </c>
      <c r="M511" s="44">
        <v>320.06601091276201</v>
      </c>
      <c r="N511" s="44">
        <v>574.83119775998932</v>
      </c>
      <c r="O511" s="45" t="s">
        <v>5074</v>
      </c>
      <c r="P511" s="46">
        <v>4</v>
      </c>
      <c r="Q511" s="43">
        <v>1496.5925337822168</v>
      </c>
      <c r="R511" s="43">
        <v>1499.8301518731546</v>
      </c>
      <c r="S511" s="47">
        <v>0</v>
      </c>
      <c r="T511" s="48">
        <v>1491.2488886720712</v>
      </c>
      <c r="U511" s="48">
        <v>1499.1638843742701</v>
      </c>
      <c r="V511" s="48">
        <v>1488.7419392376389</v>
      </c>
      <c r="W511" s="48">
        <v>1499.8301518731546</v>
      </c>
    </row>
    <row r="512" spans="1:23" ht="13.2" x14ac:dyDescent="0.25">
      <c r="A512" s="41">
        <v>510</v>
      </c>
      <c r="B512" s="42">
        <v>2.5536424492269953E-2</v>
      </c>
      <c r="C512" s="14" t="s">
        <v>5073</v>
      </c>
      <c r="D512" s="42">
        <v>0.48911394155077353</v>
      </c>
      <c r="E512" s="43">
        <v>338.69367298609279</v>
      </c>
      <c r="F512" s="42">
        <v>0.85569574723751085</v>
      </c>
      <c r="G512" s="43">
        <v>11.058327688853408</v>
      </c>
      <c r="H512" s="42">
        <v>0.43580646367548337</v>
      </c>
      <c r="I512" s="43">
        <v>3.3085231570667752</v>
      </c>
      <c r="J512" s="42">
        <v>0.22608537982501339</v>
      </c>
      <c r="K512" s="43">
        <v>4.3411461728963143</v>
      </c>
      <c r="L512" s="43">
        <v>1500.9336799551131</v>
      </c>
      <c r="M512" s="44">
        <v>2357.3079639832058</v>
      </c>
      <c r="N512" s="44">
        <v>4233.6709123261599</v>
      </c>
      <c r="O512" s="45" t="s">
        <v>5074</v>
      </c>
      <c r="P512" s="46">
        <v>3</v>
      </c>
      <c r="Q512" s="43">
        <v>1500.9336799551131</v>
      </c>
      <c r="R512" s="43">
        <v>1511.9920076439664</v>
      </c>
      <c r="S512" s="47">
        <v>0</v>
      </c>
      <c r="T512" s="48">
        <v>1491.2488886720712</v>
      </c>
      <c r="U512" s="48">
        <v>1499.1638843742701</v>
      </c>
      <c r="V512" s="48">
        <v>1511.9920076439664</v>
      </c>
      <c r="W512" s="48">
        <v>1499.8301518731546</v>
      </c>
    </row>
    <row r="513" spans="1:23" ht="13.2" x14ac:dyDescent="0.25">
      <c r="A513" s="41">
        <v>511</v>
      </c>
      <c r="B513" s="42">
        <v>0.23898917633993047</v>
      </c>
      <c r="C513" s="14" t="s">
        <v>5077</v>
      </c>
      <c r="D513" s="42">
        <v>0.93088316867634802</v>
      </c>
      <c r="E513" s="43">
        <v>48.37794851808713</v>
      </c>
      <c r="F513" s="42">
        <v>0.77847694409008927</v>
      </c>
      <c r="G513" s="43">
        <v>3.4936689331632431</v>
      </c>
      <c r="H513" s="42">
        <v>0.80749750174931134</v>
      </c>
      <c r="I513" s="43">
        <v>1.4056768371112971</v>
      </c>
      <c r="J513" s="42">
        <v>0.2512352183699772</v>
      </c>
      <c r="K513" s="43">
        <v>4.0331843903586639</v>
      </c>
      <c r="L513" s="43">
        <v>1504.9668643454718</v>
      </c>
      <c r="M513" s="44">
        <v>336.71052168588642</v>
      </c>
      <c r="N513" s="44">
        <v>604.72435647608916</v>
      </c>
      <c r="O513" s="45" t="s">
        <v>5074</v>
      </c>
      <c r="P513" s="46">
        <v>1</v>
      </c>
      <c r="Q513" s="43">
        <v>1504.9668643454718</v>
      </c>
      <c r="R513" s="43">
        <v>1508.460533278635</v>
      </c>
      <c r="S513" s="47">
        <v>0</v>
      </c>
      <c r="T513" s="48">
        <v>1508.460533278635</v>
      </c>
      <c r="U513" s="48">
        <v>1499.1638843742701</v>
      </c>
      <c r="V513" s="48">
        <v>1511.9920076439664</v>
      </c>
      <c r="W513" s="48">
        <v>1499.8301518731546</v>
      </c>
    </row>
    <row r="514" spans="1:23" ht="13.2" x14ac:dyDescent="0.25">
      <c r="A514" s="41">
        <v>512</v>
      </c>
      <c r="B514" s="42">
        <v>0.77399323218222393</v>
      </c>
      <c r="C514" s="14" t="s">
        <v>5078</v>
      </c>
      <c r="D514" s="42">
        <v>0.55693406218520092</v>
      </c>
      <c r="E514" s="43">
        <v>192.27736248740803</v>
      </c>
      <c r="F514" s="42">
        <v>0.14199476742278541</v>
      </c>
      <c r="G514" s="43">
        <v>5.5492152383547344</v>
      </c>
      <c r="H514" s="42">
        <v>0.31238035779091544</v>
      </c>
      <c r="I514" s="43">
        <v>2.8837142606506294</v>
      </c>
      <c r="J514" s="42">
        <v>0.38718786946832567</v>
      </c>
      <c r="K514" s="43">
        <v>2.770351103424638</v>
      </c>
      <c r="L514" s="43">
        <v>1507.7372154488964</v>
      </c>
      <c r="M514" s="44">
        <v>1338.2504429123599</v>
      </c>
      <c r="N514" s="44">
        <v>2403.4670310926003</v>
      </c>
      <c r="O514" s="45" t="s">
        <v>5074</v>
      </c>
      <c r="P514" s="46">
        <v>2</v>
      </c>
      <c r="Q514" s="43">
        <v>1507.7372154488964</v>
      </c>
      <c r="R514" s="43">
        <v>1513.2864306872511</v>
      </c>
      <c r="S514" s="47">
        <v>0</v>
      </c>
      <c r="T514" s="48">
        <v>1508.460533278635</v>
      </c>
      <c r="U514" s="48">
        <v>1513.2864306872511</v>
      </c>
      <c r="V514" s="48">
        <v>1511.9920076439664</v>
      </c>
      <c r="W514" s="48">
        <v>1499.8301518731546</v>
      </c>
    </row>
    <row r="515" spans="1:23" ht="13.2" x14ac:dyDescent="0.25">
      <c r="A515" s="41">
        <v>513</v>
      </c>
      <c r="B515" s="42">
        <v>0.36056271072503304</v>
      </c>
      <c r="C515" s="14" t="s">
        <v>5077</v>
      </c>
      <c r="D515" s="42">
        <v>0.11820553155532364</v>
      </c>
      <c r="E515" s="43">
        <v>41.06384978399791</v>
      </c>
      <c r="F515" s="42">
        <v>0.53454807099632362</v>
      </c>
      <c r="G515" s="43">
        <v>3.3765830740782352</v>
      </c>
      <c r="H515" s="42">
        <v>0.10001110150479298</v>
      </c>
      <c r="I515" s="43">
        <v>0.98974719113000198</v>
      </c>
      <c r="J515" s="42">
        <v>0.45086821143090178</v>
      </c>
      <c r="K515" s="43">
        <v>2.3257815950496159</v>
      </c>
      <c r="L515" s="43">
        <v>1510.0629970439461</v>
      </c>
      <c r="M515" s="44">
        <v>285.80439449662543</v>
      </c>
      <c r="N515" s="44">
        <v>513.2981222999739</v>
      </c>
      <c r="O515" s="45" t="s">
        <v>5074</v>
      </c>
      <c r="P515" s="46">
        <v>4</v>
      </c>
      <c r="Q515" s="43">
        <v>1510.0629970439461</v>
      </c>
      <c r="R515" s="43">
        <v>1513.4395801180244</v>
      </c>
      <c r="S515" s="47">
        <v>0</v>
      </c>
      <c r="T515" s="48">
        <v>1508.460533278635</v>
      </c>
      <c r="U515" s="48">
        <v>1513.2864306872511</v>
      </c>
      <c r="V515" s="48">
        <v>1511.9920076439664</v>
      </c>
      <c r="W515" s="48">
        <v>1513.4395801180244</v>
      </c>
    </row>
    <row r="516" spans="1:23" ht="13.2" x14ac:dyDescent="0.25">
      <c r="A516" s="41">
        <v>514</v>
      </c>
      <c r="B516" s="42">
        <v>0.88176796766080334</v>
      </c>
      <c r="C516" s="14" t="s">
        <v>5075</v>
      </c>
      <c r="D516" s="42">
        <v>0.29850654457626236</v>
      </c>
      <c r="E516" s="43">
        <v>300.89545812033839</v>
      </c>
      <c r="F516" s="42">
        <v>7.8246749042648236E-2</v>
      </c>
      <c r="G516" s="43">
        <v>8.5057110305948704</v>
      </c>
      <c r="H516" s="42">
        <v>0.14208615996972013</v>
      </c>
      <c r="I516" s="43">
        <v>2.0330781555639286</v>
      </c>
      <c r="J516" s="42">
        <v>0.43755954431256255</v>
      </c>
      <c r="K516" s="43">
        <v>2.4132627187140159</v>
      </c>
      <c r="L516" s="43">
        <v>1512.4762597626602</v>
      </c>
      <c r="M516" s="44">
        <v>2094.2323885175551</v>
      </c>
      <c r="N516" s="44">
        <v>3761.1932265042296</v>
      </c>
      <c r="O516" s="45" t="s">
        <v>5074</v>
      </c>
      <c r="P516" s="46">
        <v>1</v>
      </c>
      <c r="Q516" s="43">
        <v>1512.4762597626602</v>
      </c>
      <c r="R516" s="43">
        <v>1520.9819707932552</v>
      </c>
      <c r="S516" s="47">
        <v>0</v>
      </c>
      <c r="T516" s="48">
        <v>1520.9819707932552</v>
      </c>
      <c r="U516" s="48">
        <v>1513.2864306872511</v>
      </c>
      <c r="V516" s="48">
        <v>1511.9920076439664</v>
      </c>
      <c r="W516" s="48">
        <v>1513.4395801180244</v>
      </c>
    </row>
    <row r="517" spans="1:23" ht="13.2" x14ac:dyDescent="0.25">
      <c r="A517" s="41">
        <v>515</v>
      </c>
      <c r="B517" s="42">
        <v>0.27263281413942242</v>
      </c>
      <c r="C517" s="14" t="s">
        <v>5077</v>
      </c>
      <c r="D517" s="42">
        <v>0.60709136799308072</v>
      </c>
      <c r="E517" s="43">
        <v>45.463822311937726</v>
      </c>
      <c r="F517" s="42">
        <v>0.23144462855134376</v>
      </c>
      <c r="G517" s="43">
        <v>3.231093421704645</v>
      </c>
      <c r="H517" s="42">
        <v>0.84247537136193151</v>
      </c>
      <c r="I517" s="43">
        <v>1.4337555955759242</v>
      </c>
      <c r="J517" s="42">
        <v>0.78965216492752177</v>
      </c>
      <c r="K517" s="43">
        <v>0.68952621325723007</v>
      </c>
      <c r="L517" s="43">
        <v>1513.1657859759175</v>
      </c>
      <c r="M517" s="44">
        <v>316.42820329108656</v>
      </c>
      <c r="N517" s="44">
        <v>568.29777889922161</v>
      </c>
      <c r="O517" s="45" t="s">
        <v>5074</v>
      </c>
      <c r="P517" s="46">
        <v>3</v>
      </c>
      <c r="Q517" s="43">
        <v>1513.1657859759175</v>
      </c>
      <c r="R517" s="43">
        <v>1516.3968793976221</v>
      </c>
      <c r="S517" s="47">
        <v>0</v>
      </c>
      <c r="T517" s="48">
        <v>1520.9819707932552</v>
      </c>
      <c r="U517" s="48">
        <v>1513.2864306872511</v>
      </c>
      <c r="V517" s="48">
        <v>1516.3968793976221</v>
      </c>
      <c r="W517" s="48">
        <v>1513.4395801180244</v>
      </c>
    </row>
    <row r="518" spans="1:23" ht="13.2" x14ac:dyDescent="0.25">
      <c r="A518" s="41">
        <v>516</v>
      </c>
      <c r="B518" s="42">
        <v>0.24196192912848757</v>
      </c>
      <c r="C518" s="14" t="s">
        <v>5077</v>
      </c>
      <c r="D518" s="42">
        <v>0.15221854166696711</v>
      </c>
      <c r="E518" s="43">
        <v>41.369966875002703</v>
      </c>
      <c r="F518" s="42">
        <v>4.0204154346233305E-2</v>
      </c>
      <c r="G518" s="43">
        <v>3.139297994086192</v>
      </c>
      <c r="H518" s="42">
        <v>0.29214910990192977</v>
      </c>
      <c r="I518" s="43">
        <v>1.1243049175771078</v>
      </c>
      <c r="J518" s="42">
        <v>0.96929545559421904</v>
      </c>
      <c r="K518" s="43">
        <v>9.1053447685591135E-2</v>
      </c>
      <c r="L518" s="43">
        <v>1513.2568394236032</v>
      </c>
      <c r="M518" s="44">
        <v>287.9682390532555</v>
      </c>
      <c r="N518" s="44">
        <v>517.12458593753377</v>
      </c>
      <c r="O518" s="45" t="s">
        <v>5074</v>
      </c>
      <c r="P518" s="46">
        <v>2</v>
      </c>
      <c r="Q518" s="43">
        <v>1513.2864306872511</v>
      </c>
      <c r="R518" s="43">
        <v>1516.4257286813374</v>
      </c>
      <c r="S518" s="43">
        <v>2.9591263647944288E-2</v>
      </c>
      <c r="T518" s="48">
        <v>1520.9819707932552</v>
      </c>
      <c r="U518" s="48">
        <v>1516.4257286813374</v>
      </c>
      <c r="V518" s="48">
        <v>1516.3968793976221</v>
      </c>
      <c r="W518" s="48">
        <v>1513.4395801180244</v>
      </c>
    </row>
    <row r="519" spans="1:23" ht="13.2" x14ac:dyDescent="0.25">
      <c r="A519" s="41">
        <v>517</v>
      </c>
      <c r="B519" s="42">
        <v>0.99035891331283321</v>
      </c>
      <c r="C519" s="14" t="s">
        <v>5080</v>
      </c>
      <c r="D519" s="42">
        <v>0.6423179896745449</v>
      </c>
      <c r="E519" s="43">
        <v>101.05794974186362</v>
      </c>
      <c r="F519" s="42">
        <v>0.82389896773914761</v>
      </c>
      <c r="G519" s="43">
        <v>4.6549054425791399</v>
      </c>
      <c r="H519" s="42">
        <v>0.90141195054231771</v>
      </c>
      <c r="I519" s="43">
        <v>2.5787417786869575</v>
      </c>
      <c r="J519" s="42">
        <v>0.19911239724564944</v>
      </c>
      <c r="K519" s="43">
        <v>4.7120753384621619</v>
      </c>
      <c r="L519" s="43">
        <v>1517.9689147620654</v>
      </c>
      <c r="M519" s="44">
        <v>703.36333020337077</v>
      </c>
      <c r="N519" s="44">
        <v>1263.2243717732954</v>
      </c>
      <c r="O519" s="45" t="s">
        <v>5074</v>
      </c>
      <c r="P519" s="46">
        <v>4</v>
      </c>
      <c r="Q519" s="43">
        <v>1517.9689147620654</v>
      </c>
      <c r="R519" s="43">
        <v>1522.6238202046445</v>
      </c>
      <c r="S519" s="47">
        <v>0</v>
      </c>
      <c r="T519" s="48">
        <v>1520.9819707932552</v>
      </c>
      <c r="U519" s="48">
        <v>1516.4257286813374</v>
      </c>
      <c r="V519" s="48">
        <v>1516.3968793976221</v>
      </c>
      <c r="W519" s="48">
        <v>1522.6238202046445</v>
      </c>
    </row>
    <row r="520" spans="1:23" ht="13.2" x14ac:dyDescent="0.25">
      <c r="A520" s="41">
        <v>518</v>
      </c>
      <c r="B520" s="42">
        <v>3.5161260531824667E-2</v>
      </c>
      <c r="C520" s="14" t="s">
        <v>5073</v>
      </c>
      <c r="D520" s="42">
        <v>0.26932268136615056</v>
      </c>
      <c r="E520" s="43">
        <v>312.31872176393807</v>
      </c>
      <c r="F520" s="42">
        <v>0.80833693771079973</v>
      </c>
      <c r="G520" s="43">
        <v>10.910094615034803</v>
      </c>
      <c r="H520" s="42">
        <v>0.5133790148018762</v>
      </c>
      <c r="I520" s="43">
        <v>3.3775354820192822</v>
      </c>
      <c r="J520" s="42">
        <v>0.67674903882516035</v>
      </c>
      <c r="K520" s="43">
        <v>1.1400139292532896</v>
      </c>
      <c r="L520" s="43">
        <v>1519.1089286913186</v>
      </c>
      <c r="M520" s="44">
        <v>2173.7383034770091</v>
      </c>
      <c r="N520" s="44">
        <v>3903.984022049226</v>
      </c>
      <c r="O520" s="45" t="s">
        <v>5074</v>
      </c>
      <c r="P520" s="46">
        <v>3</v>
      </c>
      <c r="Q520" s="43">
        <v>1519.1089286913186</v>
      </c>
      <c r="R520" s="43">
        <v>1530.0190233063533</v>
      </c>
      <c r="S520" s="47">
        <v>0</v>
      </c>
      <c r="T520" s="48">
        <v>1520.9819707932552</v>
      </c>
      <c r="U520" s="48">
        <v>1516.4257286813374</v>
      </c>
      <c r="V520" s="48">
        <v>1530.0190233063533</v>
      </c>
      <c r="W520" s="48">
        <v>1522.6238202046445</v>
      </c>
    </row>
    <row r="521" spans="1:23" ht="13.2" x14ac:dyDescent="0.25">
      <c r="A521" s="41">
        <v>519</v>
      </c>
      <c r="B521" s="42">
        <v>0.16598639598395043</v>
      </c>
      <c r="C521" s="14" t="s">
        <v>5073</v>
      </c>
      <c r="D521" s="42">
        <v>0.97791113098054716</v>
      </c>
      <c r="E521" s="43">
        <v>397.34933571766567</v>
      </c>
      <c r="F521" s="42">
        <v>0.9974313410918374</v>
      </c>
      <c r="G521" s="43">
        <v>11.501960097617451</v>
      </c>
      <c r="H521" s="42">
        <v>0.87516683660222538</v>
      </c>
      <c r="I521" s="43">
        <v>3.6940181826507805</v>
      </c>
      <c r="J521" s="42">
        <v>0.5508312650727254</v>
      </c>
      <c r="K521" s="43">
        <v>1.7411000020911516</v>
      </c>
      <c r="L521" s="43">
        <v>1520.8500286934097</v>
      </c>
      <c r="M521" s="44">
        <v>2765.5513765949531</v>
      </c>
      <c r="N521" s="44">
        <v>4966.8666964708209</v>
      </c>
      <c r="O521" s="45" t="s">
        <v>5074</v>
      </c>
      <c r="P521" s="46">
        <v>2</v>
      </c>
      <c r="Q521" s="43">
        <v>1520.8500286934097</v>
      </c>
      <c r="R521" s="43">
        <v>1532.3519887910272</v>
      </c>
      <c r="S521" s="47">
        <v>0</v>
      </c>
      <c r="T521" s="48">
        <v>1520.9819707932552</v>
      </c>
      <c r="U521" s="48">
        <v>1532.3519887910272</v>
      </c>
      <c r="V521" s="48">
        <v>1530.0190233063533</v>
      </c>
      <c r="W521" s="48">
        <v>1522.6238202046445</v>
      </c>
    </row>
    <row r="522" spans="1:23" ht="13.2" x14ac:dyDescent="0.25">
      <c r="A522" s="41">
        <v>520</v>
      </c>
      <c r="B522" s="42">
        <v>0.8836311241069954</v>
      </c>
      <c r="C522" s="14" t="s">
        <v>5075</v>
      </c>
      <c r="D522" s="42">
        <v>0.56899014234961487</v>
      </c>
      <c r="E522" s="43">
        <v>319.82930996447305</v>
      </c>
      <c r="F522" s="42">
        <v>0.78883043853045931</v>
      </c>
      <c r="G522" s="43">
        <v>9.9197725726756136</v>
      </c>
      <c r="H522" s="42">
        <v>0.45783085863004946</v>
      </c>
      <c r="I522" s="43">
        <v>2.456902146125767</v>
      </c>
      <c r="J522" s="42">
        <v>0.3820971289566239</v>
      </c>
      <c r="K522" s="43">
        <v>2.8089939807617252</v>
      </c>
      <c r="L522" s="43">
        <v>1523.6590226741714</v>
      </c>
      <c r="M522" s="44">
        <v>2226.0119973527326</v>
      </c>
      <c r="N522" s="44">
        <v>3997.8663745559134</v>
      </c>
      <c r="O522" s="45" t="s">
        <v>5074</v>
      </c>
      <c r="P522" s="46">
        <v>1</v>
      </c>
      <c r="Q522" s="43">
        <v>1523.6590226741714</v>
      </c>
      <c r="R522" s="43">
        <v>1533.578795246847</v>
      </c>
      <c r="S522" s="47">
        <v>0</v>
      </c>
      <c r="T522" s="48">
        <v>1533.578795246847</v>
      </c>
      <c r="U522" s="48">
        <v>1532.3519887910272</v>
      </c>
      <c r="V522" s="48">
        <v>1530.0190233063533</v>
      </c>
      <c r="W522" s="48">
        <v>1522.6238202046445</v>
      </c>
    </row>
    <row r="523" spans="1:23" ht="13.2" x14ac:dyDescent="0.25">
      <c r="A523" s="41">
        <v>521</v>
      </c>
      <c r="B523" s="42">
        <v>0.69571247030781236</v>
      </c>
      <c r="C523" s="14" t="s">
        <v>5079</v>
      </c>
      <c r="D523" s="42">
        <v>0.27177505720023765</v>
      </c>
      <c r="E523" s="43">
        <v>7.8153251716007128</v>
      </c>
      <c r="F523" s="42">
        <v>0.84922217151579549</v>
      </c>
      <c r="G523" s="43">
        <v>1.5334144388667375</v>
      </c>
      <c r="H523" s="42">
        <v>7.1782753836262389E-3</v>
      </c>
      <c r="I523" s="43">
        <v>0.22679230371510864</v>
      </c>
      <c r="J523" s="42">
        <v>0.89096887637440525</v>
      </c>
      <c r="K523" s="43">
        <v>0.33706798025933932</v>
      </c>
      <c r="L523" s="43">
        <v>1523.9960906544306</v>
      </c>
      <c r="M523" s="44">
        <v>54.394663194340964</v>
      </c>
      <c r="N523" s="44">
        <v>97.69156464500891</v>
      </c>
      <c r="O523" s="45" t="s">
        <v>5074</v>
      </c>
      <c r="P523" s="46">
        <v>4</v>
      </c>
      <c r="Q523" s="43">
        <v>1523.9960906544306</v>
      </c>
      <c r="R523" s="43">
        <v>1525.5295050932973</v>
      </c>
      <c r="S523" s="47">
        <v>0</v>
      </c>
      <c r="T523" s="48">
        <v>1533.578795246847</v>
      </c>
      <c r="U523" s="48">
        <v>1532.3519887910272</v>
      </c>
      <c r="V523" s="48">
        <v>1530.0190233063533</v>
      </c>
      <c r="W523" s="48">
        <v>1525.5295050932973</v>
      </c>
    </row>
    <row r="524" spans="1:23" ht="13.2" x14ac:dyDescent="0.25">
      <c r="A524" s="41">
        <v>522</v>
      </c>
      <c r="B524" s="42">
        <v>0.44108305286666522</v>
      </c>
      <c r="C524" s="14" t="s">
        <v>5077</v>
      </c>
      <c r="D524" s="42">
        <v>0.24070883180979119</v>
      </c>
      <c r="E524" s="43">
        <v>42.166379486288122</v>
      </c>
      <c r="F524" s="42">
        <v>0.34040413859319135</v>
      </c>
      <c r="G524" s="43">
        <v>3.2833939865247319</v>
      </c>
      <c r="H524" s="42">
        <v>0.67092777773315448</v>
      </c>
      <c r="I524" s="43">
        <v>1.3151851094096272</v>
      </c>
      <c r="J524" s="42">
        <v>0.53136722488858146</v>
      </c>
      <c r="K524" s="43">
        <v>1.8461370057554491</v>
      </c>
      <c r="L524" s="43">
        <v>1525.8422276601862</v>
      </c>
      <c r="M524" s="44">
        <v>293.47800122456533</v>
      </c>
      <c r="N524" s="44">
        <v>527.07974357860155</v>
      </c>
      <c r="O524" s="45" t="s">
        <v>5074</v>
      </c>
      <c r="P524" s="46">
        <v>4</v>
      </c>
      <c r="Q524" s="43">
        <v>1525.8422276601862</v>
      </c>
      <c r="R524" s="43">
        <v>1529.1256216467109</v>
      </c>
      <c r="S524" s="47">
        <v>0</v>
      </c>
      <c r="T524" s="48">
        <v>1533.578795246847</v>
      </c>
      <c r="U524" s="48">
        <v>1532.3519887910272</v>
      </c>
      <c r="V524" s="48">
        <v>1530.0190233063533</v>
      </c>
      <c r="W524" s="48">
        <v>1529.1256216467109</v>
      </c>
    </row>
    <row r="525" spans="1:23" ht="13.2" x14ac:dyDescent="0.25">
      <c r="A525" s="41">
        <v>523</v>
      </c>
      <c r="B525" s="42">
        <v>0.50214361189964396</v>
      </c>
      <c r="C525" s="14" t="s">
        <v>5076</v>
      </c>
      <c r="D525" s="42">
        <v>6.7733200764159299E-2</v>
      </c>
      <c r="E525" s="43">
        <v>35.677332007641596</v>
      </c>
      <c r="F525" s="42">
        <v>7.8137908167269968E-2</v>
      </c>
      <c r="G525" s="43">
        <v>3.0759434377569441</v>
      </c>
      <c r="H525" s="42">
        <v>0.97372807095466563</v>
      </c>
      <c r="I525" s="43">
        <v>1.1142320564972341</v>
      </c>
      <c r="J525" s="42">
        <v>0.18944176062449894</v>
      </c>
      <c r="K525" s="43">
        <v>4.8574412656717962</v>
      </c>
      <c r="L525" s="43">
        <v>1530.6996689258578</v>
      </c>
      <c r="M525" s="44">
        <v>248.3142307731855</v>
      </c>
      <c r="N525" s="44">
        <v>445.96665009551992</v>
      </c>
      <c r="O525" s="45" t="s">
        <v>5074</v>
      </c>
      <c r="P525" s="46">
        <v>4</v>
      </c>
      <c r="Q525" s="43">
        <v>1530.6996689258578</v>
      </c>
      <c r="R525" s="43">
        <v>1533.7756123636148</v>
      </c>
      <c r="S525" s="47">
        <v>0</v>
      </c>
      <c r="T525" s="48">
        <v>1533.578795246847</v>
      </c>
      <c r="U525" s="48">
        <v>1532.3519887910272</v>
      </c>
      <c r="V525" s="48">
        <v>1530.0190233063533</v>
      </c>
      <c r="W525" s="48">
        <v>1533.7756123636148</v>
      </c>
    </row>
    <row r="526" spans="1:23" ht="13.2" x14ac:dyDescent="0.25">
      <c r="A526" s="41">
        <v>524</v>
      </c>
      <c r="B526" s="42">
        <v>1.8739440021449439E-2</v>
      </c>
      <c r="C526" s="14" t="s">
        <v>5073</v>
      </c>
      <c r="D526" s="42">
        <v>0.73853764903663544</v>
      </c>
      <c r="E526" s="43">
        <v>368.62451788439625</v>
      </c>
      <c r="F526" s="42">
        <v>0.85239865158330586</v>
      </c>
      <c r="G526" s="43">
        <v>11.048007779455748</v>
      </c>
      <c r="H526" s="42">
        <v>0.33766264810118019</v>
      </c>
      <c r="I526" s="43">
        <v>3.2116838990392926</v>
      </c>
      <c r="J526" s="42">
        <v>0.39146656281848746</v>
      </c>
      <c r="K526" s="43">
        <v>2.7382632848752704</v>
      </c>
      <c r="L526" s="43">
        <v>1533.4379322107332</v>
      </c>
      <c r="M526" s="44">
        <v>2565.6266444753978</v>
      </c>
      <c r="N526" s="44">
        <v>4607.8064735549533</v>
      </c>
      <c r="O526" s="45" t="s">
        <v>5074</v>
      </c>
      <c r="P526" s="46">
        <v>3</v>
      </c>
      <c r="Q526" s="43">
        <v>1533.4379322107332</v>
      </c>
      <c r="R526" s="43">
        <v>1544.4859399901889</v>
      </c>
      <c r="S526" s="47">
        <v>0</v>
      </c>
      <c r="T526" s="48">
        <v>1533.578795246847</v>
      </c>
      <c r="U526" s="48">
        <v>1532.3519887910272</v>
      </c>
      <c r="V526" s="48">
        <v>1544.4859399901889</v>
      </c>
      <c r="W526" s="48">
        <v>1533.7756123636148</v>
      </c>
    </row>
    <row r="527" spans="1:23" ht="13.2" x14ac:dyDescent="0.25">
      <c r="A527" s="41">
        <v>525</v>
      </c>
      <c r="B527" s="42">
        <v>0.35261138870968084</v>
      </c>
      <c r="C527" s="14" t="s">
        <v>5077</v>
      </c>
      <c r="D527" s="42">
        <v>0.94392792738225684</v>
      </c>
      <c r="E527" s="43">
        <v>48.495351346440316</v>
      </c>
      <c r="F527" s="42">
        <v>0.10546189691194421</v>
      </c>
      <c r="G527" s="43">
        <v>3.1706217105177332</v>
      </c>
      <c r="H527" s="42">
        <v>0.4360932998527276</v>
      </c>
      <c r="I527" s="43">
        <v>1.1962241637595843</v>
      </c>
      <c r="J527" s="42">
        <v>0.67207330729443271</v>
      </c>
      <c r="K527" s="43">
        <v>1.16025651437347</v>
      </c>
      <c r="L527" s="43">
        <v>1534.5981887251066</v>
      </c>
      <c r="M527" s="44">
        <v>337.52764537122459</v>
      </c>
      <c r="N527" s="44">
        <v>606.19189183050389</v>
      </c>
      <c r="O527" s="45" t="s">
        <v>5074</v>
      </c>
      <c r="P527" s="46">
        <v>2</v>
      </c>
      <c r="Q527" s="43">
        <v>1534.5981887251066</v>
      </c>
      <c r="R527" s="43">
        <v>1537.7688104356243</v>
      </c>
      <c r="S527" s="47">
        <v>0</v>
      </c>
      <c r="T527" s="48">
        <v>1533.578795246847</v>
      </c>
      <c r="U527" s="48">
        <v>1537.7688104356243</v>
      </c>
      <c r="V527" s="48">
        <v>1544.4859399901889</v>
      </c>
      <c r="W527" s="48">
        <v>1533.7756123636148</v>
      </c>
    </row>
    <row r="528" spans="1:23" ht="13.2" x14ac:dyDescent="0.25">
      <c r="A528" s="41">
        <v>526</v>
      </c>
      <c r="B528" s="42">
        <v>0.2939602114697733</v>
      </c>
      <c r="C528" s="14" t="s">
        <v>5077</v>
      </c>
      <c r="D528" s="42">
        <v>0.59313267031364736</v>
      </c>
      <c r="E528" s="43">
        <v>45.338194032822827</v>
      </c>
      <c r="F528" s="42">
        <v>0.63018976972912888</v>
      </c>
      <c r="G528" s="43">
        <v>3.422491089469982</v>
      </c>
      <c r="H528" s="42">
        <v>9.859432424353172E-2</v>
      </c>
      <c r="I528" s="43">
        <v>0.98839839895198534</v>
      </c>
      <c r="J528" s="42">
        <v>0.18969741053399508</v>
      </c>
      <c r="K528" s="43">
        <v>4.8535038027910113</v>
      </c>
      <c r="L528" s="43">
        <v>1539.4516925278976</v>
      </c>
      <c r="M528" s="44">
        <v>315.55383046844685</v>
      </c>
      <c r="N528" s="44">
        <v>566.72742541028538</v>
      </c>
      <c r="O528" s="45" t="s">
        <v>5074</v>
      </c>
      <c r="P528" s="46">
        <v>1</v>
      </c>
      <c r="Q528" s="43">
        <v>1539.4516925278976</v>
      </c>
      <c r="R528" s="43">
        <v>1542.8741836173676</v>
      </c>
      <c r="S528" s="47">
        <v>0</v>
      </c>
      <c r="T528" s="48">
        <v>1542.8741836173676</v>
      </c>
      <c r="U528" s="48">
        <v>1537.7688104356243</v>
      </c>
      <c r="V528" s="48">
        <v>1544.4859399901889</v>
      </c>
      <c r="W528" s="48">
        <v>1533.7756123636148</v>
      </c>
    </row>
    <row r="529" spans="1:23" ht="13.2" x14ac:dyDescent="0.25">
      <c r="A529" s="41">
        <v>527</v>
      </c>
      <c r="B529" s="42">
        <v>0.55440504409112268</v>
      </c>
      <c r="C529" s="14" t="s">
        <v>5076</v>
      </c>
      <c r="D529" s="42">
        <v>0.52815172193951521</v>
      </c>
      <c r="E529" s="43">
        <v>40.281517219395155</v>
      </c>
      <c r="F529" s="42">
        <v>0.21709731743535834</v>
      </c>
      <c r="G529" s="43">
        <v>3.1398647660202648</v>
      </c>
      <c r="H529" s="42">
        <v>0.38444003573825586</v>
      </c>
      <c r="I529" s="43">
        <v>0.78413448841179723</v>
      </c>
      <c r="J529" s="42">
        <v>0.52262316621962146</v>
      </c>
      <c r="K529" s="43">
        <v>1.8945827681741885</v>
      </c>
      <c r="L529" s="43">
        <v>1541.3462752960718</v>
      </c>
      <c r="M529" s="44">
        <v>280.35935984699029</v>
      </c>
      <c r="N529" s="44">
        <v>503.51896524243944</v>
      </c>
      <c r="O529" s="45" t="s">
        <v>5074</v>
      </c>
      <c r="P529" s="46">
        <v>4</v>
      </c>
      <c r="Q529" s="43">
        <v>1541.3462752960718</v>
      </c>
      <c r="R529" s="43">
        <v>1544.4861400620921</v>
      </c>
      <c r="S529" s="47">
        <v>0</v>
      </c>
      <c r="T529" s="48">
        <v>1542.8741836173676</v>
      </c>
      <c r="U529" s="48">
        <v>1537.7688104356243</v>
      </c>
      <c r="V529" s="48">
        <v>1544.4859399901889</v>
      </c>
      <c r="W529" s="48">
        <v>1544.4861400620921</v>
      </c>
    </row>
    <row r="530" spans="1:23" ht="13.2" x14ac:dyDescent="0.25">
      <c r="A530" s="41">
        <v>528</v>
      </c>
      <c r="B530" s="42">
        <v>0.79788766140019873</v>
      </c>
      <c r="C530" s="14" t="s">
        <v>5078</v>
      </c>
      <c r="D530" s="42">
        <v>0.4317281117810533</v>
      </c>
      <c r="E530" s="43">
        <v>187.26912447124212</v>
      </c>
      <c r="F530" s="42">
        <v>0.7073983036481768</v>
      </c>
      <c r="G530" s="43">
        <v>6.0637324563198405</v>
      </c>
      <c r="H530" s="42">
        <v>0.6335159273042883</v>
      </c>
      <c r="I530" s="43">
        <v>3.3276880651426777</v>
      </c>
      <c r="J530" s="42">
        <v>0.57103211645550656</v>
      </c>
      <c r="K530" s="43">
        <v>1.6359410946751827</v>
      </c>
      <c r="L530" s="43">
        <v>1542.982216390747</v>
      </c>
      <c r="M530" s="44">
        <v>1303.3931063198452</v>
      </c>
      <c r="N530" s="44">
        <v>2340.8640558905267</v>
      </c>
      <c r="O530" s="45" t="s">
        <v>5074</v>
      </c>
      <c r="P530" s="46">
        <v>2</v>
      </c>
      <c r="Q530" s="43">
        <v>1542.982216390747</v>
      </c>
      <c r="R530" s="43">
        <v>1549.0459488470669</v>
      </c>
      <c r="S530" s="47">
        <v>0</v>
      </c>
      <c r="T530" s="48">
        <v>1542.8741836173676</v>
      </c>
      <c r="U530" s="48">
        <v>1549.0459488470669</v>
      </c>
      <c r="V530" s="48">
        <v>1544.4859399901889</v>
      </c>
      <c r="W530" s="48">
        <v>1544.4861400620921</v>
      </c>
    </row>
    <row r="531" spans="1:23" ht="13.2" x14ac:dyDescent="0.25">
      <c r="A531" s="41">
        <v>529</v>
      </c>
      <c r="B531" s="42">
        <v>0.70577904801153535</v>
      </c>
      <c r="C531" s="14" t="s">
        <v>5079</v>
      </c>
      <c r="D531" s="42">
        <v>0.34202734676284124</v>
      </c>
      <c r="E531" s="43">
        <v>8.0260820402885233</v>
      </c>
      <c r="F531" s="42">
        <v>0.54150636426243293</v>
      </c>
      <c r="G531" s="43">
        <v>1.4995657000688676</v>
      </c>
      <c r="H531" s="42">
        <v>0.35310987213305656</v>
      </c>
      <c r="I531" s="43">
        <v>0.38791217952358931</v>
      </c>
      <c r="J531" s="42">
        <v>0.68204822190201297</v>
      </c>
      <c r="K531" s="43">
        <v>1.1172406336848959</v>
      </c>
      <c r="L531" s="43">
        <v>1544.0994570244318</v>
      </c>
      <c r="M531" s="44">
        <v>55.861531000408121</v>
      </c>
      <c r="N531" s="44">
        <v>100.32602550360654</v>
      </c>
      <c r="O531" s="45" t="s">
        <v>5074</v>
      </c>
      <c r="P531" s="46">
        <v>1</v>
      </c>
      <c r="Q531" s="43">
        <v>1544.0994570244318</v>
      </c>
      <c r="R531" s="43">
        <v>1545.5990227245006</v>
      </c>
      <c r="S531" s="47">
        <v>0</v>
      </c>
      <c r="T531" s="48">
        <v>1545.5990227245006</v>
      </c>
      <c r="U531" s="48">
        <v>1549.0459488470669</v>
      </c>
      <c r="V531" s="48">
        <v>1544.4859399901889</v>
      </c>
      <c r="W531" s="48">
        <v>1544.4861400620921</v>
      </c>
    </row>
    <row r="532" spans="1:23" ht="13.2" x14ac:dyDescent="0.25">
      <c r="A532" s="41">
        <v>530</v>
      </c>
      <c r="B532" s="42">
        <v>0.78869739397833938</v>
      </c>
      <c r="C532" s="14" t="s">
        <v>5078</v>
      </c>
      <c r="D532" s="42">
        <v>1.8477411949298071E-3</v>
      </c>
      <c r="E532" s="43">
        <v>170.07390964779719</v>
      </c>
      <c r="F532" s="42">
        <v>8.3548436445905094E-2</v>
      </c>
      <c r="G532" s="43">
        <v>5.4960290771657734</v>
      </c>
      <c r="H532" s="42">
        <v>0.93331106609353376</v>
      </c>
      <c r="I532" s="43">
        <v>3.9999165048221963</v>
      </c>
      <c r="J532" s="42">
        <v>7.4425285251077861E-2</v>
      </c>
      <c r="K532" s="43">
        <v>7.5852833265858646</v>
      </c>
      <c r="L532" s="43">
        <v>1551.6847403510176</v>
      </c>
      <c r="M532" s="44">
        <v>1183.7144111486684</v>
      </c>
      <c r="N532" s="44">
        <v>2125.9238705974649</v>
      </c>
      <c r="O532" s="45" t="s">
        <v>5074</v>
      </c>
      <c r="P532" s="46">
        <v>3</v>
      </c>
      <c r="Q532" s="43">
        <v>1551.6847403510176</v>
      </c>
      <c r="R532" s="43">
        <v>1557.1807694281833</v>
      </c>
      <c r="S532" s="47">
        <v>0</v>
      </c>
      <c r="T532" s="48">
        <v>1545.5990227245006</v>
      </c>
      <c r="U532" s="48">
        <v>1549.0459488470669</v>
      </c>
      <c r="V532" s="48">
        <v>1557.1807694281833</v>
      </c>
      <c r="W532" s="48">
        <v>1544.4861400620921</v>
      </c>
    </row>
    <row r="533" spans="1:23" ht="13.2" x14ac:dyDescent="0.25">
      <c r="A533" s="41">
        <v>531</v>
      </c>
      <c r="B533" s="42">
        <v>0.2200684962887636</v>
      </c>
      <c r="C533" s="14" t="s">
        <v>5073</v>
      </c>
      <c r="D533" s="42">
        <v>0.98592100012391848</v>
      </c>
      <c r="E533" s="43">
        <v>398.31052001487024</v>
      </c>
      <c r="F533" s="42">
        <v>0.62486721138696522</v>
      </c>
      <c r="G533" s="43">
        <v>10.335834371641202</v>
      </c>
      <c r="H533" s="42">
        <v>0.5671698341924557</v>
      </c>
      <c r="I533" s="43">
        <v>3.4223636762626137</v>
      </c>
      <c r="J533" s="42">
        <v>0.84039514318126962</v>
      </c>
      <c r="K533" s="43">
        <v>0.5076878516877753</v>
      </c>
      <c r="L533" s="43">
        <v>1552.1924282027053</v>
      </c>
      <c r="M533" s="44">
        <v>2772.241219303497</v>
      </c>
      <c r="N533" s="44">
        <v>4978.8815001858784</v>
      </c>
      <c r="O533" s="45" t="s">
        <v>5074</v>
      </c>
      <c r="P533" s="46">
        <v>4</v>
      </c>
      <c r="Q533" s="43">
        <v>1552.1924282027053</v>
      </c>
      <c r="R533" s="43">
        <v>1562.5282625743464</v>
      </c>
      <c r="S533" s="47">
        <v>0</v>
      </c>
      <c r="T533" s="48">
        <v>1545.5990227245006</v>
      </c>
      <c r="U533" s="48">
        <v>1549.0459488470669</v>
      </c>
      <c r="V533" s="48">
        <v>1557.1807694281833</v>
      </c>
      <c r="W533" s="48">
        <v>1562.5282625743464</v>
      </c>
    </row>
    <row r="534" spans="1:23" ht="13.2" x14ac:dyDescent="0.25">
      <c r="A534" s="41">
        <v>532</v>
      </c>
      <c r="B534" s="42">
        <v>0.19783974867213505</v>
      </c>
      <c r="C534" s="14" t="s">
        <v>5073</v>
      </c>
      <c r="D534" s="42">
        <v>0.67979443151494234</v>
      </c>
      <c r="E534" s="43">
        <v>361.57533178179307</v>
      </c>
      <c r="F534" s="42">
        <v>0.29825335522100949</v>
      </c>
      <c r="G534" s="43">
        <v>9.3135330018417601</v>
      </c>
      <c r="H534" s="42">
        <v>0.63823519676841567</v>
      </c>
      <c r="I534" s="43">
        <v>3.4784440684845626</v>
      </c>
      <c r="J534" s="42">
        <v>0.91303689308140279</v>
      </c>
      <c r="K534" s="43">
        <v>0.26563208925883719</v>
      </c>
      <c r="L534" s="43">
        <v>1552.4580602919641</v>
      </c>
      <c r="M534" s="44">
        <v>2516.5643092012797</v>
      </c>
      <c r="N534" s="44">
        <v>4519.6916472724133</v>
      </c>
      <c r="O534" s="45" t="s">
        <v>5074</v>
      </c>
      <c r="P534" s="46">
        <v>1</v>
      </c>
      <c r="Q534" s="43">
        <v>1552.4580602919641</v>
      </c>
      <c r="R534" s="43">
        <v>1561.7715932938058</v>
      </c>
      <c r="S534" s="47">
        <v>0</v>
      </c>
      <c r="T534" s="48">
        <v>1561.7715932938058</v>
      </c>
      <c r="U534" s="48">
        <v>1549.0459488470669</v>
      </c>
      <c r="V534" s="48">
        <v>1557.1807694281833</v>
      </c>
      <c r="W534" s="48">
        <v>1562.5282625743464</v>
      </c>
    </row>
    <row r="535" spans="1:23" ht="13.2" x14ac:dyDescent="0.25">
      <c r="A535" s="41">
        <v>533</v>
      </c>
      <c r="B535" s="42">
        <v>0.206592267941028</v>
      </c>
      <c r="C535" s="14" t="s">
        <v>5073</v>
      </c>
      <c r="D535" s="42">
        <v>0.46693048554795352</v>
      </c>
      <c r="E535" s="43">
        <v>336.0316582657544</v>
      </c>
      <c r="F535" s="42">
        <v>0.93859265322731467</v>
      </c>
      <c r="G535" s="43">
        <v>11.317795004601495</v>
      </c>
      <c r="H535" s="42">
        <v>0.40824914183851757</v>
      </c>
      <c r="I535" s="43">
        <v>3.2825431060061652</v>
      </c>
      <c r="J535" s="42">
        <v>0.37495470436986289</v>
      </c>
      <c r="K535" s="43">
        <v>2.8640877332971049</v>
      </c>
      <c r="L535" s="43">
        <v>1555.3221480252612</v>
      </c>
      <c r="M535" s="44">
        <v>2338.7803415296507</v>
      </c>
      <c r="N535" s="44">
        <v>4200.3957283219297</v>
      </c>
      <c r="O535" s="45" t="s">
        <v>5074</v>
      </c>
      <c r="P535" s="46">
        <v>2</v>
      </c>
      <c r="Q535" s="43">
        <v>1555.3221480252612</v>
      </c>
      <c r="R535" s="43">
        <v>1566.6399430298627</v>
      </c>
      <c r="S535" s="47">
        <v>0</v>
      </c>
      <c r="T535" s="48">
        <v>1561.7715932938058</v>
      </c>
      <c r="U535" s="48">
        <v>1566.6399430298627</v>
      </c>
      <c r="V535" s="48">
        <v>1557.1807694281833</v>
      </c>
      <c r="W535" s="48">
        <v>1562.5282625743464</v>
      </c>
    </row>
    <row r="536" spans="1:23" ht="13.2" x14ac:dyDescent="0.25">
      <c r="A536" s="41">
        <v>534</v>
      </c>
      <c r="B536" s="42">
        <v>0.95142719193893821</v>
      </c>
      <c r="C536" s="14" t="s">
        <v>5080</v>
      </c>
      <c r="D536" s="42">
        <v>0.81879810701068401</v>
      </c>
      <c r="E536" s="43">
        <v>105.46995267526711</v>
      </c>
      <c r="F536" s="42">
        <v>0.3912079047370739</v>
      </c>
      <c r="G536" s="43">
        <v>4.4212522685580202</v>
      </c>
      <c r="H536" s="42">
        <v>0.80976842381515002</v>
      </c>
      <c r="I536" s="43">
        <v>2.4148360596100185</v>
      </c>
      <c r="J536" s="42">
        <v>0.25778685848125577</v>
      </c>
      <c r="K536" s="43">
        <v>3.9580209209095241</v>
      </c>
      <c r="L536" s="43">
        <v>1559.2801689461708</v>
      </c>
      <c r="M536" s="44">
        <v>734.07087061985908</v>
      </c>
      <c r="N536" s="44">
        <v>1318.3744084408388</v>
      </c>
      <c r="O536" s="45" t="s">
        <v>5074</v>
      </c>
      <c r="P536" s="46">
        <v>3</v>
      </c>
      <c r="Q536" s="43">
        <v>1559.2801689461708</v>
      </c>
      <c r="R536" s="43">
        <v>1563.7014212147287</v>
      </c>
      <c r="S536" s="47">
        <v>0</v>
      </c>
      <c r="T536" s="48">
        <v>1561.7715932938058</v>
      </c>
      <c r="U536" s="48">
        <v>1566.6399430298627</v>
      </c>
      <c r="V536" s="48">
        <v>1563.7014212147287</v>
      </c>
      <c r="W536" s="48">
        <v>1562.5282625743464</v>
      </c>
    </row>
    <row r="537" spans="1:23" ht="13.2" x14ac:dyDescent="0.25">
      <c r="A537" s="41">
        <v>535</v>
      </c>
      <c r="B537" s="42">
        <v>0.14274945815221846</v>
      </c>
      <c r="C537" s="14" t="s">
        <v>5073</v>
      </c>
      <c r="D537" s="42">
        <v>0.51396676735671554</v>
      </c>
      <c r="E537" s="43">
        <v>341.67601208280587</v>
      </c>
      <c r="F537" s="42">
        <v>5.5703828137230052E-3</v>
      </c>
      <c r="G537" s="43">
        <v>8.397435298206954</v>
      </c>
      <c r="H537" s="42">
        <v>0.51358895819335659</v>
      </c>
      <c r="I537" s="43">
        <v>3.3777148952194187</v>
      </c>
      <c r="J537" s="42">
        <v>0.13277274283243937</v>
      </c>
      <c r="K537" s="43">
        <v>5.8952301102544382</v>
      </c>
      <c r="L537" s="43">
        <v>1565.1753990564252</v>
      </c>
      <c r="M537" s="44">
        <v>2378.0650440963286</v>
      </c>
      <c r="N537" s="44">
        <v>4270.9501510350738</v>
      </c>
      <c r="O537" s="45" t="s">
        <v>5074</v>
      </c>
      <c r="P537" s="46">
        <v>1</v>
      </c>
      <c r="Q537" s="43">
        <v>1565.1753990564252</v>
      </c>
      <c r="R537" s="43">
        <v>1573.5728343546323</v>
      </c>
      <c r="S537" s="47">
        <v>0</v>
      </c>
      <c r="T537" s="48">
        <v>1573.5728343546323</v>
      </c>
      <c r="U537" s="48">
        <v>1566.6399430298627</v>
      </c>
      <c r="V537" s="48">
        <v>1563.7014212147287</v>
      </c>
      <c r="W537" s="48">
        <v>1562.5282625743464</v>
      </c>
    </row>
    <row r="538" spans="1:23" ht="13.2" x14ac:dyDescent="0.25">
      <c r="A538" s="41">
        <v>536</v>
      </c>
      <c r="B538" s="42">
        <v>2.1899112044786621E-2</v>
      </c>
      <c r="C538" s="14" t="s">
        <v>5073</v>
      </c>
      <c r="D538" s="42">
        <v>9.1612294358952115E-2</v>
      </c>
      <c r="E538" s="43">
        <v>290.99347532307428</v>
      </c>
      <c r="F538" s="42">
        <v>0.42640378066636797</v>
      </c>
      <c r="G538" s="43">
        <v>9.7146438334857326</v>
      </c>
      <c r="H538" s="42">
        <v>0.2251496320707489</v>
      </c>
      <c r="I538" s="43">
        <v>3.0811406439977533</v>
      </c>
      <c r="J538" s="42">
        <v>0.66345850921397032</v>
      </c>
      <c r="K538" s="43">
        <v>1.1979239719035277</v>
      </c>
      <c r="L538" s="43">
        <v>1566.3733230283287</v>
      </c>
      <c r="M538" s="44">
        <v>2025.3145882485969</v>
      </c>
      <c r="N538" s="44">
        <v>3637.4184415384284</v>
      </c>
      <c r="O538" s="45" t="s">
        <v>5074</v>
      </c>
      <c r="P538" s="46">
        <v>4</v>
      </c>
      <c r="Q538" s="43">
        <v>1566.3733230283287</v>
      </c>
      <c r="R538" s="43">
        <v>1576.0879668618145</v>
      </c>
      <c r="S538" s="47">
        <v>0</v>
      </c>
      <c r="T538" s="48">
        <v>1573.5728343546323</v>
      </c>
      <c r="U538" s="48">
        <v>1566.6399430298627</v>
      </c>
      <c r="V538" s="48">
        <v>1563.7014212147287</v>
      </c>
      <c r="W538" s="48">
        <v>1576.0879668618145</v>
      </c>
    </row>
    <row r="539" spans="1:23" ht="13.2" x14ac:dyDescent="0.25">
      <c r="A539" s="41">
        <v>537</v>
      </c>
      <c r="B539" s="42">
        <v>0.74718532978891639</v>
      </c>
      <c r="C539" s="14" t="s">
        <v>5079</v>
      </c>
      <c r="D539" s="42">
        <v>0.13320284203309699</v>
      </c>
      <c r="E539" s="43">
        <v>7.399608526099291</v>
      </c>
      <c r="F539" s="42">
        <v>0.9327710866615041</v>
      </c>
      <c r="G539" s="43">
        <v>1.5426048195327655</v>
      </c>
      <c r="H539" s="42">
        <v>0.2651611861144943</v>
      </c>
      <c r="I539" s="43">
        <v>0.36283770635651136</v>
      </c>
      <c r="J539" s="42">
        <v>0.89545317454983164</v>
      </c>
      <c r="K539" s="43">
        <v>0.32240977686167543</v>
      </c>
      <c r="L539" s="43">
        <v>1566.6957328051903</v>
      </c>
      <c r="M539" s="44">
        <v>51.501275341651066</v>
      </c>
      <c r="N539" s="44">
        <v>92.495106576241142</v>
      </c>
      <c r="O539" s="45" t="s">
        <v>5074</v>
      </c>
      <c r="P539" s="46">
        <v>3</v>
      </c>
      <c r="Q539" s="43">
        <v>1566.6957328051903</v>
      </c>
      <c r="R539" s="43">
        <v>1568.238337624723</v>
      </c>
      <c r="S539" s="47">
        <v>0</v>
      </c>
      <c r="T539" s="48">
        <v>1573.5728343546323</v>
      </c>
      <c r="U539" s="48">
        <v>1566.6399430298627</v>
      </c>
      <c r="V539" s="48">
        <v>1568.238337624723</v>
      </c>
      <c r="W539" s="48">
        <v>1576.0879668618145</v>
      </c>
    </row>
    <row r="540" spans="1:23" ht="13.2" x14ac:dyDescent="0.25">
      <c r="A540" s="41">
        <v>538</v>
      </c>
      <c r="B540" s="42">
        <v>0.66750350439339112</v>
      </c>
      <c r="C540" s="14" t="s">
        <v>5079</v>
      </c>
      <c r="D540" s="42">
        <v>0.74278635519686453</v>
      </c>
      <c r="E540" s="43">
        <v>9.2283590655905936</v>
      </c>
      <c r="F540" s="42">
        <v>0.93002000680659902</v>
      </c>
      <c r="G540" s="43">
        <v>1.5423022007487259</v>
      </c>
      <c r="H540" s="42">
        <v>2.3965700075014355E-2</v>
      </c>
      <c r="I540" s="43">
        <v>0.24895477512461309</v>
      </c>
      <c r="J540" s="42">
        <v>0.97905330917753897</v>
      </c>
      <c r="K540" s="43">
        <v>6.1807840146625867E-2</v>
      </c>
      <c r="L540" s="43">
        <v>1566.757540645337</v>
      </c>
      <c r="M540" s="44">
        <v>64.229379096510527</v>
      </c>
      <c r="N540" s="44">
        <v>115.35448831988242</v>
      </c>
      <c r="O540" s="45" t="s">
        <v>5074</v>
      </c>
      <c r="P540" s="46">
        <v>2</v>
      </c>
      <c r="Q540" s="43">
        <v>1566.757540645337</v>
      </c>
      <c r="R540" s="43">
        <v>1568.2998428460858</v>
      </c>
      <c r="S540" s="47">
        <v>0</v>
      </c>
      <c r="T540" s="48">
        <v>1573.5728343546323</v>
      </c>
      <c r="U540" s="48">
        <v>1568.2998428460858</v>
      </c>
      <c r="V540" s="48">
        <v>1568.238337624723</v>
      </c>
      <c r="W540" s="48">
        <v>1576.0879668618145</v>
      </c>
    </row>
    <row r="541" spans="1:23" ht="13.2" x14ac:dyDescent="0.25">
      <c r="A541" s="41">
        <v>539</v>
      </c>
      <c r="B541" s="42">
        <v>0.18159468899555256</v>
      </c>
      <c r="C541" s="14" t="s">
        <v>5073</v>
      </c>
      <c r="D541" s="42">
        <v>0.37183626805051989</v>
      </c>
      <c r="E541" s="43">
        <v>324.62035216606239</v>
      </c>
      <c r="F541" s="42">
        <v>0.23621273750262928</v>
      </c>
      <c r="G541" s="43">
        <v>9.1193458683832294</v>
      </c>
      <c r="H541" s="42">
        <v>0.47902750991239562</v>
      </c>
      <c r="I541" s="43">
        <v>3.347668133687113</v>
      </c>
      <c r="J541" s="42">
        <v>0.7380728762308475</v>
      </c>
      <c r="K541" s="43">
        <v>0.88675244080780691</v>
      </c>
      <c r="L541" s="43">
        <v>1567.6442930861449</v>
      </c>
      <c r="M541" s="44">
        <v>2261.3463150475832</v>
      </c>
      <c r="N541" s="44">
        <v>4057.75440207578</v>
      </c>
      <c r="O541" s="45" t="s">
        <v>5074</v>
      </c>
      <c r="P541" s="46">
        <v>3</v>
      </c>
      <c r="Q541" s="43">
        <v>1568.238337624723</v>
      </c>
      <c r="R541" s="43">
        <v>1577.3576834931064</v>
      </c>
      <c r="S541" s="43">
        <v>0.59404453857814588</v>
      </c>
      <c r="T541" s="48">
        <v>1573.5728343546323</v>
      </c>
      <c r="U541" s="48">
        <v>1568.2998428460858</v>
      </c>
      <c r="V541" s="48">
        <v>1577.3576834931064</v>
      </c>
      <c r="W541" s="48">
        <v>1576.0879668618145</v>
      </c>
    </row>
    <row r="542" spans="1:23" ht="13.2" x14ac:dyDescent="0.25">
      <c r="A542" s="41">
        <v>540</v>
      </c>
      <c r="B542" s="42">
        <v>0.2264440973412451</v>
      </c>
      <c r="C542" s="14" t="s">
        <v>5073</v>
      </c>
      <c r="D542" s="42">
        <v>0.33326288188493947</v>
      </c>
      <c r="E542" s="43">
        <v>319.99154582619275</v>
      </c>
      <c r="F542" s="42">
        <v>0.87060547474334271</v>
      </c>
      <c r="G542" s="43">
        <v>11.104995135946663</v>
      </c>
      <c r="H542" s="42">
        <v>4.9983108439474885E-2</v>
      </c>
      <c r="I542" s="43">
        <v>2.7738150154012966</v>
      </c>
      <c r="J542" s="42">
        <v>0.60571116283801907</v>
      </c>
      <c r="K542" s="43">
        <v>1.4638015635523713</v>
      </c>
      <c r="L542" s="43">
        <v>1569.1080946496973</v>
      </c>
      <c r="M542" s="44">
        <v>2227.1411589503014</v>
      </c>
      <c r="N542" s="44">
        <v>3999.8943228274093</v>
      </c>
      <c r="O542" s="45" t="s">
        <v>5074</v>
      </c>
      <c r="P542" s="46">
        <v>2</v>
      </c>
      <c r="Q542" s="43">
        <v>1569.1080946496973</v>
      </c>
      <c r="R542" s="43">
        <v>1580.2130897856439</v>
      </c>
      <c r="S542" s="47">
        <v>0</v>
      </c>
      <c r="T542" s="48">
        <v>1573.5728343546323</v>
      </c>
      <c r="U542" s="48">
        <v>1580.2130897856439</v>
      </c>
      <c r="V542" s="48">
        <v>1577.3576834931064</v>
      </c>
      <c r="W542" s="48">
        <v>1576.0879668618145</v>
      </c>
    </row>
    <row r="543" spans="1:23" ht="13.2" x14ac:dyDescent="0.25">
      <c r="A543" s="41">
        <v>541</v>
      </c>
      <c r="B543" s="42">
        <v>0.84545889955268194</v>
      </c>
      <c r="C543" s="14" t="s">
        <v>5081</v>
      </c>
      <c r="D543" s="42">
        <v>0.94691387375207337</v>
      </c>
      <c r="E543" s="43">
        <v>297.87655495008295</v>
      </c>
      <c r="F543" s="42">
        <v>0.28784311576180305</v>
      </c>
      <c r="G543" s="43">
        <v>8.4749646846041848</v>
      </c>
      <c r="H543" s="42">
        <v>0.53439936113283004</v>
      </c>
      <c r="I543" s="43">
        <v>4.0350122914076367</v>
      </c>
      <c r="J543" s="42">
        <v>0.56872556990418843</v>
      </c>
      <c r="K543" s="43">
        <v>1.6477584340266882</v>
      </c>
      <c r="L543" s="43">
        <v>1570.7558530837239</v>
      </c>
      <c r="M543" s="44">
        <v>2084.587376505358</v>
      </c>
      <c r="N543" s="44">
        <v>3723.4569368760367</v>
      </c>
      <c r="O543" s="45" t="s">
        <v>5074</v>
      </c>
      <c r="P543" s="46">
        <v>1</v>
      </c>
      <c r="Q543" s="43">
        <v>1573.5728343546323</v>
      </c>
      <c r="R543" s="43">
        <v>1582.0477990392365</v>
      </c>
      <c r="S543" s="43">
        <v>2.8169812709083999</v>
      </c>
      <c r="T543" s="48">
        <v>1582.0477990392365</v>
      </c>
      <c r="U543" s="48">
        <v>1580.2130897856439</v>
      </c>
      <c r="V543" s="48">
        <v>1577.3576834931064</v>
      </c>
      <c r="W543" s="48">
        <v>1576.0879668618145</v>
      </c>
    </row>
    <row r="544" spans="1:23" ht="13.2" x14ac:dyDescent="0.25">
      <c r="A544" s="41">
        <v>542</v>
      </c>
      <c r="B544" s="42">
        <v>0.40138071514730372</v>
      </c>
      <c r="C544" s="14" t="s">
        <v>5077</v>
      </c>
      <c r="D544" s="42">
        <v>0.70701651168382562</v>
      </c>
      <c r="E544" s="43">
        <v>46.363148605154429</v>
      </c>
      <c r="F544" s="42">
        <v>0.13124646578507798</v>
      </c>
      <c r="G544" s="43">
        <v>3.1829983035768374</v>
      </c>
      <c r="H544" s="42">
        <v>0.49559685284998123</v>
      </c>
      <c r="I544" s="43">
        <v>1.223574332956852</v>
      </c>
      <c r="J544" s="42">
        <v>0.82362606088799706</v>
      </c>
      <c r="K544" s="43">
        <v>0.56653623847401946</v>
      </c>
      <c r="L544" s="43">
        <v>1571.322389322198</v>
      </c>
      <c r="M544" s="44">
        <v>328.51855265106525</v>
      </c>
      <c r="N544" s="44">
        <v>579.53935756443036</v>
      </c>
      <c r="O544" s="45" t="s">
        <v>5074</v>
      </c>
      <c r="P544" s="46">
        <v>4</v>
      </c>
      <c r="Q544" s="43">
        <v>1576.0879668618145</v>
      </c>
      <c r="R544" s="43">
        <v>1579.2709651653913</v>
      </c>
      <c r="S544" s="43">
        <v>4.7655775396165154</v>
      </c>
      <c r="T544" s="48">
        <v>1582.0477990392365</v>
      </c>
      <c r="U544" s="48">
        <v>1580.2130897856439</v>
      </c>
      <c r="V544" s="48">
        <v>1577.3576834931064</v>
      </c>
      <c r="W544" s="48">
        <v>1579.2709651653913</v>
      </c>
    </row>
    <row r="545" spans="1:23" ht="13.2" x14ac:dyDescent="0.25">
      <c r="A545" s="41">
        <v>543</v>
      </c>
      <c r="B545" s="42">
        <v>0.6411355392267627</v>
      </c>
      <c r="C545" s="14" t="s">
        <v>5079</v>
      </c>
      <c r="D545" s="42">
        <v>0.60556737315168951</v>
      </c>
      <c r="E545" s="43">
        <v>8.8167021194550692</v>
      </c>
      <c r="F545" s="42">
        <v>0.50393126183372516</v>
      </c>
      <c r="G545" s="43">
        <v>1.4954324388017097</v>
      </c>
      <c r="H545" s="42">
        <v>0.65573972726973695</v>
      </c>
      <c r="I545" s="43">
        <v>0.47275774840593693</v>
      </c>
      <c r="J545" s="42">
        <v>0.64166960476044077</v>
      </c>
      <c r="K545" s="43">
        <v>1.2954211447924229</v>
      </c>
      <c r="L545" s="43">
        <v>1572.6178104669905</v>
      </c>
      <c r="M545" s="44">
        <v>63.605058450963867</v>
      </c>
      <c r="N545" s="44">
        <v>110.20877649318837</v>
      </c>
      <c r="O545" s="45" t="s">
        <v>5074</v>
      </c>
      <c r="P545" s="46">
        <v>3</v>
      </c>
      <c r="Q545" s="43">
        <v>1577.3576834931064</v>
      </c>
      <c r="R545" s="43">
        <v>1578.8531159319082</v>
      </c>
      <c r="S545" s="43">
        <v>4.7398730261159017</v>
      </c>
      <c r="T545" s="48">
        <v>1582.0477990392365</v>
      </c>
      <c r="U545" s="48">
        <v>1580.2130897856439</v>
      </c>
      <c r="V545" s="48">
        <v>1578.8531159319082</v>
      </c>
      <c r="W545" s="48">
        <v>1579.2709651653913</v>
      </c>
    </row>
    <row r="546" spans="1:23" ht="13.2" x14ac:dyDescent="0.25">
      <c r="A546" s="41">
        <v>544</v>
      </c>
      <c r="B546" s="42">
        <v>0.57099981865426519</v>
      </c>
      <c r="C546" s="14" t="s">
        <v>5076</v>
      </c>
      <c r="D546" s="42">
        <v>0.94528143664136599</v>
      </c>
      <c r="E546" s="43">
        <v>44.452814366413662</v>
      </c>
      <c r="F546" s="42">
        <v>5.5461415581154368E-2</v>
      </c>
      <c r="G546" s="43">
        <v>3.0655122511673309</v>
      </c>
      <c r="H546" s="42">
        <v>0.38490616687801954</v>
      </c>
      <c r="I546" s="43">
        <v>0.78430669187408175</v>
      </c>
      <c r="J546" s="42">
        <v>0.40955858137903667</v>
      </c>
      <c r="K546" s="43">
        <v>2.6063513286127442</v>
      </c>
      <c r="L546" s="43">
        <v>1575.2241617956033</v>
      </c>
      <c r="M546" s="44">
        <v>312.2378010038471</v>
      </c>
      <c r="N546" s="44">
        <v>555.66017958017073</v>
      </c>
      <c r="O546" s="45" t="s">
        <v>5074</v>
      </c>
      <c r="P546" s="46">
        <v>3</v>
      </c>
      <c r="Q546" s="43">
        <v>1578.8531159319082</v>
      </c>
      <c r="R546" s="43">
        <v>1581.9186281830755</v>
      </c>
      <c r="S546" s="43">
        <v>3.6289541363048556</v>
      </c>
      <c r="T546" s="48">
        <v>1582.0477990392365</v>
      </c>
      <c r="U546" s="48">
        <v>1580.2130897856439</v>
      </c>
      <c r="V546" s="48">
        <v>1581.9186281830755</v>
      </c>
      <c r="W546" s="48">
        <v>1579.2709651653913</v>
      </c>
    </row>
    <row r="547" spans="1:23" ht="13.2" x14ac:dyDescent="0.25">
      <c r="A547" s="41">
        <v>545</v>
      </c>
      <c r="B547" s="42">
        <v>0.9698058869549101</v>
      </c>
      <c r="C547" s="14" t="s">
        <v>5080</v>
      </c>
      <c r="D547" s="42">
        <v>0.61611956759175268</v>
      </c>
      <c r="E547" s="43">
        <v>100.40298918979381</v>
      </c>
      <c r="F547" s="42">
        <v>0.89538160799787458</v>
      </c>
      <c r="G547" s="43">
        <v>4.6935060683188521</v>
      </c>
      <c r="H547" s="42">
        <v>0.54318860803879265</v>
      </c>
      <c r="I547" s="43">
        <v>2.0932141898275134</v>
      </c>
      <c r="J547" s="42">
        <v>0.4899317172774727</v>
      </c>
      <c r="K547" s="43">
        <v>2.0831802922127869</v>
      </c>
      <c r="L547" s="43">
        <v>1577.3073420878161</v>
      </c>
      <c r="M547" s="44">
        <v>702.91508845041824</v>
      </c>
      <c r="N547" s="44">
        <v>1255.0373648724226</v>
      </c>
      <c r="O547" s="45" t="s">
        <v>5074</v>
      </c>
      <c r="P547" s="46">
        <v>4</v>
      </c>
      <c r="Q547" s="43">
        <v>1579.2709651653913</v>
      </c>
      <c r="R547" s="43">
        <v>1583.9644712337101</v>
      </c>
      <c r="S547" s="43">
        <v>1.963623077575221</v>
      </c>
      <c r="T547" s="48">
        <v>1582.0477990392365</v>
      </c>
      <c r="U547" s="48">
        <v>1580.2130897856439</v>
      </c>
      <c r="V547" s="48">
        <v>1581.9186281830755</v>
      </c>
      <c r="W547" s="48">
        <v>1583.9644712337101</v>
      </c>
    </row>
    <row r="548" spans="1:23" ht="13.2" x14ac:dyDescent="0.25">
      <c r="A548" s="41">
        <v>546</v>
      </c>
      <c r="B548" s="42">
        <v>6.383723116658499E-2</v>
      </c>
      <c r="C548" s="14" t="s">
        <v>5073</v>
      </c>
      <c r="D548" s="42">
        <v>0.13934350579015142</v>
      </c>
      <c r="E548" s="43">
        <v>296.72122069481816</v>
      </c>
      <c r="F548" s="42">
        <v>0.22111129771038485</v>
      </c>
      <c r="G548" s="43">
        <v>9.0720783618335048</v>
      </c>
      <c r="H548" s="42">
        <v>0.75495732424545914</v>
      </c>
      <c r="I548" s="43">
        <v>3.5713019631303338</v>
      </c>
      <c r="J548" s="42">
        <v>0.81227561869298837</v>
      </c>
      <c r="K548" s="43">
        <v>0.60705274314310431</v>
      </c>
      <c r="L548" s="43">
        <v>1577.9143948309593</v>
      </c>
      <c r="M548" s="44">
        <v>2073.3890298402371</v>
      </c>
      <c r="N548" s="44">
        <v>3709.0152586852269</v>
      </c>
      <c r="O548" s="45" t="s">
        <v>5074</v>
      </c>
      <c r="P548" s="46">
        <v>2</v>
      </c>
      <c r="Q548" s="43">
        <v>1580.2130897856439</v>
      </c>
      <c r="R548" s="43">
        <v>1589.2851681474774</v>
      </c>
      <c r="S548" s="43">
        <v>2.2986949546846063</v>
      </c>
      <c r="T548" s="48">
        <v>1582.0477990392365</v>
      </c>
      <c r="U548" s="48">
        <v>1589.2851681474774</v>
      </c>
      <c r="V548" s="48">
        <v>1581.9186281830755</v>
      </c>
      <c r="W548" s="48">
        <v>1583.9644712337101</v>
      </c>
    </row>
    <row r="549" spans="1:23" ht="13.2" x14ac:dyDescent="0.25">
      <c r="A549" s="41">
        <v>547</v>
      </c>
      <c r="B549" s="42">
        <v>0.5463408923458033</v>
      </c>
      <c r="C549" s="14" t="s">
        <v>5076</v>
      </c>
      <c r="D549" s="42">
        <v>0.54596784410344801</v>
      </c>
      <c r="E549" s="43">
        <v>40.459678441034484</v>
      </c>
      <c r="F549" s="42">
        <v>0.59784223772484912</v>
      </c>
      <c r="G549" s="43">
        <v>3.3150074293534306</v>
      </c>
      <c r="H549" s="42">
        <v>0.82288490041293427</v>
      </c>
      <c r="I549" s="43">
        <v>0.97730687508506597</v>
      </c>
      <c r="J549" s="42">
        <v>0.96099578540818564</v>
      </c>
      <c r="K549" s="43">
        <v>0.11616133037343652</v>
      </c>
      <c r="L549" s="43">
        <v>1578.0305561613327</v>
      </c>
      <c r="M549" s="44">
        <v>285.39920146727513</v>
      </c>
      <c r="N549" s="44">
        <v>505.74598051293106</v>
      </c>
      <c r="O549" s="45" t="s">
        <v>5074</v>
      </c>
      <c r="P549" s="46">
        <v>3</v>
      </c>
      <c r="Q549" s="43">
        <v>1581.9186281830755</v>
      </c>
      <c r="R549" s="43">
        <v>1585.233635612429</v>
      </c>
      <c r="S549" s="43">
        <v>3.8880720217428006</v>
      </c>
      <c r="T549" s="48">
        <v>1582.0477990392365</v>
      </c>
      <c r="U549" s="48">
        <v>1589.2851681474774</v>
      </c>
      <c r="V549" s="48">
        <v>1585.233635612429</v>
      </c>
      <c r="W549" s="48">
        <v>1583.9644712337101</v>
      </c>
    </row>
    <row r="550" spans="1:23" ht="13.2" x14ac:dyDescent="0.25">
      <c r="A550" s="41">
        <v>548</v>
      </c>
      <c r="B550" s="42">
        <v>0.98184250620279578</v>
      </c>
      <c r="C550" s="14" t="s">
        <v>5080</v>
      </c>
      <c r="D550" s="42">
        <v>0.869773154551989</v>
      </c>
      <c r="E550" s="43">
        <v>106.74432886379972</v>
      </c>
      <c r="F550" s="42">
        <v>0.63221659540767627</v>
      </c>
      <c r="G550" s="43">
        <v>4.5513969615201448</v>
      </c>
      <c r="H550" s="42">
        <v>0.80060690818382751</v>
      </c>
      <c r="I550" s="43">
        <v>2.4009110539585041</v>
      </c>
      <c r="J550" s="42">
        <v>0.68598063135798115</v>
      </c>
      <c r="K550" s="43">
        <v>1.1004551411003873</v>
      </c>
      <c r="L550" s="43">
        <v>1579.1310113024331</v>
      </c>
      <c r="M550" s="44">
        <v>749.94347681138788</v>
      </c>
      <c r="N550" s="44">
        <v>1334.3041107974966</v>
      </c>
      <c r="O550" s="45" t="s">
        <v>5074</v>
      </c>
      <c r="P550" s="46">
        <v>1</v>
      </c>
      <c r="Q550" s="43">
        <v>1582.0477990392365</v>
      </c>
      <c r="R550" s="43">
        <v>1586.5991960007566</v>
      </c>
      <c r="S550" s="43">
        <v>2.9167877368033714</v>
      </c>
      <c r="T550" s="48">
        <v>1586.5991960007566</v>
      </c>
      <c r="U550" s="48">
        <v>1589.2851681474774</v>
      </c>
      <c r="V550" s="48">
        <v>1585.233635612429</v>
      </c>
      <c r="W550" s="48">
        <v>1583.9644712337101</v>
      </c>
    </row>
    <row r="551" spans="1:23" ht="13.2" x14ac:dyDescent="0.25">
      <c r="A551" s="41">
        <v>549</v>
      </c>
      <c r="B551" s="42">
        <v>0.38254708954251704</v>
      </c>
      <c r="C551" s="14" t="s">
        <v>5077</v>
      </c>
      <c r="D551" s="42">
        <v>0.66635670404245928</v>
      </c>
      <c r="E551" s="43">
        <v>45.997210336382132</v>
      </c>
      <c r="F551" s="42">
        <v>0.86493222036628625</v>
      </c>
      <c r="G551" s="43">
        <v>3.5351674657758174</v>
      </c>
      <c r="H551" s="42">
        <v>0.77624113847326537</v>
      </c>
      <c r="I551" s="43">
        <v>1.382680779518431</v>
      </c>
      <c r="J551" s="42">
        <v>0.25315315800400134</v>
      </c>
      <c r="K551" s="43">
        <v>4.0109798709807905</v>
      </c>
      <c r="L551" s="43">
        <v>1583.1419911734138</v>
      </c>
      <c r="M551" s="44">
        <v>321.27781131212856</v>
      </c>
      <c r="N551" s="44">
        <v>574.96512920477664</v>
      </c>
      <c r="O551" s="45" t="s">
        <v>5074</v>
      </c>
      <c r="P551" s="46">
        <v>4</v>
      </c>
      <c r="Q551" s="43">
        <v>1583.9644712337101</v>
      </c>
      <c r="R551" s="43">
        <v>1587.499638699486</v>
      </c>
      <c r="S551" s="43">
        <v>0.8224800602963569</v>
      </c>
      <c r="T551" s="48">
        <v>1586.5991960007566</v>
      </c>
      <c r="U551" s="48">
        <v>1589.2851681474774</v>
      </c>
      <c r="V551" s="48">
        <v>1585.233635612429</v>
      </c>
      <c r="W551" s="48">
        <v>1587.499638699486</v>
      </c>
    </row>
    <row r="552" spans="1:23" ht="13.2" x14ac:dyDescent="0.25">
      <c r="A552" s="41">
        <v>550</v>
      </c>
      <c r="B552" s="42">
        <v>0.23246255620963061</v>
      </c>
      <c r="C552" s="14" t="s">
        <v>5073</v>
      </c>
      <c r="D552" s="42">
        <v>0.20851078126975836</v>
      </c>
      <c r="E552" s="43">
        <v>305.02129375237098</v>
      </c>
      <c r="F552" s="42">
        <v>0.88032899046332058</v>
      </c>
      <c r="G552" s="43">
        <v>11.135429740150194</v>
      </c>
      <c r="H552" s="42">
        <v>8.4986904675600536E-2</v>
      </c>
      <c r="I552" s="43">
        <v>2.8570439146847355</v>
      </c>
      <c r="J552" s="42">
        <v>0.29964109989797749</v>
      </c>
      <c r="K552" s="43">
        <v>3.5187440997889707</v>
      </c>
      <c r="L552" s="43">
        <v>1586.6607352732028</v>
      </c>
      <c r="M552" s="44">
        <v>2122.9482045165018</v>
      </c>
      <c r="N552" s="44">
        <v>3812.7661719046373</v>
      </c>
      <c r="O552" s="45" t="s">
        <v>5074</v>
      </c>
      <c r="P552" s="46">
        <v>3</v>
      </c>
      <c r="Q552" s="43">
        <v>1586.6607352732028</v>
      </c>
      <c r="R552" s="43">
        <v>1597.7961650133529</v>
      </c>
      <c r="S552" s="47">
        <v>0</v>
      </c>
      <c r="T552" s="48">
        <v>1586.5991960007566</v>
      </c>
      <c r="U552" s="48">
        <v>1589.2851681474774</v>
      </c>
      <c r="V552" s="48">
        <v>1597.7961650133529</v>
      </c>
      <c r="W552" s="48">
        <v>1587.499638699486</v>
      </c>
    </row>
    <row r="553" spans="1:23" ht="13.2" x14ac:dyDescent="0.25">
      <c r="A553" s="41">
        <v>551</v>
      </c>
      <c r="B553" s="42">
        <v>0.5739436268685123</v>
      </c>
      <c r="C553" s="14" t="s">
        <v>5076</v>
      </c>
      <c r="D553" s="42">
        <v>0.9876492563577598</v>
      </c>
      <c r="E553" s="43">
        <v>44.8764925635776</v>
      </c>
      <c r="F553" s="42">
        <v>0.35057484607704675</v>
      </c>
      <c r="G553" s="43">
        <v>3.2012644291954415</v>
      </c>
      <c r="H553" s="42">
        <v>6.7802342152130948E-2</v>
      </c>
      <c r="I553" s="43">
        <v>0.61932515179939018</v>
      </c>
      <c r="J553" s="42">
        <v>0.16570672167730829</v>
      </c>
      <c r="K553" s="43">
        <v>5.2482796789183439</v>
      </c>
      <c r="L553" s="43">
        <v>1591.9090149521212</v>
      </c>
      <c r="M553" s="44">
        <v>312.34038824250007</v>
      </c>
      <c r="N553" s="44">
        <v>560.95615704472004</v>
      </c>
      <c r="O553" s="45" t="s">
        <v>5074</v>
      </c>
      <c r="P553" s="46">
        <v>1</v>
      </c>
      <c r="Q553" s="43">
        <v>1591.9090149521212</v>
      </c>
      <c r="R553" s="43">
        <v>1595.1102793813166</v>
      </c>
      <c r="S553" s="47">
        <v>0</v>
      </c>
      <c r="T553" s="48">
        <v>1595.1102793813166</v>
      </c>
      <c r="U553" s="48">
        <v>1589.2851681474774</v>
      </c>
      <c r="V553" s="48">
        <v>1597.7961650133529</v>
      </c>
      <c r="W553" s="48">
        <v>1587.499638699486</v>
      </c>
    </row>
    <row r="554" spans="1:23" ht="13.2" x14ac:dyDescent="0.25">
      <c r="A554" s="41">
        <v>552</v>
      </c>
      <c r="B554" s="42">
        <v>0.45303586751829639</v>
      </c>
      <c r="C554" s="14" t="s">
        <v>5077</v>
      </c>
      <c r="D554" s="42">
        <v>0.99951683822996762</v>
      </c>
      <c r="E554" s="43">
        <v>48.995651544069709</v>
      </c>
      <c r="F554" s="42">
        <v>0.2372906828472813</v>
      </c>
      <c r="G554" s="43">
        <v>3.2338995277666953</v>
      </c>
      <c r="H554" s="42">
        <v>0.74600231682229901</v>
      </c>
      <c r="I554" s="43">
        <v>1.3619187118014877</v>
      </c>
      <c r="J554" s="42">
        <v>0.9785445830684828</v>
      </c>
      <c r="K554" s="43">
        <v>6.3325344578555959E-2</v>
      </c>
      <c r="L554" s="43">
        <v>1591.9723402966997</v>
      </c>
      <c r="M554" s="44">
        <v>341.00973474672514</v>
      </c>
      <c r="N554" s="44">
        <v>612.44564430087132</v>
      </c>
      <c r="O554" s="45" t="s">
        <v>5074</v>
      </c>
      <c r="P554" s="46">
        <v>4</v>
      </c>
      <c r="Q554" s="43">
        <v>1591.9723402966997</v>
      </c>
      <c r="R554" s="43">
        <v>1595.2062398244664</v>
      </c>
      <c r="S554" s="47">
        <v>0</v>
      </c>
      <c r="T554" s="48">
        <v>1595.1102793813166</v>
      </c>
      <c r="U554" s="48">
        <v>1589.2851681474774</v>
      </c>
      <c r="V554" s="48">
        <v>1597.7961650133529</v>
      </c>
      <c r="W554" s="48">
        <v>1595.2062398244664</v>
      </c>
    </row>
    <row r="555" spans="1:23" ht="13.2" x14ac:dyDescent="0.25">
      <c r="A555" s="41">
        <v>553</v>
      </c>
      <c r="B555" s="42">
        <v>0.39426801232354158</v>
      </c>
      <c r="C555" s="14" t="s">
        <v>5077</v>
      </c>
      <c r="D555" s="42">
        <v>0.43534878894470108</v>
      </c>
      <c r="E555" s="43">
        <v>43.918139100502309</v>
      </c>
      <c r="F555" s="42">
        <v>0.41505412450761259</v>
      </c>
      <c r="G555" s="43">
        <v>3.3192259797636541</v>
      </c>
      <c r="H555" s="42">
        <v>0.43873197978303397</v>
      </c>
      <c r="I555" s="43">
        <v>1.1974210773498206</v>
      </c>
      <c r="J555" s="42">
        <v>0.82078430048226581</v>
      </c>
      <c r="K555" s="43">
        <v>0.57662753822281232</v>
      </c>
      <c r="L555" s="43">
        <v>1592.5489678349225</v>
      </c>
      <c r="M555" s="44">
        <v>305.6702481394961</v>
      </c>
      <c r="N555" s="44">
        <v>548.97673875627891</v>
      </c>
      <c r="O555" s="45" t="s">
        <v>5074</v>
      </c>
      <c r="P555" s="46">
        <v>2</v>
      </c>
      <c r="Q555" s="43">
        <v>1592.5489678349225</v>
      </c>
      <c r="R555" s="43">
        <v>1595.868193814686</v>
      </c>
      <c r="S555" s="47">
        <v>0</v>
      </c>
      <c r="T555" s="48">
        <v>1595.1102793813166</v>
      </c>
      <c r="U555" s="48">
        <v>1595.868193814686</v>
      </c>
      <c r="V555" s="48">
        <v>1597.7961650133529</v>
      </c>
      <c r="W555" s="48">
        <v>1595.2062398244664</v>
      </c>
    </row>
    <row r="556" spans="1:23" ht="13.2" x14ac:dyDescent="0.25">
      <c r="A556" s="41">
        <v>554</v>
      </c>
      <c r="B556" s="42">
        <v>0.45989618937480087</v>
      </c>
      <c r="C556" s="14" t="s">
        <v>5077</v>
      </c>
      <c r="D556" s="42">
        <v>0.17675503630971304</v>
      </c>
      <c r="E556" s="43">
        <v>41.590795326787415</v>
      </c>
      <c r="F556" s="42">
        <v>0.64894937102168304</v>
      </c>
      <c r="G556" s="43">
        <v>3.4314956980904081</v>
      </c>
      <c r="H556" s="42">
        <v>0.9239358128625601</v>
      </c>
      <c r="I556" s="43">
        <v>1.5149895024279758</v>
      </c>
      <c r="J556" s="42">
        <v>0.73104099870242223</v>
      </c>
      <c r="K556" s="43">
        <v>0.91470287599672839</v>
      </c>
      <c r="L556" s="43">
        <v>1593.4636707109191</v>
      </c>
      <c r="M556" s="44">
        <v>291.96653032469936</v>
      </c>
      <c r="N556" s="44">
        <v>519.88494158484264</v>
      </c>
      <c r="O556" s="45" t="s">
        <v>5074</v>
      </c>
      <c r="P556" s="46">
        <v>1</v>
      </c>
      <c r="Q556" s="43">
        <v>1595.1102793813166</v>
      </c>
      <c r="R556" s="43">
        <v>1598.541775079407</v>
      </c>
      <c r="S556" s="43">
        <v>1.646608670397427</v>
      </c>
      <c r="T556" s="48">
        <v>1598.541775079407</v>
      </c>
      <c r="U556" s="48">
        <v>1595.868193814686</v>
      </c>
      <c r="V556" s="48">
        <v>1597.7961650133529</v>
      </c>
      <c r="W556" s="48">
        <v>1595.2062398244664</v>
      </c>
    </row>
    <row r="557" spans="1:23" ht="13.2" x14ac:dyDescent="0.25">
      <c r="A557" s="41">
        <v>555</v>
      </c>
      <c r="B557" s="42">
        <v>0.49050109530356761</v>
      </c>
      <c r="C557" s="14" t="s">
        <v>5077</v>
      </c>
      <c r="D557" s="42">
        <v>0.80779611682882346</v>
      </c>
      <c r="E557" s="43">
        <v>47.270165051459415</v>
      </c>
      <c r="F557" s="42">
        <v>0.30350044337264281</v>
      </c>
      <c r="G557" s="43">
        <v>3.2656802128188684</v>
      </c>
      <c r="H557" s="42">
        <v>0.54764079421183132</v>
      </c>
      <c r="I557" s="43">
        <v>1.2488219391363584</v>
      </c>
      <c r="J557" s="42">
        <v>0.26512139442615273</v>
      </c>
      <c r="K557" s="43">
        <v>3.8761093889458142</v>
      </c>
      <c r="L557" s="43">
        <v>1597.339780099865</v>
      </c>
      <c r="M557" s="44">
        <v>329.00034875815754</v>
      </c>
      <c r="N557" s="44">
        <v>590.87706314324271</v>
      </c>
      <c r="O557" s="45" t="s">
        <v>5074</v>
      </c>
      <c r="P557" s="46">
        <v>4</v>
      </c>
      <c r="Q557" s="43">
        <v>1597.339780099865</v>
      </c>
      <c r="R557" s="43">
        <v>1600.6054603126838</v>
      </c>
      <c r="S557" s="47">
        <v>0</v>
      </c>
      <c r="T557" s="48">
        <v>1598.541775079407</v>
      </c>
      <c r="U557" s="48">
        <v>1595.868193814686</v>
      </c>
      <c r="V557" s="48">
        <v>1597.7961650133529</v>
      </c>
      <c r="W557" s="48">
        <v>1600.6054603126838</v>
      </c>
    </row>
    <row r="558" spans="1:23" ht="13.2" x14ac:dyDescent="0.25">
      <c r="A558" s="41">
        <v>556</v>
      </c>
      <c r="B558" s="42">
        <v>0.6611931378306789</v>
      </c>
      <c r="C558" s="14" t="s">
        <v>5079</v>
      </c>
      <c r="D558" s="42">
        <v>0.97988355671050198</v>
      </c>
      <c r="E558" s="43">
        <v>9.9396506701315062</v>
      </c>
      <c r="F558" s="42">
        <v>0.14936949412774736</v>
      </c>
      <c r="G558" s="43">
        <v>1.4564306443540522</v>
      </c>
      <c r="H558" s="42">
        <v>0.72934893459516992</v>
      </c>
      <c r="I558" s="43">
        <v>0.49851139036976677</v>
      </c>
      <c r="J558" s="42">
        <v>7.4929711443804999E-3</v>
      </c>
      <c r="K558" s="43">
        <v>14.288437601803178</v>
      </c>
      <c r="L558" s="43">
        <v>1611.6282177016683</v>
      </c>
      <c r="M558" s="44">
        <v>69.179968664115279</v>
      </c>
      <c r="N558" s="44">
        <v>124.24563337664382</v>
      </c>
      <c r="O558" s="45" t="s">
        <v>5074</v>
      </c>
      <c r="P558" s="46">
        <v>2</v>
      </c>
      <c r="Q558" s="43">
        <v>1611.6282177016683</v>
      </c>
      <c r="R558" s="43">
        <v>1613.0846483460223</v>
      </c>
      <c r="S558" s="47">
        <v>0</v>
      </c>
      <c r="T558" s="48">
        <v>1598.541775079407</v>
      </c>
      <c r="U558" s="48">
        <v>1613.0846483460223</v>
      </c>
      <c r="V558" s="48">
        <v>1597.7961650133529</v>
      </c>
      <c r="W558" s="48">
        <v>1600.6054603126838</v>
      </c>
    </row>
    <row r="559" spans="1:23" ht="13.2" x14ac:dyDescent="0.25">
      <c r="A559" s="41">
        <v>557</v>
      </c>
      <c r="B559" s="42">
        <v>0.7099300458607869</v>
      </c>
      <c r="C559" s="14" t="s">
        <v>5079</v>
      </c>
      <c r="D559" s="42">
        <v>0.78172237229613695</v>
      </c>
      <c r="E559" s="43">
        <v>9.3451671168884118</v>
      </c>
      <c r="F559" s="42">
        <v>0.90388217331091048</v>
      </c>
      <c r="G559" s="43">
        <v>1.5394270390642002</v>
      </c>
      <c r="H559" s="42">
        <v>0.94666628909607708</v>
      </c>
      <c r="I559" s="43">
        <v>0.61055696429800443</v>
      </c>
      <c r="J559" s="42">
        <v>0.17699359365598932</v>
      </c>
      <c r="K559" s="43">
        <v>5.055888295174559</v>
      </c>
      <c r="L559" s="43">
        <v>1616.6841059968428</v>
      </c>
      <c r="M559" s="44">
        <v>65.042363133543347</v>
      </c>
      <c r="N559" s="44">
        <v>116.81458896110514</v>
      </c>
      <c r="O559" s="45" t="s">
        <v>5074</v>
      </c>
      <c r="P559" s="46">
        <v>3</v>
      </c>
      <c r="Q559" s="43">
        <v>1616.6841059968428</v>
      </c>
      <c r="R559" s="43">
        <v>1618.2235330359069</v>
      </c>
      <c r="S559" s="47">
        <v>0</v>
      </c>
      <c r="T559" s="48">
        <v>1598.541775079407</v>
      </c>
      <c r="U559" s="48">
        <v>1613.0846483460223</v>
      </c>
      <c r="V559" s="48">
        <v>1618.2235330359069</v>
      </c>
      <c r="W559" s="48">
        <v>1600.6054603126838</v>
      </c>
    </row>
    <row r="560" spans="1:23" ht="13.2" x14ac:dyDescent="0.25">
      <c r="A560" s="41">
        <v>558</v>
      </c>
      <c r="B560" s="42">
        <v>0.73361618152522301</v>
      </c>
      <c r="C560" s="14" t="s">
        <v>5079</v>
      </c>
      <c r="D560" s="42">
        <v>0.94668921779221349</v>
      </c>
      <c r="E560" s="43">
        <v>9.8400676533766394</v>
      </c>
      <c r="F560" s="42">
        <v>0.3423815301351163</v>
      </c>
      <c r="G560" s="43">
        <v>1.4776619683148629</v>
      </c>
      <c r="H560" s="42">
        <v>8.8584100403163626E-2</v>
      </c>
      <c r="I560" s="43">
        <v>0.29411912685695912</v>
      </c>
      <c r="J560" s="42">
        <v>0.92185952184808417</v>
      </c>
      <c r="K560" s="43">
        <v>0.23755453855360284</v>
      </c>
      <c r="L560" s="43">
        <v>1616.9216605353965</v>
      </c>
      <c r="M560" s="44">
        <v>68.486870867501409</v>
      </c>
      <c r="N560" s="44">
        <v>123.000845667208</v>
      </c>
      <c r="O560" s="45" t="s">
        <v>5074</v>
      </c>
      <c r="P560" s="46">
        <v>1</v>
      </c>
      <c r="Q560" s="43">
        <v>1616.9216605353965</v>
      </c>
      <c r="R560" s="43">
        <v>1618.3993225037113</v>
      </c>
      <c r="S560" s="47">
        <v>0</v>
      </c>
      <c r="T560" s="48">
        <v>1618.3993225037113</v>
      </c>
      <c r="U560" s="48">
        <v>1613.0846483460223</v>
      </c>
      <c r="V560" s="48">
        <v>1618.2235330359069</v>
      </c>
      <c r="W560" s="48">
        <v>1600.6054603126838</v>
      </c>
    </row>
    <row r="561" spans="1:23" ht="13.2" x14ac:dyDescent="0.25">
      <c r="A561" s="41">
        <v>559</v>
      </c>
      <c r="B561" s="42">
        <v>0.69274012823251085</v>
      </c>
      <c r="C561" s="14" t="s">
        <v>5079</v>
      </c>
      <c r="D561" s="42">
        <v>0.73408216598168119</v>
      </c>
      <c r="E561" s="43">
        <v>9.202246497945044</v>
      </c>
      <c r="F561" s="42">
        <v>0.58946660374732063</v>
      </c>
      <c r="G561" s="43">
        <v>1.5048413264122054</v>
      </c>
      <c r="H561" s="42">
        <v>0.37073845480137435</v>
      </c>
      <c r="I561" s="43">
        <v>0.39254569712184539</v>
      </c>
      <c r="J561" s="42">
        <v>0.89861420351016064</v>
      </c>
      <c r="K561" s="43">
        <v>0.31212109841026231</v>
      </c>
      <c r="L561" s="43">
        <v>1617.2337816338068</v>
      </c>
      <c r="M561" s="44">
        <v>64.047635625697509</v>
      </c>
      <c r="N561" s="44">
        <v>115.02808122431306</v>
      </c>
      <c r="O561" s="45" t="s">
        <v>5074</v>
      </c>
      <c r="P561" s="46">
        <v>4</v>
      </c>
      <c r="Q561" s="43">
        <v>1617.2337816338068</v>
      </c>
      <c r="R561" s="43">
        <v>1618.7386229602189</v>
      </c>
      <c r="S561" s="47">
        <v>0</v>
      </c>
      <c r="T561" s="48">
        <v>1618.3993225037113</v>
      </c>
      <c r="U561" s="48">
        <v>1613.0846483460223</v>
      </c>
      <c r="V561" s="48">
        <v>1618.2235330359069</v>
      </c>
      <c r="W561" s="48">
        <v>1618.7386229602189</v>
      </c>
    </row>
    <row r="562" spans="1:23" ht="13.2" x14ac:dyDescent="0.25">
      <c r="A562" s="41">
        <v>560</v>
      </c>
      <c r="B562" s="42">
        <v>0.27923369606921156</v>
      </c>
      <c r="C562" s="14" t="s">
        <v>5077</v>
      </c>
      <c r="D562" s="42">
        <v>0.94008555027660246</v>
      </c>
      <c r="E562" s="43">
        <v>48.460769952489422</v>
      </c>
      <c r="F562" s="42">
        <v>0.37271010753359185</v>
      </c>
      <c r="G562" s="43">
        <v>3.298900851616124</v>
      </c>
      <c r="H562" s="42">
        <v>0.76387829788209793</v>
      </c>
      <c r="I562" s="43">
        <v>1.3740325691835824</v>
      </c>
      <c r="J562" s="42">
        <v>0.99591814493570385</v>
      </c>
      <c r="K562" s="43">
        <v>1.194221481549323E-2</v>
      </c>
      <c r="L562" s="43">
        <v>1617.2457238486222</v>
      </c>
      <c r="M562" s="44">
        <v>337.28695886932638</v>
      </c>
      <c r="N562" s="44">
        <v>605.75962440611772</v>
      </c>
      <c r="O562" s="45" t="s">
        <v>5074</v>
      </c>
      <c r="P562" s="46">
        <v>2</v>
      </c>
      <c r="Q562" s="43">
        <v>1617.2457238486222</v>
      </c>
      <c r="R562" s="43">
        <v>1620.5446247002383</v>
      </c>
      <c r="S562" s="47">
        <v>0</v>
      </c>
      <c r="T562" s="48">
        <v>1618.3993225037113</v>
      </c>
      <c r="U562" s="48">
        <v>1620.5446247002383</v>
      </c>
      <c r="V562" s="48">
        <v>1618.2235330359069</v>
      </c>
      <c r="W562" s="48">
        <v>1618.7386229602189</v>
      </c>
    </row>
    <row r="563" spans="1:23" ht="13.2" x14ac:dyDescent="0.25">
      <c r="A563" s="41">
        <v>561</v>
      </c>
      <c r="B563" s="42">
        <v>0.12233504844938174</v>
      </c>
      <c r="C563" s="14" t="s">
        <v>5073</v>
      </c>
      <c r="D563" s="42">
        <v>0.21865615305428215</v>
      </c>
      <c r="E563" s="43">
        <v>306.23873836651387</v>
      </c>
      <c r="F563" s="42">
        <v>0.1052986248886672</v>
      </c>
      <c r="G563" s="43">
        <v>8.7095846959015297</v>
      </c>
      <c r="H563" s="42">
        <v>0.6657287546739582</v>
      </c>
      <c r="I563" s="43">
        <v>3.4992963184215866</v>
      </c>
      <c r="J563" s="42">
        <v>0.62750961614191048</v>
      </c>
      <c r="K563" s="43">
        <v>1.3605730906997853</v>
      </c>
      <c r="L563" s="43">
        <v>1618.606296939322</v>
      </c>
      <c r="M563" s="44">
        <v>2131.4216190309367</v>
      </c>
      <c r="N563" s="44">
        <v>3827.9842295814233</v>
      </c>
      <c r="O563" s="45" t="s">
        <v>5074</v>
      </c>
      <c r="P563" s="46">
        <v>3</v>
      </c>
      <c r="Q563" s="43">
        <v>1618.606296939322</v>
      </c>
      <c r="R563" s="43">
        <v>1627.3158816352236</v>
      </c>
      <c r="S563" s="47">
        <v>0</v>
      </c>
      <c r="T563" s="48">
        <v>1618.3993225037113</v>
      </c>
      <c r="U563" s="48">
        <v>1620.5446247002383</v>
      </c>
      <c r="V563" s="48">
        <v>1627.3158816352236</v>
      </c>
      <c r="W563" s="48">
        <v>1618.7386229602189</v>
      </c>
    </row>
    <row r="564" spans="1:23" ht="13.2" x14ac:dyDescent="0.25">
      <c r="A564" s="41">
        <v>562</v>
      </c>
      <c r="B564" s="42">
        <v>0.91594455946048003</v>
      </c>
      <c r="C564" s="14" t="s">
        <v>5075</v>
      </c>
      <c r="D564" s="42">
        <v>8.9971901425147383E-2</v>
      </c>
      <c r="E564" s="43">
        <v>286.29803309976029</v>
      </c>
      <c r="F564" s="42">
        <v>0.95135563935681977</v>
      </c>
      <c r="G564" s="43">
        <v>10.243197722320071</v>
      </c>
      <c r="H564" s="42">
        <v>0.71773635629459109</v>
      </c>
      <c r="I564" s="43">
        <v>2.7486496906164088</v>
      </c>
      <c r="J564" s="42">
        <v>0.58059720023563</v>
      </c>
      <c r="K564" s="43">
        <v>1.5874395608604632</v>
      </c>
      <c r="L564" s="43">
        <v>1620.1937365001825</v>
      </c>
      <c r="M564" s="44">
        <v>1992.6343103743316</v>
      </c>
      <c r="N564" s="44">
        <v>3578.7254137470036</v>
      </c>
      <c r="O564" s="45" t="s">
        <v>5074</v>
      </c>
      <c r="P564" s="46">
        <v>1</v>
      </c>
      <c r="Q564" s="43">
        <v>1620.1937365001825</v>
      </c>
      <c r="R564" s="43">
        <v>1630.4369342225025</v>
      </c>
      <c r="S564" s="47">
        <v>0</v>
      </c>
      <c r="T564" s="48">
        <v>1630.4369342225025</v>
      </c>
      <c r="U564" s="48">
        <v>1620.5446247002383</v>
      </c>
      <c r="V564" s="48">
        <v>1627.3158816352236</v>
      </c>
      <c r="W564" s="48">
        <v>1618.7386229602189</v>
      </c>
    </row>
    <row r="565" spans="1:23" ht="13.2" x14ac:dyDescent="0.25">
      <c r="A565" s="41">
        <v>563</v>
      </c>
      <c r="B565" s="42">
        <v>2.6858157956441007E-2</v>
      </c>
      <c r="C565" s="14" t="s">
        <v>5073</v>
      </c>
      <c r="D565" s="42">
        <v>0.54750839087530434</v>
      </c>
      <c r="E565" s="43">
        <v>345.70100690503654</v>
      </c>
      <c r="F565" s="42">
        <v>0.87645766179843698</v>
      </c>
      <c r="G565" s="43">
        <v>11.123312481429107</v>
      </c>
      <c r="H565" s="42">
        <v>0.16164098920377018</v>
      </c>
      <c r="I565" s="43">
        <v>2.99240378126661</v>
      </c>
      <c r="J565" s="42">
        <v>0.93969035145812219</v>
      </c>
      <c r="K565" s="43">
        <v>0.18162006227446403</v>
      </c>
      <c r="L565" s="43">
        <v>1620.375356562457</v>
      </c>
      <c r="M565" s="44">
        <v>2406.0790080590541</v>
      </c>
      <c r="N565" s="44">
        <v>4321.262586312957</v>
      </c>
      <c r="O565" s="45" t="s">
        <v>5074</v>
      </c>
      <c r="P565" s="46">
        <v>4</v>
      </c>
      <c r="Q565" s="43">
        <v>1620.375356562457</v>
      </c>
      <c r="R565" s="43">
        <v>1631.4986690438861</v>
      </c>
      <c r="S565" s="47">
        <v>0</v>
      </c>
      <c r="T565" s="48">
        <v>1630.4369342225025</v>
      </c>
      <c r="U565" s="48">
        <v>1620.5446247002383</v>
      </c>
      <c r="V565" s="48">
        <v>1627.3158816352236</v>
      </c>
      <c r="W565" s="48">
        <v>1631.4986690438861</v>
      </c>
    </row>
    <row r="566" spans="1:23" ht="13.2" x14ac:dyDescent="0.25">
      <c r="A566" s="41">
        <v>564</v>
      </c>
      <c r="B566" s="42">
        <v>0.55439677674062404</v>
      </c>
      <c r="C566" s="14" t="s">
        <v>5076</v>
      </c>
      <c r="D566" s="42">
        <v>0.76694013307194231</v>
      </c>
      <c r="E566" s="43">
        <v>42.669401330719424</v>
      </c>
      <c r="F566" s="42">
        <v>0.49713752069377226</v>
      </c>
      <c r="G566" s="43">
        <v>3.2686832595191353</v>
      </c>
      <c r="H566" s="42">
        <v>0.30376874716196617</v>
      </c>
      <c r="I566" s="43">
        <v>0.75256966742665854</v>
      </c>
      <c r="J566" s="42">
        <v>0.14600571763981399</v>
      </c>
      <c r="K566" s="43">
        <v>5.6178379448878086</v>
      </c>
      <c r="L566" s="43">
        <v>1625.9931945073447</v>
      </c>
      <c r="M566" s="44">
        <v>296.97903326180722</v>
      </c>
      <c r="N566" s="44">
        <v>533.36751663399275</v>
      </c>
      <c r="O566" s="45" t="s">
        <v>5074</v>
      </c>
      <c r="P566" s="46">
        <v>2</v>
      </c>
      <c r="Q566" s="43">
        <v>1625.9931945073447</v>
      </c>
      <c r="R566" s="43">
        <v>1629.2618777668638</v>
      </c>
      <c r="S566" s="47">
        <v>0</v>
      </c>
      <c r="T566" s="48">
        <v>1630.4369342225025</v>
      </c>
      <c r="U566" s="48">
        <v>1629.2618777668638</v>
      </c>
      <c r="V566" s="48">
        <v>1627.3158816352236</v>
      </c>
      <c r="W566" s="48">
        <v>1631.4986690438861</v>
      </c>
    </row>
    <row r="567" spans="1:23" ht="13.2" x14ac:dyDescent="0.25">
      <c r="A567" s="41">
        <v>565</v>
      </c>
      <c r="B567" s="42">
        <v>0.63929035730626915</v>
      </c>
      <c r="C567" s="14" t="s">
        <v>5079</v>
      </c>
      <c r="D567" s="42">
        <v>0.25413116358878612</v>
      </c>
      <c r="E567" s="43">
        <v>7.7623934907663585</v>
      </c>
      <c r="F567" s="42">
        <v>0.14720857010558647</v>
      </c>
      <c r="G567" s="43">
        <v>1.4561929427116145</v>
      </c>
      <c r="H567" s="42">
        <v>0.81729094722182072</v>
      </c>
      <c r="I567" s="43">
        <v>0.53445134275166439</v>
      </c>
      <c r="J567" s="42">
        <v>0.68606034698246998</v>
      </c>
      <c r="K567" s="43">
        <v>1.10011587084125</v>
      </c>
      <c r="L567" s="43">
        <v>1627.0933103781858</v>
      </c>
      <c r="M567" s="44">
        <v>54.145212202915623</v>
      </c>
      <c r="N567" s="44">
        <v>97.029918634579488</v>
      </c>
      <c r="O567" s="45" t="s">
        <v>5074</v>
      </c>
      <c r="P567" s="46">
        <v>3</v>
      </c>
      <c r="Q567" s="43">
        <v>1627.3158816352236</v>
      </c>
      <c r="R567" s="43">
        <v>1628.7720745779352</v>
      </c>
      <c r="S567" s="43">
        <v>0.22257125703777092</v>
      </c>
      <c r="T567" s="48">
        <v>1630.4369342225025</v>
      </c>
      <c r="U567" s="48">
        <v>1629.2618777668638</v>
      </c>
      <c r="V567" s="48">
        <v>1628.7720745779352</v>
      </c>
      <c r="W567" s="48">
        <v>1631.4986690438861</v>
      </c>
    </row>
    <row r="568" spans="1:23" ht="13.2" x14ac:dyDescent="0.25">
      <c r="A568" s="41">
        <v>566</v>
      </c>
      <c r="B568" s="42">
        <v>7.1196941692008145E-2</v>
      </c>
      <c r="C568" s="14" t="s">
        <v>5073</v>
      </c>
      <c r="D568" s="42">
        <v>0.56150583576481128</v>
      </c>
      <c r="E568" s="43">
        <v>347.38070029177737</v>
      </c>
      <c r="F568" s="42">
        <v>0.97341236843420764</v>
      </c>
      <c r="G568" s="43">
        <v>11.426780713199069</v>
      </c>
      <c r="H568" s="42">
        <v>0.69470389545648537</v>
      </c>
      <c r="I568" s="43">
        <v>3.5214897300917816</v>
      </c>
      <c r="J568" s="42">
        <v>0.47372065227186338</v>
      </c>
      <c r="K568" s="43">
        <v>2.1814232765414481</v>
      </c>
      <c r="L568" s="43">
        <v>1629.2747336547272</v>
      </c>
      <c r="M568" s="44">
        <v>2417.7696740307706</v>
      </c>
      <c r="N568" s="44">
        <v>4342.2587536472174</v>
      </c>
      <c r="O568" s="45" t="s">
        <v>5074</v>
      </c>
      <c r="P568" s="46">
        <v>3</v>
      </c>
      <c r="Q568" s="43">
        <v>1629.2747336547272</v>
      </c>
      <c r="R568" s="43">
        <v>1640.7015143679264</v>
      </c>
      <c r="S568" s="47">
        <v>0</v>
      </c>
      <c r="T568" s="48">
        <v>1630.4369342225025</v>
      </c>
      <c r="U568" s="48">
        <v>1629.2618777668638</v>
      </c>
      <c r="V568" s="48">
        <v>1640.7015143679264</v>
      </c>
      <c r="W568" s="48">
        <v>1631.4986690438861</v>
      </c>
    </row>
    <row r="569" spans="1:23" ht="13.2" x14ac:dyDescent="0.25">
      <c r="A569" s="41">
        <v>567</v>
      </c>
      <c r="B569" s="42">
        <v>0.34085876929613707</v>
      </c>
      <c r="C569" s="14" t="s">
        <v>5077</v>
      </c>
      <c r="D569" s="42">
        <v>0.41509859842020019</v>
      </c>
      <c r="E569" s="43">
        <v>43.735887385781801</v>
      </c>
      <c r="F569" s="42">
        <v>0.4666713296746236</v>
      </c>
      <c r="G569" s="43">
        <v>3.3440022382438195</v>
      </c>
      <c r="H569" s="42">
        <v>0.56716259874737007</v>
      </c>
      <c r="I569" s="43">
        <v>1.2586647186506799</v>
      </c>
      <c r="J569" s="42">
        <v>0.79681591214463854</v>
      </c>
      <c r="K569" s="43">
        <v>0.66315796452585474</v>
      </c>
      <c r="L569" s="43">
        <v>1629.9378916192532</v>
      </c>
      <c r="M569" s="44">
        <v>304.40177620504136</v>
      </c>
      <c r="N569" s="44">
        <v>546.69859232227248</v>
      </c>
      <c r="O569" s="45" t="s">
        <v>5074</v>
      </c>
      <c r="P569" s="46">
        <v>2</v>
      </c>
      <c r="Q569" s="43">
        <v>1629.9378916192532</v>
      </c>
      <c r="R569" s="43">
        <v>1633.2818938574969</v>
      </c>
      <c r="S569" s="47">
        <v>0</v>
      </c>
      <c r="T569" s="48">
        <v>1630.4369342225025</v>
      </c>
      <c r="U569" s="48">
        <v>1633.2818938574969</v>
      </c>
      <c r="V569" s="48">
        <v>1640.7015143679264</v>
      </c>
      <c r="W569" s="48">
        <v>1631.4986690438861</v>
      </c>
    </row>
    <row r="570" spans="1:23" ht="13.2" x14ac:dyDescent="0.25">
      <c r="A570" s="41">
        <v>568</v>
      </c>
      <c r="B570" s="42">
        <v>0.47829850040296956</v>
      </c>
      <c r="C570" s="14" t="s">
        <v>5077</v>
      </c>
      <c r="D570" s="42">
        <v>0.28351919878438075</v>
      </c>
      <c r="E570" s="43">
        <v>42.551672789059424</v>
      </c>
      <c r="F570" s="42">
        <v>0.26649251732346252</v>
      </c>
      <c r="G570" s="43">
        <v>3.2479164083152621</v>
      </c>
      <c r="H570" s="42">
        <v>0.92953378238227857</v>
      </c>
      <c r="I570" s="43">
        <v>1.52192754865512</v>
      </c>
      <c r="J570" s="42">
        <v>0.69125580819847798</v>
      </c>
      <c r="K570" s="43">
        <v>1.0780885364198012</v>
      </c>
      <c r="L570" s="43">
        <v>1631.0159801556729</v>
      </c>
      <c r="M570" s="44">
        <v>296.1596426118536</v>
      </c>
      <c r="N570" s="44">
        <v>531.89590986324276</v>
      </c>
      <c r="O570" s="45" t="s">
        <v>5074</v>
      </c>
      <c r="P570" s="46">
        <v>1</v>
      </c>
      <c r="Q570" s="43">
        <v>1631.0159801556729</v>
      </c>
      <c r="R570" s="43">
        <v>1634.2638965639881</v>
      </c>
      <c r="S570" s="47">
        <v>0</v>
      </c>
      <c r="T570" s="48">
        <v>1634.2638965639881</v>
      </c>
      <c r="U570" s="48">
        <v>1633.2818938574969</v>
      </c>
      <c r="V570" s="48">
        <v>1640.7015143679264</v>
      </c>
      <c r="W570" s="48">
        <v>1631.4986690438861</v>
      </c>
    </row>
    <row r="571" spans="1:23" ht="13.2" x14ac:dyDescent="0.25">
      <c r="A571" s="41">
        <v>569</v>
      </c>
      <c r="B571" s="42">
        <v>4.6277517474385688E-2</v>
      </c>
      <c r="C571" s="14" t="s">
        <v>5073</v>
      </c>
      <c r="D571" s="42">
        <v>0.55690999774118422</v>
      </c>
      <c r="E571" s="43">
        <v>346.82919972894211</v>
      </c>
      <c r="F571" s="42">
        <v>8.6126090533158783E-2</v>
      </c>
      <c r="G571" s="43">
        <v>8.6495746633687869</v>
      </c>
      <c r="H571" s="42">
        <v>0.50298065203380804</v>
      </c>
      <c r="I571" s="43">
        <v>3.3686028885806865</v>
      </c>
      <c r="J571" s="42">
        <v>0.34196252019235984</v>
      </c>
      <c r="K571" s="43">
        <v>3.1330047824986358</v>
      </c>
      <c r="L571" s="43">
        <v>1634.1489849381715</v>
      </c>
      <c r="M571" s="44">
        <v>2413.9312301134373</v>
      </c>
      <c r="N571" s="44">
        <v>4335.3649966117764</v>
      </c>
      <c r="O571" s="45" t="s">
        <v>5074</v>
      </c>
      <c r="P571" s="46">
        <v>4</v>
      </c>
      <c r="Q571" s="43">
        <v>1634.1489849381715</v>
      </c>
      <c r="R571" s="43">
        <v>1642.7985596015403</v>
      </c>
      <c r="S571" s="47">
        <v>0</v>
      </c>
      <c r="T571" s="48">
        <v>1634.2638965639881</v>
      </c>
      <c r="U571" s="48">
        <v>1633.2818938574969</v>
      </c>
      <c r="V571" s="48">
        <v>1640.7015143679264</v>
      </c>
      <c r="W571" s="48">
        <v>1642.7985596015403</v>
      </c>
    </row>
    <row r="572" spans="1:23" ht="13.2" x14ac:dyDescent="0.25">
      <c r="A572" s="41">
        <v>570</v>
      </c>
      <c r="B572" s="42">
        <v>0.63605913363213606</v>
      </c>
      <c r="C572" s="14" t="s">
        <v>5076</v>
      </c>
      <c r="D572" s="42">
        <v>0.80154497725961027</v>
      </c>
      <c r="E572" s="43">
        <v>43.015449772596099</v>
      </c>
      <c r="F572" s="42">
        <v>0.12540899874894368</v>
      </c>
      <c r="G572" s="43">
        <v>3.0976881394245139</v>
      </c>
      <c r="H572" s="42">
        <v>0.88577853137896323</v>
      </c>
      <c r="I572" s="43">
        <v>1.0211648490539673</v>
      </c>
      <c r="J572" s="42">
        <v>0.98207951475962973</v>
      </c>
      <c r="K572" s="43">
        <v>5.2797085096152607E-2</v>
      </c>
      <c r="L572" s="43">
        <v>1634.2017820232677</v>
      </c>
      <c r="M572" s="44">
        <v>299.38753041726886</v>
      </c>
      <c r="N572" s="44">
        <v>537.69312215745128</v>
      </c>
      <c r="O572" s="45" t="s">
        <v>5074</v>
      </c>
      <c r="P572" s="46">
        <v>2</v>
      </c>
      <c r="Q572" s="43">
        <v>1634.2017820232677</v>
      </c>
      <c r="R572" s="43">
        <v>1637.2994701626922</v>
      </c>
      <c r="S572" s="47">
        <v>0</v>
      </c>
      <c r="T572" s="48">
        <v>1634.2638965639881</v>
      </c>
      <c r="U572" s="48">
        <v>1637.2994701626922</v>
      </c>
      <c r="V572" s="48">
        <v>1640.7015143679264</v>
      </c>
      <c r="W572" s="48">
        <v>1642.7985596015403</v>
      </c>
    </row>
    <row r="573" spans="1:23" ht="13.2" x14ac:dyDescent="0.25">
      <c r="A573" s="41">
        <v>571</v>
      </c>
      <c r="B573" s="42">
        <v>0.37644121859988255</v>
      </c>
      <c r="C573" s="14" t="s">
        <v>5077</v>
      </c>
      <c r="D573" s="42">
        <v>0.29152591540083567</v>
      </c>
      <c r="E573" s="43">
        <v>42.623733238607521</v>
      </c>
      <c r="F573" s="42">
        <v>0.64646852186250903</v>
      </c>
      <c r="G573" s="43">
        <v>3.4303048904940043</v>
      </c>
      <c r="H573" s="42">
        <v>0.48848913865559229</v>
      </c>
      <c r="I573" s="43">
        <v>1.2202293385324781</v>
      </c>
      <c r="J573" s="42">
        <v>0.85565664565919741</v>
      </c>
      <c r="K573" s="43">
        <v>0.45514189253315018</v>
      </c>
      <c r="L573" s="43">
        <v>1634.6569239158009</v>
      </c>
      <c r="M573" s="44">
        <v>296.66118334070836</v>
      </c>
      <c r="N573" s="44">
        <v>532.79666548259399</v>
      </c>
      <c r="O573" s="45" t="s">
        <v>5074</v>
      </c>
      <c r="P573" s="46">
        <v>1</v>
      </c>
      <c r="Q573" s="43">
        <v>1634.6569239158009</v>
      </c>
      <c r="R573" s="43">
        <v>1638.0872288062949</v>
      </c>
      <c r="S573" s="47">
        <v>0</v>
      </c>
      <c r="T573" s="48">
        <v>1638.0872288062949</v>
      </c>
      <c r="U573" s="48">
        <v>1637.2994701626922</v>
      </c>
      <c r="V573" s="48">
        <v>1640.7015143679264</v>
      </c>
      <c r="W573" s="48">
        <v>1642.7985596015403</v>
      </c>
    </row>
    <row r="574" spans="1:23" ht="13.2" x14ac:dyDescent="0.25">
      <c r="A574" s="41">
        <v>572</v>
      </c>
      <c r="B574" s="42">
        <v>0.35025182149850381</v>
      </c>
      <c r="C574" s="14" t="s">
        <v>5077</v>
      </c>
      <c r="D574" s="42">
        <v>0.3853157429887521</v>
      </c>
      <c r="E574" s="43">
        <v>43.467841686898765</v>
      </c>
      <c r="F574" s="42">
        <v>0.15923429846727954</v>
      </c>
      <c r="G574" s="43">
        <v>3.1964324632642942</v>
      </c>
      <c r="H574" s="42">
        <v>0.94279219440314554</v>
      </c>
      <c r="I574" s="43">
        <v>1.5395521501590486</v>
      </c>
      <c r="J574" s="42">
        <v>0.64952484176006398</v>
      </c>
      <c r="K574" s="43">
        <v>1.25989546303454</v>
      </c>
      <c r="L574" s="43">
        <v>1635.9168193788355</v>
      </c>
      <c r="M574" s="44">
        <v>304.66484112802107</v>
      </c>
      <c r="N574" s="44">
        <v>543.34802108623455</v>
      </c>
      <c r="O574" s="45" t="s">
        <v>5074</v>
      </c>
      <c r="P574" s="46">
        <v>2</v>
      </c>
      <c r="Q574" s="43">
        <v>1637.2994701626922</v>
      </c>
      <c r="R574" s="43">
        <v>1640.4959026259564</v>
      </c>
      <c r="S574" s="43">
        <v>1.3826507838566613</v>
      </c>
      <c r="T574" s="48">
        <v>1638.0872288062949</v>
      </c>
      <c r="U574" s="48">
        <v>1640.4959026259564</v>
      </c>
      <c r="V574" s="48">
        <v>1640.7015143679264</v>
      </c>
      <c r="W574" s="48">
        <v>1642.7985596015403</v>
      </c>
    </row>
    <row r="575" spans="1:23" ht="13.2" x14ac:dyDescent="0.25">
      <c r="A575" s="41">
        <v>573</v>
      </c>
      <c r="B575" s="42">
        <v>0.80936661633167728</v>
      </c>
      <c r="C575" s="14" t="s">
        <v>5078</v>
      </c>
      <c r="D575" s="42">
        <v>0.43918543096593832</v>
      </c>
      <c r="E575" s="43">
        <v>187.56741723863752</v>
      </c>
      <c r="F575" s="42">
        <v>0.60161452442482788</v>
      </c>
      <c r="G575" s="43">
        <v>5.9674692172265935</v>
      </c>
      <c r="H575" s="42">
        <v>0.88840418257210596</v>
      </c>
      <c r="I575" s="43">
        <v>3.853096363161713</v>
      </c>
      <c r="J575" s="42">
        <v>0.44413178062258835</v>
      </c>
      <c r="K575" s="43">
        <v>2.3697341821408529</v>
      </c>
      <c r="L575" s="43">
        <v>1638.2865535609762</v>
      </c>
      <c r="M575" s="44">
        <v>1305.4692239809171</v>
      </c>
      <c r="N575" s="44">
        <v>2344.5927154829687</v>
      </c>
      <c r="O575" s="45" t="s">
        <v>5074</v>
      </c>
      <c r="P575" s="46">
        <v>1</v>
      </c>
      <c r="Q575" s="43">
        <v>1638.2865535609762</v>
      </c>
      <c r="R575" s="43">
        <v>1644.2540227782029</v>
      </c>
      <c r="S575" s="47">
        <v>0</v>
      </c>
      <c r="T575" s="48">
        <v>1644.2540227782029</v>
      </c>
      <c r="U575" s="48">
        <v>1640.4959026259564</v>
      </c>
      <c r="V575" s="48">
        <v>1640.7015143679264</v>
      </c>
      <c r="W575" s="48">
        <v>1642.7985596015403</v>
      </c>
    </row>
    <row r="576" spans="1:23" ht="13.2" x14ac:dyDescent="0.25">
      <c r="A576" s="41">
        <v>574</v>
      </c>
      <c r="B576" s="42">
        <v>0.92427675981273727</v>
      </c>
      <c r="C576" s="14" t="s">
        <v>5075</v>
      </c>
      <c r="D576" s="42">
        <v>0.24576324235916289</v>
      </c>
      <c r="E576" s="43">
        <v>297.20342696514138</v>
      </c>
      <c r="F576" s="42">
        <v>0.53312383151292975</v>
      </c>
      <c r="G576" s="43">
        <v>9.4109164247107309</v>
      </c>
      <c r="H576" s="42">
        <v>0.41778500537284885</v>
      </c>
      <c r="I576" s="43">
        <v>2.4140951869174772</v>
      </c>
      <c r="J576" s="42">
        <v>5.8204187107367529E-2</v>
      </c>
      <c r="K576" s="43">
        <v>8.3030598055678535</v>
      </c>
      <c r="L576" s="43">
        <v>1646.5896133665442</v>
      </c>
      <c r="M576" s="44">
        <v>2068.535851677384</v>
      </c>
      <c r="N576" s="44">
        <v>3715.0428370642671</v>
      </c>
      <c r="O576" s="45" t="s">
        <v>5074</v>
      </c>
      <c r="P576" s="46">
        <v>2</v>
      </c>
      <c r="Q576" s="43">
        <v>1646.5896133665442</v>
      </c>
      <c r="R576" s="43">
        <v>1656.0005297912548</v>
      </c>
      <c r="S576" s="47">
        <v>0</v>
      </c>
      <c r="T576" s="48">
        <v>1644.2540227782029</v>
      </c>
      <c r="U576" s="48">
        <v>1656.0005297912548</v>
      </c>
      <c r="V576" s="48">
        <v>1640.7015143679264</v>
      </c>
      <c r="W576" s="48">
        <v>1642.7985596015403</v>
      </c>
    </row>
    <row r="577" spans="1:23" ht="13.2" x14ac:dyDescent="0.25">
      <c r="A577" s="41">
        <v>575</v>
      </c>
      <c r="B577" s="42">
        <v>0.79668083684364377</v>
      </c>
      <c r="C577" s="14" t="s">
        <v>5078</v>
      </c>
      <c r="D577" s="42">
        <v>0.64208311198376267</v>
      </c>
      <c r="E577" s="43">
        <v>195.68332447935052</v>
      </c>
      <c r="F577" s="42">
        <v>0.86411071841796427</v>
      </c>
      <c r="G577" s="43">
        <v>6.2063407537603474</v>
      </c>
      <c r="H577" s="42">
        <v>0.36571060790014948</v>
      </c>
      <c r="I577" s="43">
        <v>2.9561780795178132</v>
      </c>
      <c r="J577" s="42">
        <v>0.92175094220868825</v>
      </c>
      <c r="K577" s="43">
        <v>0.23789845159976833</v>
      </c>
      <c r="L577" s="43">
        <v>1646.8275118181439</v>
      </c>
      <c r="M577" s="44">
        <v>1361.9559383762796</v>
      </c>
      <c r="N577" s="44">
        <v>2446.0415559918815</v>
      </c>
      <c r="O577" s="45" t="s">
        <v>5074</v>
      </c>
      <c r="P577" s="46">
        <v>3</v>
      </c>
      <c r="Q577" s="43">
        <v>1646.8275118181439</v>
      </c>
      <c r="R577" s="43">
        <v>1653.0338525719042</v>
      </c>
      <c r="S577" s="47">
        <v>0</v>
      </c>
      <c r="T577" s="48">
        <v>1644.2540227782029</v>
      </c>
      <c r="U577" s="48">
        <v>1656.0005297912548</v>
      </c>
      <c r="V577" s="48">
        <v>1653.0338525719042</v>
      </c>
      <c r="W577" s="48">
        <v>1642.7985596015403</v>
      </c>
    </row>
    <row r="578" spans="1:23" ht="13.2" x14ac:dyDescent="0.25">
      <c r="A578" s="41">
        <v>576</v>
      </c>
      <c r="B578" s="42">
        <v>0.95921586265750969</v>
      </c>
      <c r="C578" s="14" t="s">
        <v>5080</v>
      </c>
      <c r="D578" s="42">
        <v>0.25592593720924384</v>
      </c>
      <c r="E578" s="43">
        <v>91.398148430231089</v>
      </c>
      <c r="F578" s="42">
        <v>0.59276916253975087</v>
      </c>
      <c r="G578" s="43">
        <v>4.5300953477714652</v>
      </c>
      <c r="H578" s="42">
        <v>0.56241242474057362</v>
      </c>
      <c r="I578" s="43">
        <v>2.112499219455573</v>
      </c>
      <c r="J578" s="42">
        <v>1.3427249162191176E-2</v>
      </c>
      <c r="K578" s="43">
        <v>12.585311291272825</v>
      </c>
      <c r="L578" s="43">
        <v>1659.4128231094166</v>
      </c>
      <c r="M578" s="44">
        <v>636.1311130744084</v>
      </c>
      <c r="N578" s="44">
        <v>1142.4768553778886</v>
      </c>
      <c r="O578" s="45" t="s">
        <v>5074</v>
      </c>
      <c r="P578" s="46">
        <v>4</v>
      </c>
      <c r="Q578" s="43">
        <v>1659.4128231094166</v>
      </c>
      <c r="R578" s="43">
        <v>1663.9429184571882</v>
      </c>
      <c r="S578" s="47">
        <v>0</v>
      </c>
      <c r="T578" s="48">
        <v>1644.2540227782029</v>
      </c>
      <c r="U578" s="48">
        <v>1656.0005297912548</v>
      </c>
      <c r="V578" s="48">
        <v>1653.0338525719042</v>
      </c>
      <c r="W578" s="48">
        <v>1663.9429184571882</v>
      </c>
    </row>
    <row r="579" spans="1:23" ht="13.2" x14ac:dyDescent="0.25">
      <c r="A579" s="41">
        <v>577</v>
      </c>
      <c r="B579" s="42">
        <v>0.46404764217513039</v>
      </c>
      <c r="C579" s="14" t="s">
        <v>5077</v>
      </c>
      <c r="D579" s="42">
        <v>0.37372750480367223</v>
      </c>
      <c r="E579" s="43">
        <v>43.363547543233054</v>
      </c>
      <c r="F579" s="42">
        <v>0.2470692783813315</v>
      </c>
      <c r="G579" s="43">
        <v>3.2385932536230393</v>
      </c>
      <c r="H579" s="42">
        <v>0.46273363170341292</v>
      </c>
      <c r="I579" s="43">
        <v>1.2082990077969495</v>
      </c>
      <c r="J579" s="42">
        <v>0.17044706929961548</v>
      </c>
      <c r="K579" s="43">
        <v>5.165928392545406</v>
      </c>
      <c r="L579" s="43">
        <v>1664.578751501962</v>
      </c>
      <c r="M579" s="44">
        <v>301.81029090090203</v>
      </c>
      <c r="N579" s="44">
        <v>542.04434429041316</v>
      </c>
      <c r="O579" s="45" t="s">
        <v>5074</v>
      </c>
      <c r="P579" s="46">
        <v>1</v>
      </c>
      <c r="Q579" s="43">
        <v>1664.578751501962</v>
      </c>
      <c r="R579" s="43">
        <v>1667.8173447555851</v>
      </c>
      <c r="S579" s="47">
        <v>0</v>
      </c>
      <c r="T579" s="48">
        <v>1667.8173447555851</v>
      </c>
      <c r="U579" s="48">
        <v>1656.0005297912548</v>
      </c>
      <c r="V579" s="48">
        <v>1653.0338525719042</v>
      </c>
      <c r="W579" s="48">
        <v>1663.9429184571882</v>
      </c>
    </row>
    <row r="580" spans="1:23" ht="13.2" x14ac:dyDescent="0.25">
      <c r="A580" s="41">
        <v>578</v>
      </c>
      <c r="B580" s="42">
        <v>0.88016188837595377</v>
      </c>
      <c r="C580" s="14" t="s">
        <v>5075</v>
      </c>
      <c r="D580" s="42">
        <v>0.93938493027323156</v>
      </c>
      <c r="E580" s="43">
        <v>345.75694511912621</v>
      </c>
      <c r="F580" s="42">
        <v>0.17319899665806396</v>
      </c>
      <c r="G580" s="43">
        <v>8.6946660033495462</v>
      </c>
      <c r="H580" s="42">
        <v>0.53204820981810252</v>
      </c>
      <c r="I580" s="43">
        <v>2.5325789022541452</v>
      </c>
      <c r="J580" s="42">
        <v>1.8583423001032055E-2</v>
      </c>
      <c r="K580" s="43">
        <v>11.636453524537272</v>
      </c>
      <c r="L580" s="43">
        <v>1676.2152050264992</v>
      </c>
      <c r="M580" s="44">
        <v>2406.4683380291185</v>
      </c>
      <c r="N580" s="44">
        <v>4321.9618139890781</v>
      </c>
      <c r="O580" s="45" t="s">
        <v>5074</v>
      </c>
      <c r="P580" s="46">
        <v>3</v>
      </c>
      <c r="Q580" s="43">
        <v>1676.2152050264992</v>
      </c>
      <c r="R580" s="43">
        <v>1684.9098710298488</v>
      </c>
      <c r="S580" s="47">
        <v>0</v>
      </c>
      <c r="T580" s="48">
        <v>1667.8173447555851</v>
      </c>
      <c r="U580" s="48">
        <v>1656.0005297912548</v>
      </c>
      <c r="V580" s="48">
        <v>1684.9098710298488</v>
      </c>
      <c r="W580" s="48">
        <v>1663.9429184571882</v>
      </c>
    </row>
    <row r="581" spans="1:23" ht="13.2" x14ac:dyDescent="0.25">
      <c r="A581" s="41">
        <v>579</v>
      </c>
      <c r="B581" s="42">
        <v>4.4306738788404847E-2</v>
      </c>
      <c r="C581" s="14" t="s">
        <v>5073</v>
      </c>
      <c r="D581" s="42">
        <v>0.14651771548507628</v>
      </c>
      <c r="E581" s="43">
        <v>297.58212585820917</v>
      </c>
      <c r="F581" s="42">
        <v>0.87250374251627538</v>
      </c>
      <c r="G581" s="43">
        <v>11.110936714075942</v>
      </c>
      <c r="H581" s="42">
        <v>0.76414784917801049</v>
      </c>
      <c r="I581" s="43">
        <v>3.579418125549267</v>
      </c>
      <c r="J581" s="42">
        <v>0.67078897388223047</v>
      </c>
      <c r="K581" s="43">
        <v>1.1658414202446252</v>
      </c>
      <c r="L581" s="43">
        <v>1677.3810464467438</v>
      </c>
      <c r="M581" s="44">
        <v>2071.1715959731359</v>
      </c>
      <c r="N581" s="44">
        <v>3719.7765732276148</v>
      </c>
      <c r="O581" s="45" t="s">
        <v>5074</v>
      </c>
      <c r="P581" s="46">
        <v>2</v>
      </c>
      <c r="Q581" s="43">
        <v>1677.3810464467438</v>
      </c>
      <c r="R581" s="43">
        <v>1688.4919831608197</v>
      </c>
      <c r="S581" s="47">
        <v>0</v>
      </c>
      <c r="T581" s="48">
        <v>1667.8173447555851</v>
      </c>
      <c r="U581" s="48">
        <v>1688.4919831608197</v>
      </c>
      <c r="V581" s="48">
        <v>1684.9098710298488</v>
      </c>
      <c r="W581" s="48">
        <v>1663.9429184571882</v>
      </c>
    </row>
    <row r="582" spans="1:23" ht="13.2" x14ac:dyDescent="0.25">
      <c r="A582" s="41">
        <v>580</v>
      </c>
      <c r="B582" s="42">
        <v>0.48888726555224848</v>
      </c>
      <c r="C582" s="14" t="s">
        <v>5077</v>
      </c>
      <c r="D582" s="42">
        <v>0.54782930228292448</v>
      </c>
      <c r="E582" s="43">
        <v>44.930463720546321</v>
      </c>
      <c r="F582" s="42">
        <v>4.1518430710545944E-2</v>
      </c>
      <c r="G582" s="43">
        <v>3.139928846741062</v>
      </c>
      <c r="H582" s="42">
        <v>0.93801441739220848</v>
      </c>
      <c r="I582" s="43">
        <v>1.5329864910448672</v>
      </c>
      <c r="J582" s="42">
        <v>0.92024571165453906</v>
      </c>
      <c r="K582" s="43">
        <v>0.24267026777410786</v>
      </c>
      <c r="L582" s="43">
        <v>1677.623716714518</v>
      </c>
      <c r="M582" s="44">
        <v>312.71602749500238</v>
      </c>
      <c r="N582" s="44">
        <v>561.63079650682903</v>
      </c>
      <c r="O582" s="45" t="s">
        <v>5074</v>
      </c>
      <c r="P582" s="46">
        <v>4</v>
      </c>
      <c r="Q582" s="43">
        <v>1677.623716714518</v>
      </c>
      <c r="R582" s="43">
        <v>1680.763645561259</v>
      </c>
      <c r="S582" s="47">
        <v>0</v>
      </c>
      <c r="T582" s="48">
        <v>1667.8173447555851</v>
      </c>
      <c r="U582" s="48">
        <v>1688.4919831608197</v>
      </c>
      <c r="V582" s="48">
        <v>1684.9098710298488</v>
      </c>
      <c r="W582" s="48">
        <v>1680.763645561259</v>
      </c>
    </row>
    <row r="583" spans="1:23" ht="13.2" x14ac:dyDescent="0.25">
      <c r="A583" s="41">
        <v>581</v>
      </c>
      <c r="B583" s="42">
        <v>0.4653277175805195</v>
      </c>
      <c r="C583" s="14" t="s">
        <v>5077</v>
      </c>
      <c r="D583" s="42">
        <v>9.1241660104711381E-2</v>
      </c>
      <c r="E583" s="43">
        <v>40.821174940942406</v>
      </c>
      <c r="F583" s="42">
        <v>0.49642174062152472</v>
      </c>
      <c r="G583" s="43">
        <v>3.3582824354983321</v>
      </c>
      <c r="H583" s="42">
        <v>0.86994398938023676</v>
      </c>
      <c r="I583" s="43">
        <v>1.4580801686944753</v>
      </c>
      <c r="J583" s="42">
        <v>0.99105908441872292</v>
      </c>
      <c r="K583" s="43">
        <v>2.622226400472305E-2</v>
      </c>
      <c r="L583" s="43">
        <v>1677.6499389785226</v>
      </c>
      <c r="M583" s="44">
        <v>284.11537758895912</v>
      </c>
      <c r="N583" s="44">
        <v>510.26468676178007</v>
      </c>
      <c r="O583" s="45" t="s">
        <v>5074</v>
      </c>
      <c r="P583" s="46">
        <v>1</v>
      </c>
      <c r="Q583" s="43">
        <v>1677.6499389785226</v>
      </c>
      <c r="R583" s="43">
        <v>1681.0082214140209</v>
      </c>
      <c r="S583" s="47">
        <v>0</v>
      </c>
      <c r="T583" s="48">
        <v>1681.0082214140209</v>
      </c>
      <c r="U583" s="48">
        <v>1688.4919831608197</v>
      </c>
      <c r="V583" s="48">
        <v>1684.9098710298488</v>
      </c>
      <c r="W583" s="48">
        <v>1680.763645561259</v>
      </c>
    </row>
    <row r="584" spans="1:23" ht="13.2" x14ac:dyDescent="0.25">
      <c r="A584" s="41">
        <v>582</v>
      </c>
      <c r="B584" s="42">
        <v>9.4628020699428397E-2</v>
      </c>
      <c r="C584" s="14" t="s">
        <v>5073</v>
      </c>
      <c r="D584" s="42">
        <v>0.17829066197308277</v>
      </c>
      <c r="E584" s="43">
        <v>301.39487943676994</v>
      </c>
      <c r="F584" s="42">
        <v>0.73625669150438933</v>
      </c>
      <c r="G584" s="43">
        <v>10.684483444408738</v>
      </c>
      <c r="H584" s="42">
        <v>0.14156228962427111</v>
      </c>
      <c r="I584" s="43">
        <v>2.9608073723763617</v>
      </c>
      <c r="J584" s="42">
        <v>0.44227278579132295</v>
      </c>
      <c r="K584" s="43">
        <v>2.3819808024731075</v>
      </c>
      <c r="L584" s="43">
        <v>1680.0319197809958</v>
      </c>
      <c r="M584" s="44">
        <v>2099.8748599646797</v>
      </c>
      <c r="N584" s="44">
        <v>3767.4359929596244</v>
      </c>
      <c r="O584" s="45" t="s">
        <v>5074</v>
      </c>
      <c r="P584" s="46">
        <v>4</v>
      </c>
      <c r="Q584" s="43">
        <v>1680.763645561259</v>
      </c>
      <c r="R584" s="43">
        <v>1691.4481290056676</v>
      </c>
      <c r="S584" s="43">
        <v>0.73172578026310475</v>
      </c>
      <c r="T584" s="48">
        <v>1681.0082214140209</v>
      </c>
      <c r="U584" s="48">
        <v>1688.4919831608197</v>
      </c>
      <c r="V584" s="48">
        <v>1684.9098710298488</v>
      </c>
      <c r="W584" s="48">
        <v>1691.4481290056676</v>
      </c>
    </row>
    <row r="585" spans="1:23" ht="13.2" x14ac:dyDescent="0.25">
      <c r="A585" s="41">
        <v>583</v>
      </c>
      <c r="B585" s="42">
        <v>0.58090524775018226</v>
      </c>
      <c r="C585" s="14" t="s">
        <v>5076</v>
      </c>
      <c r="D585" s="42">
        <v>0.77964731807804077</v>
      </c>
      <c r="E585" s="43">
        <v>42.79647318078041</v>
      </c>
      <c r="F585" s="42">
        <v>0.92425979670335534</v>
      </c>
      <c r="G585" s="43">
        <v>3.4651595064835434</v>
      </c>
      <c r="H585" s="42">
        <v>1.0243598376514203E-2</v>
      </c>
      <c r="I585" s="43">
        <v>0.54638055259554352</v>
      </c>
      <c r="J585" s="42">
        <v>0.19772361321268772</v>
      </c>
      <c r="K585" s="43">
        <v>4.7325112885221934</v>
      </c>
      <c r="L585" s="43">
        <v>1684.764431069518</v>
      </c>
      <c r="M585" s="44">
        <v>297.86345333823164</v>
      </c>
      <c r="N585" s="44">
        <v>534.95591475975516</v>
      </c>
      <c r="O585" s="45" t="s">
        <v>5074</v>
      </c>
      <c r="P585" s="46">
        <v>1</v>
      </c>
      <c r="Q585" s="43">
        <v>1684.764431069518</v>
      </c>
      <c r="R585" s="43">
        <v>1688.2295905760016</v>
      </c>
      <c r="S585" s="47">
        <v>0</v>
      </c>
      <c r="T585" s="48">
        <v>1688.2295905760016</v>
      </c>
      <c r="U585" s="48">
        <v>1688.4919831608197</v>
      </c>
      <c r="V585" s="48">
        <v>1684.9098710298488</v>
      </c>
      <c r="W585" s="48">
        <v>1691.4481290056676</v>
      </c>
    </row>
    <row r="586" spans="1:23" ht="13.2" x14ac:dyDescent="0.25">
      <c r="A586" s="41">
        <v>584</v>
      </c>
      <c r="B586" s="42">
        <v>0.36941879492691659</v>
      </c>
      <c r="C586" s="14" t="s">
        <v>5077</v>
      </c>
      <c r="D586" s="42">
        <v>0.29176167179446744</v>
      </c>
      <c r="E586" s="43">
        <v>42.625855046150207</v>
      </c>
      <c r="F586" s="42">
        <v>6.887963184569014E-2</v>
      </c>
      <c r="G586" s="43">
        <v>3.1530622232859313</v>
      </c>
      <c r="H586" s="42">
        <v>0.3413338932866854</v>
      </c>
      <c r="I586" s="43">
        <v>1.1505427243335777</v>
      </c>
      <c r="J586" s="42">
        <v>0.27085896594024217</v>
      </c>
      <c r="K586" s="43">
        <v>3.8135971224908078</v>
      </c>
      <c r="L586" s="43">
        <v>1688.5780281920088</v>
      </c>
      <c r="M586" s="44">
        <v>296.67595112120546</v>
      </c>
      <c r="N586" s="44">
        <v>532.82318807687761</v>
      </c>
      <c r="O586" s="45" t="s">
        <v>5074</v>
      </c>
      <c r="P586" s="46">
        <v>3</v>
      </c>
      <c r="Q586" s="43">
        <v>1688.5780281920088</v>
      </c>
      <c r="R586" s="43">
        <v>1691.7310904152948</v>
      </c>
      <c r="S586" s="47">
        <v>0</v>
      </c>
      <c r="T586" s="48">
        <v>1688.2295905760016</v>
      </c>
      <c r="U586" s="48">
        <v>1688.4919831608197</v>
      </c>
      <c r="V586" s="48">
        <v>1691.7310904152948</v>
      </c>
      <c r="W586" s="48">
        <v>1691.4481290056676</v>
      </c>
    </row>
    <row r="587" spans="1:23" ht="13.2" x14ac:dyDescent="0.25">
      <c r="A587" s="41">
        <v>585</v>
      </c>
      <c r="B587" s="42">
        <v>0.99241762747635021</v>
      </c>
      <c r="C587" s="14" t="s">
        <v>5080</v>
      </c>
      <c r="D587" s="42">
        <v>0.423511017776798</v>
      </c>
      <c r="E587" s="43">
        <v>95.587775444419947</v>
      </c>
      <c r="F587" s="42">
        <v>0.14900087059894618</v>
      </c>
      <c r="G587" s="43">
        <v>4.2904604701234312</v>
      </c>
      <c r="H587" s="42">
        <v>0.14626965678588938</v>
      </c>
      <c r="I587" s="43">
        <v>1.6589425952901742</v>
      </c>
      <c r="J587" s="42">
        <v>0.97259747841050725</v>
      </c>
      <c r="K587" s="43">
        <v>8.1124010637367461E-2</v>
      </c>
      <c r="L587" s="43">
        <v>1688.6591522026461</v>
      </c>
      <c r="M587" s="44">
        <v>665.29091709316288</v>
      </c>
      <c r="N587" s="44">
        <v>1194.8471930552494</v>
      </c>
      <c r="O587" s="45" t="s">
        <v>5074</v>
      </c>
      <c r="P587" s="46">
        <v>1</v>
      </c>
      <c r="Q587" s="43">
        <v>1688.6591522026461</v>
      </c>
      <c r="R587" s="43">
        <v>1692.9496126727695</v>
      </c>
      <c r="S587" s="47">
        <v>0</v>
      </c>
      <c r="T587" s="48">
        <v>1692.9496126727695</v>
      </c>
      <c r="U587" s="48">
        <v>1688.4919831608197</v>
      </c>
      <c r="V587" s="48">
        <v>1691.7310904152948</v>
      </c>
      <c r="W587" s="48">
        <v>1691.4481290056676</v>
      </c>
    </row>
    <row r="588" spans="1:23" ht="13.2" x14ac:dyDescent="0.25">
      <c r="A588" s="41">
        <v>586</v>
      </c>
      <c r="B588" s="42">
        <v>0.28988719558803699</v>
      </c>
      <c r="C588" s="14" t="s">
        <v>5077</v>
      </c>
      <c r="D588" s="42">
        <v>0.95637212319130638</v>
      </c>
      <c r="E588" s="43">
        <v>48.607349108721756</v>
      </c>
      <c r="F588" s="42">
        <v>0.78049095523566514</v>
      </c>
      <c r="G588" s="43">
        <v>3.4946356585131193</v>
      </c>
      <c r="H588" s="42">
        <v>0.17939959148848411</v>
      </c>
      <c r="I588" s="43">
        <v>1.0541335336704982</v>
      </c>
      <c r="J588" s="42">
        <v>0.57715831491032532</v>
      </c>
      <c r="K588" s="43">
        <v>1.6047844501619126</v>
      </c>
      <c r="L588" s="43">
        <v>1690.2639366528081</v>
      </c>
      <c r="M588" s="44">
        <v>338.30714979670341</v>
      </c>
      <c r="N588" s="44">
        <v>607.59186385902194</v>
      </c>
      <c r="O588" s="45" t="s">
        <v>5074</v>
      </c>
      <c r="P588" s="46">
        <v>2</v>
      </c>
      <c r="Q588" s="43">
        <v>1690.2639366528081</v>
      </c>
      <c r="R588" s="43">
        <v>1693.7585723113211</v>
      </c>
      <c r="S588" s="47">
        <v>0</v>
      </c>
      <c r="T588" s="48">
        <v>1692.9496126727695</v>
      </c>
      <c r="U588" s="48">
        <v>1693.7585723113211</v>
      </c>
      <c r="V588" s="48">
        <v>1691.7310904152948</v>
      </c>
      <c r="W588" s="48">
        <v>1691.4481290056676</v>
      </c>
    </row>
    <row r="589" spans="1:23" ht="13.2" x14ac:dyDescent="0.25">
      <c r="A589" s="41">
        <v>587</v>
      </c>
      <c r="B589" s="42">
        <v>0.91626205524255622</v>
      </c>
      <c r="C589" s="14" t="s">
        <v>5075</v>
      </c>
      <c r="D589" s="42">
        <v>0.56963856172265415</v>
      </c>
      <c r="E589" s="43">
        <v>319.87469932058582</v>
      </c>
      <c r="F589" s="42">
        <v>9.9087346856988667E-2</v>
      </c>
      <c r="G589" s="43">
        <v>8.547183820245408</v>
      </c>
      <c r="H589" s="42">
        <v>0.83816307496193942</v>
      </c>
      <c r="I589" s="43">
        <v>2.9310765868096822</v>
      </c>
      <c r="J589" s="42">
        <v>0.86448696808167125</v>
      </c>
      <c r="K589" s="43">
        <v>0.42516510507311589</v>
      </c>
      <c r="L589" s="43">
        <v>1690.6891017578812</v>
      </c>
      <c r="M589" s="44">
        <v>2228.5526742660145</v>
      </c>
      <c r="N589" s="44">
        <v>3998.4337415073228</v>
      </c>
      <c r="O589" s="45" t="s">
        <v>5074</v>
      </c>
      <c r="P589" s="46">
        <v>4</v>
      </c>
      <c r="Q589" s="43">
        <v>1691.4481290056676</v>
      </c>
      <c r="R589" s="43">
        <v>1699.9953128259131</v>
      </c>
      <c r="S589" s="43">
        <v>0.7590272477864346</v>
      </c>
      <c r="T589" s="48">
        <v>1692.9496126727695</v>
      </c>
      <c r="U589" s="48">
        <v>1693.7585723113211</v>
      </c>
      <c r="V589" s="48">
        <v>1691.7310904152948</v>
      </c>
      <c r="W589" s="48">
        <v>1699.9953128259131</v>
      </c>
    </row>
    <row r="590" spans="1:23" ht="13.2" x14ac:dyDescent="0.25">
      <c r="A590" s="41">
        <v>588</v>
      </c>
      <c r="B590" s="42">
        <v>0.64268208976959906</v>
      </c>
      <c r="C590" s="14" t="s">
        <v>5079</v>
      </c>
      <c r="D590" s="42">
        <v>0.87760968780033743</v>
      </c>
      <c r="E590" s="43">
        <v>9.6328290634010116</v>
      </c>
      <c r="F590" s="42">
        <v>0.73772180254465058</v>
      </c>
      <c r="G590" s="43">
        <v>1.5211493982799116</v>
      </c>
      <c r="H590" s="42">
        <v>0.85551658033184552</v>
      </c>
      <c r="I590" s="43">
        <v>0.5527841280628234</v>
      </c>
      <c r="J590" s="42">
        <v>0.20801281100512148</v>
      </c>
      <c r="K590" s="43">
        <v>4.5843959410414987</v>
      </c>
      <c r="L590" s="43">
        <v>1695.2734976989227</v>
      </c>
      <c r="M590" s="44">
        <v>67.044490281271038</v>
      </c>
      <c r="N590" s="44">
        <v>120.41036329251264</v>
      </c>
      <c r="O590" s="45" t="s">
        <v>5074</v>
      </c>
      <c r="P590" s="46">
        <v>3</v>
      </c>
      <c r="Q590" s="43">
        <v>1695.2734976989227</v>
      </c>
      <c r="R590" s="43">
        <v>1696.7946470972026</v>
      </c>
      <c r="S590" s="47">
        <v>0</v>
      </c>
      <c r="T590" s="48">
        <v>1692.9496126727695</v>
      </c>
      <c r="U590" s="48">
        <v>1693.7585723113211</v>
      </c>
      <c r="V590" s="48">
        <v>1696.7946470972026</v>
      </c>
      <c r="W590" s="48">
        <v>1699.9953128259131</v>
      </c>
    </row>
    <row r="591" spans="1:23" ht="13.2" x14ac:dyDescent="0.25">
      <c r="A591" s="41">
        <v>589</v>
      </c>
      <c r="B591" s="42">
        <v>0.99637424573133426</v>
      </c>
      <c r="C591" s="14" t="s">
        <v>5080</v>
      </c>
      <c r="D591" s="42">
        <v>0.31351189516182609</v>
      </c>
      <c r="E591" s="43">
        <v>92.837797379045654</v>
      </c>
      <c r="F591" s="42">
        <v>0.85943018452237829</v>
      </c>
      <c r="G591" s="43">
        <v>4.6740922996420844</v>
      </c>
      <c r="H591" s="42">
        <v>0.5000280577223879</v>
      </c>
      <c r="I591" s="43">
        <v>2.0513433202155262</v>
      </c>
      <c r="J591" s="42">
        <v>0.67491630356522103</v>
      </c>
      <c r="K591" s="43">
        <v>1.1479316511409601</v>
      </c>
      <c r="L591" s="43">
        <v>1696.4214293500636</v>
      </c>
      <c r="M591" s="44">
        <v>646.15106975815775</v>
      </c>
      <c r="N591" s="44">
        <v>1160.4724672380707</v>
      </c>
      <c r="O591" s="45" t="s">
        <v>5074</v>
      </c>
      <c r="P591" s="46">
        <v>1</v>
      </c>
      <c r="Q591" s="43">
        <v>1696.4214293500636</v>
      </c>
      <c r="R591" s="43">
        <v>1701.0955216497057</v>
      </c>
      <c r="S591" s="47">
        <v>0</v>
      </c>
      <c r="T591" s="48">
        <v>1701.0955216497057</v>
      </c>
      <c r="U591" s="48">
        <v>1693.7585723113211</v>
      </c>
      <c r="V591" s="48">
        <v>1696.7946470972026</v>
      </c>
      <c r="W591" s="48">
        <v>1699.9953128259131</v>
      </c>
    </row>
    <row r="592" spans="1:23" ht="13.2" x14ac:dyDescent="0.25">
      <c r="A592" s="41">
        <v>590</v>
      </c>
      <c r="B592" s="42">
        <v>0.53232784547485779</v>
      </c>
      <c r="C592" s="14" t="s">
        <v>5076</v>
      </c>
      <c r="D592" s="42">
        <v>0.47912498353008415</v>
      </c>
      <c r="E592" s="43">
        <v>39.791249835300839</v>
      </c>
      <c r="F592" s="42">
        <v>0.98534635919395197</v>
      </c>
      <c r="G592" s="43">
        <v>3.4932593252292179</v>
      </c>
      <c r="H592" s="42">
        <v>0.12067325884507656</v>
      </c>
      <c r="I592" s="43">
        <v>0.65918977466365758</v>
      </c>
      <c r="J592" s="42">
        <v>0.12831504695504672</v>
      </c>
      <c r="K592" s="43">
        <v>5.9949393716049126</v>
      </c>
      <c r="L592" s="43">
        <v>1702.4163687216685</v>
      </c>
      <c r="M592" s="44">
        <v>276.94709885369383</v>
      </c>
      <c r="N592" s="44">
        <v>497.39062294126046</v>
      </c>
      <c r="O592" s="45" t="s">
        <v>5074</v>
      </c>
      <c r="P592" s="46">
        <v>2</v>
      </c>
      <c r="Q592" s="43">
        <v>1702.4163687216685</v>
      </c>
      <c r="R592" s="43">
        <v>1705.9096280468978</v>
      </c>
      <c r="S592" s="47">
        <v>0</v>
      </c>
      <c r="T592" s="48">
        <v>1701.0955216497057</v>
      </c>
      <c r="U592" s="48">
        <v>1705.9096280468978</v>
      </c>
      <c r="V592" s="48">
        <v>1696.7946470972026</v>
      </c>
      <c r="W592" s="48">
        <v>1699.9953128259131</v>
      </c>
    </row>
    <row r="593" spans="1:23" ht="13.2" x14ac:dyDescent="0.25">
      <c r="A593" s="41">
        <v>591</v>
      </c>
      <c r="B593" s="42">
        <v>7.5668795069525382E-2</v>
      </c>
      <c r="C593" s="14" t="s">
        <v>5073</v>
      </c>
      <c r="D593" s="42">
        <v>7.3249047656193861E-2</v>
      </c>
      <c r="E593" s="43">
        <v>288.78988571874328</v>
      </c>
      <c r="F593" s="42">
        <v>0.3431858719993317</v>
      </c>
      <c r="G593" s="43">
        <v>9.4541717793579085</v>
      </c>
      <c r="H593" s="42">
        <v>0.93572563349070292</v>
      </c>
      <c r="I593" s="43">
        <v>3.7804418644596089</v>
      </c>
      <c r="J593" s="42">
        <v>0.18222205815008938</v>
      </c>
      <c r="K593" s="43">
        <v>4.9708882799893974</v>
      </c>
      <c r="L593" s="43">
        <v>1707.3872570016579</v>
      </c>
      <c r="M593" s="44">
        <v>2009.9776046024533</v>
      </c>
      <c r="N593" s="44">
        <v>3609.873571484291</v>
      </c>
      <c r="O593" s="45" t="s">
        <v>5074</v>
      </c>
      <c r="P593" s="46">
        <v>3</v>
      </c>
      <c r="Q593" s="43">
        <v>1707.3872570016579</v>
      </c>
      <c r="R593" s="43">
        <v>1716.8414287810158</v>
      </c>
      <c r="S593" s="47">
        <v>0</v>
      </c>
      <c r="T593" s="48">
        <v>1701.0955216497057</v>
      </c>
      <c r="U593" s="48">
        <v>1705.9096280468978</v>
      </c>
      <c r="V593" s="48">
        <v>1716.8414287810158</v>
      </c>
      <c r="W593" s="48">
        <v>1699.9953128259131</v>
      </c>
    </row>
    <row r="594" spans="1:23" ht="13.2" x14ac:dyDescent="0.25">
      <c r="A594" s="41">
        <v>592</v>
      </c>
      <c r="B594" s="42">
        <v>0.64347822342229921</v>
      </c>
      <c r="C594" s="14" t="s">
        <v>5079</v>
      </c>
      <c r="D594" s="42">
        <v>6.1977948556643889E-2</v>
      </c>
      <c r="E594" s="43">
        <v>7.1859338456699318</v>
      </c>
      <c r="F594" s="42">
        <v>0.31695719357438257</v>
      </c>
      <c r="G594" s="43">
        <v>1.4748652912931821</v>
      </c>
      <c r="H594" s="42">
        <v>0.64477034501953534</v>
      </c>
      <c r="I594" s="43">
        <v>0.46916575590465415</v>
      </c>
      <c r="J594" s="42">
        <v>0.83067958794100194</v>
      </c>
      <c r="K594" s="43">
        <v>0.54163834323417048</v>
      </c>
      <c r="L594" s="43">
        <v>1707.928895344892</v>
      </c>
      <c r="M594" s="44">
        <v>50.014099565862722</v>
      </c>
      <c r="N594" s="44">
        <v>89.824173070874153</v>
      </c>
      <c r="O594" s="45" t="s">
        <v>5074</v>
      </c>
      <c r="P594" s="46">
        <v>4</v>
      </c>
      <c r="Q594" s="43">
        <v>1707.928895344892</v>
      </c>
      <c r="R594" s="43">
        <v>1709.4037606361851</v>
      </c>
      <c r="S594" s="47">
        <v>0</v>
      </c>
      <c r="T594" s="48">
        <v>1701.0955216497057</v>
      </c>
      <c r="U594" s="48">
        <v>1705.9096280468978</v>
      </c>
      <c r="V594" s="48">
        <v>1716.8414287810158</v>
      </c>
      <c r="W594" s="48">
        <v>1709.4037606361851</v>
      </c>
    </row>
    <row r="595" spans="1:23" ht="13.2" x14ac:dyDescent="0.25">
      <c r="A595" s="41">
        <v>593</v>
      </c>
      <c r="B595" s="42">
        <v>0.41325344211107745</v>
      </c>
      <c r="C595" s="14" t="s">
        <v>5077</v>
      </c>
      <c r="D595" s="42">
        <v>0.15786588711564703</v>
      </c>
      <c r="E595" s="43">
        <v>41.420792984040823</v>
      </c>
      <c r="F595" s="42">
        <v>0.18788711828546931</v>
      </c>
      <c r="G595" s="43">
        <v>3.2101858167770252</v>
      </c>
      <c r="H595" s="42">
        <v>0.27770006669578146</v>
      </c>
      <c r="I595" s="43">
        <v>1.1161835289993476</v>
      </c>
      <c r="J595" s="42">
        <v>0.17565274153633637</v>
      </c>
      <c r="K595" s="43">
        <v>5.0780913647958128</v>
      </c>
      <c r="L595" s="43">
        <v>1713.0069867096879</v>
      </c>
      <c r="M595" s="44">
        <v>288.2887191689241</v>
      </c>
      <c r="N595" s="44">
        <v>517.75991230051034</v>
      </c>
      <c r="O595" s="45" t="s">
        <v>5074</v>
      </c>
      <c r="P595" s="46">
        <v>1</v>
      </c>
      <c r="Q595" s="43">
        <v>1713.0069867096879</v>
      </c>
      <c r="R595" s="43">
        <v>1716.217172526465</v>
      </c>
      <c r="S595" s="47">
        <v>0</v>
      </c>
      <c r="T595" s="48">
        <v>1716.217172526465</v>
      </c>
      <c r="U595" s="48">
        <v>1705.9096280468978</v>
      </c>
      <c r="V595" s="48">
        <v>1716.8414287810158</v>
      </c>
      <c r="W595" s="48">
        <v>1709.4037606361851</v>
      </c>
    </row>
    <row r="596" spans="1:23" ht="13.2" x14ac:dyDescent="0.25">
      <c r="A596" s="41">
        <v>594</v>
      </c>
      <c r="B596" s="42">
        <v>0.8517417161966403</v>
      </c>
      <c r="C596" s="14" t="s">
        <v>5081</v>
      </c>
      <c r="D596" s="42">
        <v>0.8522881585416795</v>
      </c>
      <c r="E596" s="43">
        <v>294.09152634166719</v>
      </c>
      <c r="F596" s="42">
        <v>0.41923253490553819</v>
      </c>
      <c r="G596" s="43">
        <v>8.6050402095564831</v>
      </c>
      <c r="H596" s="42">
        <v>0.5072995869011151</v>
      </c>
      <c r="I596" s="43">
        <v>4.0073264251538827</v>
      </c>
      <c r="J596" s="42">
        <v>0.3170225244560384</v>
      </c>
      <c r="K596" s="43">
        <v>3.3541093505482649</v>
      </c>
      <c r="L596" s="43">
        <v>1716.3610960602362</v>
      </c>
      <c r="M596" s="44">
        <v>2046.8770233380037</v>
      </c>
      <c r="N596" s="44">
        <v>3676.1440792708399</v>
      </c>
      <c r="O596" s="45" t="s">
        <v>5074</v>
      </c>
      <c r="P596" s="46">
        <v>2</v>
      </c>
      <c r="Q596" s="43">
        <v>1716.3610960602362</v>
      </c>
      <c r="R596" s="43">
        <v>1724.9661362697927</v>
      </c>
      <c r="S596" s="47">
        <v>0</v>
      </c>
      <c r="T596" s="48">
        <v>1716.217172526465</v>
      </c>
      <c r="U596" s="48">
        <v>1724.9661362697927</v>
      </c>
      <c r="V596" s="48">
        <v>1716.8414287810158</v>
      </c>
      <c r="W596" s="48">
        <v>1709.4037606361851</v>
      </c>
    </row>
    <row r="597" spans="1:23" ht="13.2" x14ac:dyDescent="0.25">
      <c r="A597" s="41">
        <v>595</v>
      </c>
      <c r="B597" s="42">
        <v>0.38965613319988185</v>
      </c>
      <c r="C597" s="14" t="s">
        <v>5077</v>
      </c>
      <c r="D597" s="42">
        <v>0.84725047920236851</v>
      </c>
      <c r="E597" s="43">
        <v>47.625254312821319</v>
      </c>
      <c r="F597" s="42">
        <v>7.6030268369256637E-2</v>
      </c>
      <c r="G597" s="43">
        <v>3.1564945288172432</v>
      </c>
      <c r="H597" s="42">
        <v>0.75459328282372717</v>
      </c>
      <c r="I597" s="43">
        <v>1.3676853558307687</v>
      </c>
      <c r="J597" s="42">
        <v>0.85622811031352175</v>
      </c>
      <c r="K597" s="43">
        <v>0.45319256738636132</v>
      </c>
      <c r="L597" s="43">
        <v>1716.8142886276225</v>
      </c>
      <c r="M597" s="44">
        <v>331.47177001723639</v>
      </c>
      <c r="N597" s="44">
        <v>595.31567891026646</v>
      </c>
      <c r="O597" s="45" t="s">
        <v>5074</v>
      </c>
      <c r="P597" s="46">
        <v>4</v>
      </c>
      <c r="Q597" s="43">
        <v>1716.8142886276225</v>
      </c>
      <c r="R597" s="43">
        <v>1719.9707831564399</v>
      </c>
      <c r="S597" s="47">
        <v>0</v>
      </c>
      <c r="T597" s="48">
        <v>1716.217172526465</v>
      </c>
      <c r="U597" s="48">
        <v>1724.9661362697927</v>
      </c>
      <c r="V597" s="48">
        <v>1716.8414287810158</v>
      </c>
      <c r="W597" s="48">
        <v>1719.9707831564399</v>
      </c>
    </row>
    <row r="598" spans="1:23" ht="13.2" x14ac:dyDescent="0.25">
      <c r="A598" s="41">
        <v>596</v>
      </c>
      <c r="B598" s="42">
        <v>0.56745556069885172</v>
      </c>
      <c r="C598" s="14" t="s">
        <v>5076</v>
      </c>
      <c r="D598" s="42">
        <v>0.43930820209873289</v>
      </c>
      <c r="E598" s="43">
        <v>39.393082020987329</v>
      </c>
      <c r="F598" s="42">
        <v>0.95723433930298052</v>
      </c>
      <c r="G598" s="43">
        <v>3.4803277960793713</v>
      </c>
      <c r="H598" s="42">
        <v>0.96076423952391565</v>
      </c>
      <c r="I598" s="43">
        <v>1.0951858171176074</v>
      </c>
      <c r="J598" s="42">
        <v>0.56792949166518147</v>
      </c>
      <c r="K598" s="43">
        <v>1.651848182068856</v>
      </c>
      <c r="L598" s="43">
        <v>1718.4661368096913</v>
      </c>
      <c r="M598" s="44">
        <v>274.17585086607181</v>
      </c>
      <c r="N598" s="44">
        <v>492.41352526234164</v>
      </c>
      <c r="O598" s="45" t="s">
        <v>5074</v>
      </c>
      <c r="P598" s="46">
        <v>1</v>
      </c>
      <c r="Q598" s="43">
        <v>1718.4661368096913</v>
      </c>
      <c r="R598" s="43">
        <v>1721.9464646057706</v>
      </c>
      <c r="S598" s="47">
        <v>0</v>
      </c>
      <c r="T598" s="48">
        <v>1721.9464646057706</v>
      </c>
      <c r="U598" s="48">
        <v>1724.9661362697927</v>
      </c>
      <c r="V598" s="48">
        <v>1716.8414287810158</v>
      </c>
      <c r="W598" s="48">
        <v>1719.9707831564399</v>
      </c>
    </row>
    <row r="599" spans="1:23" ht="13.2" x14ac:dyDescent="0.25">
      <c r="A599" s="41">
        <v>597</v>
      </c>
      <c r="B599" s="42">
        <v>0.30924993209040252</v>
      </c>
      <c r="C599" s="14" t="s">
        <v>5077</v>
      </c>
      <c r="D599" s="42">
        <v>0.71534872321195375</v>
      </c>
      <c r="E599" s="43">
        <v>46.438138508907585</v>
      </c>
      <c r="F599" s="42">
        <v>0.30564032322989793</v>
      </c>
      <c r="G599" s="43">
        <v>3.2667073551503512</v>
      </c>
      <c r="H599" s="42">
        <v>0.43116019174044962</v>
      </c>
      <c r="I599" s="43">
        <v>1.1939767366565719</v>
      </c>
      <c r="J599" s="42">
        <v>0.39029271779129876</v>
      </c>
      <c r="K599" s="43">
        <v>2.7470314246637741</v>
      </c>
      <c r="L599" s="43">
        <v>1721.2131682343552</v>
      </c>
      <c r="M599" s="44">
        <v>323.20944402199677</v>
      </c>
      <c r="N599" s="44">
        <v>580.47673136134483</v>
      </c>
      <c r="O599" s="45" t="s">
        <v>5074</v>
      </c>
      <c r="P599" s="46">
        <v>3</v>
      </c>
      <c r="Q599" s="43">
        <v>1721.2131682343552</v>
      </c>
      <c r="R599" s="43">
        <v>1724.4798755895056</v>
      </c>
      <c r="S599" s="47">
        <v>0</v>
      </c>
      <c r="T599" s="48">
        <v>1721.9464646057706</v>
      </c>
      <c r="U599" s="48">
        <v>1724.9661362697927</v>
      </c>
      <c r="V599" s="48">
        <v>1724.4798755895056</v>
      </c>
      <c r="W599" s="48">
        <v>1719.9707831564399</v>
      </c>
    </row>
    <row r="600" spans="1:23" ht="13.2" x14ac:dyDescent="0.25">
      <c r="A600" s="41">
        <v>598</v>
      </c>
      <c r="B600" s="42">
        <v>0.45821750744162942</v>
      </c>
      <c r="C600" s="14" t="s">
        <v>5077</v>
      </c>
      <c r="D600" s="42">
        <v>0.96871022412959029</v>
      </c>
      <c r="E600" s="43">
        <v>48.718392017166309</v>
      </c>
      <c r="F600" s="42">
        <v>0.85795525221990199</v>
      </c>
      <c r="G600" s="43">
        <v>3.5318185210655528</v>
      </c>
      <c r="H600" s="42">
        <v>0.43833727829080882</v>
      </c>
      <c r="I600" s="43">
        <v>1.1972422688796991</v>
      </c>
      <c r="J600" s="42">
        <v>0.83028295442009481</v>
      </c>
      <c r="K600" s="43">
        <v>0.5430327805777212</v>
      </c>
      <c r="L600" s="43">
        <v>1721.7562010149329</v>
      </c>
      <c r="M600" s="44">
        <v>339.08000843947752</v>
      </c>
      <c r="N600" s="44">
        <v>608.97990021457883</v>
      </c>
      <c r="O600" s="45" t="s">
        <v>5074</v>
      </c>
      <c r="P600" s="46">
        <v>4</v>
      </c>
      <c r="Q600" s="43">
        <v>1721.7562010149329</v>
      </c>
      <c r="R600" s="43">
        <v>1725.2880195359985</v>
      </c>
      <c r="S600" s="47">
        <v>0</v>
      </c>
      <c r="T600" s="48">
        <v>1721.9464646057706</v>
      </c>
      <c r="U600" s="48">
        <v>1724.9661362697927</v>
      </c>
      <c r="V600" s="48">
        <v>1724.4798755895056</v>
      </c>
      <c r="W600" s="48">
        <v>1725.2880195359985</v>
      </c>
    </row>
    <row r="601" spans="1:23" ht="13.2" x14ac:dyDescent="0.25">
      <c r="A601" s="41">
        <v>599</v>
      </c>
      <c r="B601" s="42">
        <v>0.20684205424359164</v>
      </c>
      <c r="C601" s="14" t="s">
        <v>5073</v>
      </c>
      <c r="D601" s="42">
        <v>0.24247576028223883</v>
      </c>
      <c r="E601" s="43">
        <v>309.09709123386864</v>
      </c>
      <c r="F601" s="42">
        <v>0.43701973950351575</v>
      </c>
      <c r="G601" s="43">
        <v>9.747871784646005</v>
      </c>
      <c r="H601" s="42">
        <v>0.75403303548415801</v>
      </c>
      <c r="I601" s="43">
        <v>3.5704942102987651</v>
      </c>
      <c r="J601" s="42">
        <v>0.31052521397849786</v>
      </c>
      <c r="K601" s="43">
        <v>3.4145698582945956</v>
      </c>
      <c r="L601" s="43">
        <v>1725.1707708732274</v>
      </c>
      <c r="M601" s="44">
        <v>2151.3157549877255</v>
      </c>
      <c r="N601" s="44">
        <v>3863.7136404233579</v>
      </c>
      <c r="O601" s="45" t="s">
        <v>5074</v>
      </c>
      <c r="P601" s="46">
        <v>1</v>
      </c>
      <c r="Q601" s="43">
        <v>1725.1707708732274</v>
      </c>
      <c r="R601" s="43">
        <v>1734.9186426578733</v>
      </c>
      <c r="S601" s="47">
        <v>0</v>
      </c>
      <c r="T601" s="48">
        <v>1734.9186426578733</v>
      </c>
      <c r="U601" s="48">
        <v>1724.9661362697927</v>
      </c>
      <c r="V601" s="48">
        <v>1724.4798755895056</v>
      </c>
      <c r="W601" s="48">
        <v>1725.2880195359985</v>
      </c>
    </row>
    <row r="602" spans="1:23" ht="13.2" x14ac:dyDescent="0.25">
      <c r="A602" s="41">
        <v>600</v>
      </c>
      <c r="B602" s="42">
        <v>0.4539335050871286</v>
      </c>
      <c r="C602" s="14" t="s">
        <v>5077</v>
      </c>
      <c r="D602" s="42">
        <v>0.13969109865822416</v>
      </c>
      <c r="E602" s="43">
        <v>41.257219887924016</v>
      </c>
      <c r="F602" s="42">
        <v>0.79813002645882314</v>
      </c>
      <c r="G602" s="43">
        <v>3.503102412700235</v>
      </c>
      <c r="H602" s="42">
        <v>0.85442731848658404</v>
      </c>
      <c r="I602" s="43">
        <v>1.4440552663541655</v>
      </c>
      <c r="J602" s="42">
        <v>0.10443982719650484</v>
      </c>
      <c r="K602" s="43">
        <v>6.5960414298526553</v>
      </c>
      <c r="L602" s="43">
        <v>1731.7668123030801</v>
      </c>
      <c r="M602" s="44">
        <v>287.15025041995113</v>
      </c>
      <c r="N602" s="44">
        <v>515.71524859905026</v>
      </c>
      <c r="O602" s="45" t="s">
        <v>5074</v>
      </c>
      <c r="P602" s="46">
        <v>3</v>
      </c>
      <c r="Q602" s="43">
        <v>1731.7668123030801</v>
      </c>
      <c r="R602" s="43">
        <v>1735.2699147157803</v>
      </c>
      <c r="S602" s="47">
        <v>0</v>
      </c>
      <c r="T602" s="48">
        <v>1734.9186426578733</v>
      </c>
      <c r="U602" s="48">
        <v>1724.9661362697927</v>
      </c>
      <c r="V602" s="48">
        <v>1735.2699147157803</v>
      </c>
      <c r="W602" s="48">
        <v>1725.2880195359985</v>
      </c>
    </row>
    <row r="603" spans="1:23" ht="13.2" x14ac:dyDescent="0.25">
      <c r="A603" s="41">
        <v>601</v>
      </c>
      <c r="B603" s="42">
        <v>0.17550020812801095</v>
      </c>
      <c r="C603" s="14" t="s">
        <v>5073</v>
      </c>
      <c r="D603" s="42">
        <v>0.95607022333707203</v>
      </c>
      <c r="E603" s="43">
        <v>394.72842680044863</v>
      </c>
      <c r="F603" s="42">
        <v>0.26063608576573249</v>
      </c>
      <c r="G603" s="43">
        <v>9.1957909484467439</v>
      </c>
      <c r="H603" s="42">
        <v>0.75279515178538636</v>
      </c>
      <c r="I603" s="43">
        <v>3.569414774799506</v>
      </c>
      <c r="J603" s="42">
        <v>0.8221615160918615</v>
      </c>
      <c r="K603" s="43">
        <v>0.57173258870646371</v>
      </c>
      <c r="L603" s="43">
        <v>1732.3385448917866</v>
      </c>
      <c r="M603" s="44">
        <v>2747.3098505311223</v>
      </c>
      <c r="N603" s="44">
        <v>4934.1053350056081</v>
      </c>
      <c r="O603" s="45" t="s">
        <v>5074</v>
      </c>
      <c r="P603" s="46">
        <v>2</v>
      </c>
      <c r="Q603" s="43">
        <v>1732.3385448917866</v>
      </c>
      <c r="R603" s="43">
        <v>1741.5343358402333</v>
      </c>
      <c r="S603" s="47">
        <v>0</v>
      </c>
      <c r="T603" s="48">
        <v>1734.9186426578733</v>
      </c>
      <c r="U603" s="48">
        <v>1741.5343358402333</v>
      </c>
      <c r="V603" s="48">
        <v>1735.2699147157803</v>
      </c>
      <c r="W603" s="48">
        <v>1725.2880195359985</v>
      </c>
    </row>
    <row r="604" spans="1:23" ht="13.2" x14ac:dyDescent="0.25">
      <c r="A604" s="41">
        <v>602</v>
      </c>
      <c r="B604" s="42">
        <v>0.86970875173327922</v>
      </c>
      <c r="C604" s="14" t="s">
        <v>5081</v>
      </c>
      <c r="D604" s="42">
        <v>0.43211478247871382</v>
      </c>
      <c r="E604" s="43">
        <v>277.28459129914853</v>
      </c>
      <c r="F604" s="42">
        <v>0.33044132698813516</v>
      </c>
      <c r="G604" s="43">
        <v>8.5171369137182538</v>
      </c>
      <c r="H604" s="42">
        <v>0.32194087157116313</v>
      </c>
      <c r="I604" s="43">
        <v>3.8024224218840885</v>
      </c>
      <c r="J604" s="42">
        <v>0.10138793620345553</v>
      </c>
      <c r="K604" s="43">
        <v>6.6826311452710527</v>
      </c>
      <c r="L604" s="43">
        <v>1739.0211760370576</v>
      </c>
      <c r="M604" s="44">
        <v>1929.9007554420737</v>
      </c>
      <c r="N604" s="44">
        <v>3466.0573912393565</v>
      </c>
      <c r="O604" s="45" t="s">
        <v>5074</v>
      </c>
      <c r="P604" s="46">
        <v>4</v>
      </c>
      <c r="Q604" s="43">
        <v>1739.0211760370576</v>
      </c>
      <c r="R604" s="43">
        <v>1747.5383129507759</v>
      </c>
      <c r="S604" s="47">
        <v>0</v>
      </c>
      <c r="T604" s="48">
        <v>1734.9186426578733</v>
      </c>
      <c r="U604" s="48">
        <v>1741.5343358402333</v>
      </c>
      <c r="V604" s="48">
        <v>1735.2699147157803</v>
      </c>
      <c r="W604" s="48">
        <v>1747.5383129507759</v>
      </c>
    </row>
    <row r="605" spans="1:23" ht="13.2" x14ac:dyDescent="0.25">
      <c r="A605" s="41">
        <v>603</v>
      </c>
      <c r="B605" s="42">
        <v>0.22664500271279597</v>
      </c>
      <c r="C605" s="14" t="s">
        <v>5073</v>
      </c>
      <c r="D605" s="42">
        <v>0.74527646263375713</v>
      </c>
      <c r="E605" s="43">
        <v>369.43317551605082</v>
      </c>
      <c r="F605" s="42">
        <v>0.77610140050579857</v>
      </c>
      <c r="G605" s="43">
        <v>10.80919738358315</v>
      </c>
      <c r="H605" s="42">
        <v>0.65581286030626529</v>
      </c>
      <c r="I605" s="43">
        <v>3.4918262400538707</v>
      </c>
      <c r="J605" s="42">
        <v>0.37343723204612606</v>
      </c>
      <c r="K605" s="43">
        <v>2.875928005710513</v>
      </c>
      <c r="L605" s="43">
        <v>1741.897104042768</v>
      </c>
      <c r="M605" s="44">
        <v>2571.2549015917139</v>
      </c>
      <c r="N605" s="44">
        <v>4617.9146939506354</v>
      </c>
      <c r="O605" s="45" t="s">
        <v>5074</v>
      </c>
      <c r="P605" s="46">
        <v>1</v>
      </c>
      <c r="Q605" s="43">
        <v>1741.897104042768</v>
      </c>
      <c r="R605" s="43">
        <v>1752.706301426351</v>
      </c>
      <c r="S605" s="47">
        <v>0</v>
      </c>
      <c r="T605" s="48">
        <v>1752.706301426351</v>
      </c>
      <c r="U605" s="48">
        <v>1741.5343358402333</v>
      </c>
      <c r="V605" s="48">
        <v>1735.2699147157803</v>
      </c>
      <c r="W605" s="48">
        <v>1747.5383129507759</v>
      </c>
    </row>
    <row r="606" spans="1:23" ht="13.2" x14ac:dyDescent="0.25">
      <c r="A606" s="41">
        <v>604</v>
      </c>
      <c r="B606" s="42">
        <v>8.080752383955174E-2</v>
      </c>
      <c r="C606" s="14" t="s">
        <v>5073</v>
      </c>
      <c r="D606" s="42">
        <v>0.6157549757583789</v>
      </c>
      <c r="E606" s="43">
        <v>353.89059709100547</v>
      </c>
      <c r="F606" s="42">
        <v>2.3160161461290046E-2</v>
      </c>
      <c r="G606" s="43">
        <v>8.4524913053738384</v>
      </c>
      <c r="H606" s="42">
        <v>0.13989229972469261</v>
      </c>
      <c r="I606" s="43">
        <v>2.9580812696313163</v>
      </c>
      <c r="J606" s="42">
        <v>0.70233518988934118</v>
      </c>
      <c r="K606" s="43">
        <v>1.0316628041987002</v>
      </c>
      <c r="L606" s="43">
        <v>1742.9287668469667</v>
      </c>
      <c r="M606" s="44">
        <v>2463.0785557533982</v>
      </c>
      <c r="N606" s="44">
        <v>4423.6324636375684</v>
      </c>
      <c r="O606" s="45" t="s">
        <v>5074</v>
      </c>
      <c r="P606" s="46">
        <v>3</v>
      </c>
      <c r="Q606" s="43">
        <v>1742.9287668469667</v>
      </c>
      <c r="R606" s="43">
        <v>1751.3812581523405</v>
      </c>
      <c r="S606" s="47">
        <v>0</v>
      </c>
      <c r="T606" s="48">
        <v>1752.706301426351</v>
      </c>
      <c r="U606" s="48">
        <v>1741.5343358402333</v>
      </c>
      <c r="V606" s="48">
        <v>1751.3812581523405</v>
      </c>
      <c r="W606" s="48">
        <v>1747.5383129507759</v>
      </c>
    </row>
    <row r="607" spans="1:23" ht="13.2" x14ac:dyDescent="0.25">
      <c r="A607" s="41">
        <v>605</v>
      </c>
      <c r="B607" s="42">
        <v>0.95408650159560449</v>
      </c>
      <c r="C607" s="14" t="s">
        <v>5080</v>
      </c>
      <c r="D607" s="42">
        <v>0.30620436943425067</v>
      </c>
      <c r="E607" s="43">
        <v>92.655109235856273</v>
      </c>
      <c r="F607" s="42">
        <v>0.30016849203974405</v>
      </c>
      <c r="G607" s="43">
        <v>4.3720909857014618</v>
      </c>
      <c r="H607" s="42">
        <v>0.43134840085699616</v>
      </c>
      <c r="I607" s="43">
        <v>1.9881254324243538</v>
      </c>
      <c r="J607" s="42">
        <v>0.66907243741167355</v>
      </c>
      <c r="K607" s="43">
        <v>1.1733224746509832</v>
      </c>
      <c r="L607" s="43">
        <v>1744.1020893216178</v>
      </c>
      <c r="M607" s="44">
        <v>644.87956028155963</v>
      </c>
      <c r="N607" s="44">
        <v>1158.1888654482034</v>
      </c>
      <c r="O607" s="45" t="s">
        <v>5074</v>
      </c>
      <c r="P607" s="46">
        <v>2</v>
      </c>
      <c r="Q607" s="43">
        <v>1744.1020893216178</v>
      </c>
      <c r="R607" s="43">
        <v>1748.4741803073193</v>
      </c>
      <c r="S607" s="47">
        <v>0</v>
      </c>
      <c r="T607" s="48">
        <v>1752.706301426351</v>
      </c>
      <c r="U607" s="48">
        <v>1748.4741803073193</v>
      </c>
      <c r="V607" s="48">
        <v>1751.3812581523405</v>
      </c>
      <c r="W607" s="48">
        <v>1747.5383129507759</v>
      </c>
    </row>
    <row r="608" spans="1:23" ht="13.2" x14ac:dyDescent="0.25">
      <c r="A608" s="41">
        <v>606</v>
      </c>
      <c r="B608" s="42">
        <v>0.27101861185907322</v>
      </c>
      <c r="C608" s="14" t="s">
        <v>5077</v>
      </c>
      <c r="D608" s="42">
        <v>0.72704066975370085</v>
      </c>
      <c r="E608" s="43">
        <v>46.543366027783307</v>
      </c>
      <c r="F608" s="42">
        <v>0.84295772474396868</v>
      </c>
      <c r="G608" s="43">
        <v>3.5246197078771049</v>
      </c>
      <c r="H608" s="42">
        <v>0.67891540037417575</v>
      </c>
      <c r="I608" s="43">
        <v>1.3198841363062823</v>
      </c>
      <c r="J608" s="42">
        <v>0.12894377071826893</v>
      </c>
      <c r="K608" s="43">
        <v>5.9806681913904596</v>
      </c>
      <c r="L608" s="43">
        <v>1750.0827575130081</v>
      </c>
      <c r="M608" s="44">
        <v>323.94182755337181</v>
      </c>
      <c r="N608" s="44">
        <v>581.7920753472913</v>
      </c>
      <c r="O608" s="45" t="s">
        <v>5074</v>
      </c>
      <c r="P608" s="46">
        <v>4</v>
      </c>
      <c r="Q608" s="43">
        <v>1750.0827575130081</v>
      </c>
      <c r="R608" s="43">
        <v>1753.6073772208852</v>
      </c>
      <c r="S608" s="47">
        <v>0</v>
      </c>
      <c r="T608" s="48">
        <v>1752.706301426351</v>
      </c>
      <c r="U608" s="48">
        <v>1748.4741803073193</v>
      </c>
      <c r="V608" s="48">
        <v>1751.3812581523405</v>
      </c>
      <c r="W608" s="48">
        <v>1753.6073772208852</v>
      </c>
    </row>
    <row r="609" spans="1:23" ht="13.2" x14ac:dyDescent="0.25">
      <c r="A609" s="41">
        <v>607</v>
      </c>
      <c r="B609" s="42">
        <v>0.60209077252172438</v>
      </c>
      <c r="C609" s="14" t="s">
        <v>5076</v>
      </c>
      <c r="D609" s="42">
        <v>0.6152676691372263</v>
      </c>
      <c r="E609" s="43">
        <v>41.152676691372264</v>
      </c>
      <c r="F609" s="42">
        <v>0.88910658745519189</v>
      </c>
      <c r="G609" s="43">
        <v>3.4489890302293884</v>
      </c>
      <c r="H609" s="42">
        <v>0.61461979924450616</v>
      </c>
      <c r="I609" s="43">
        <v>0.87150881867006191</v>
      </c>
      <c r="J609" s="42">
        <v>0.49347340757654673</v>
      </c>
      <c r="K609" s="43">
        <v>2.0621498012175485</v>
      </c>
      <c r="L609" s="43">
        <v>1752.1449073142257</v>
      </c>
      <c r="M609" s="44">
        <v>286.42262977195094</v>
      </c>
      <c r="N609" s="44">
        <v>514.40845864215328</v>
      </c>
      <c r="O609" s="45" t="s">
        <v>5074</v>
      </c>
      <c r="P609" s="46">
        <v>2</v>
      </c>
      <c r="Q609" s="43">
        <v>1752.1449073142257</v>
      </c>
      <c r="R609" s="43">
        <v>1755.5938963444551</v>
      </c>
      <c r="S609" s="47">
        <v>0</v>
      </c>
      <c r="T609" s="48">
        <v>1752.706301426351</v>
      </c>
      <c r="U609" s="48">
        <v>1755.5938963444551</v>
      </c>
      <c r="V609" s="48">
        <v>1751.3812581523405</v>
      </c>
      <c r="W609" s="48">
        <v>1753.6073772208852</v>
      </c>
    </row>
    <row r="610" spans="1:23" ht="13.2" x14ac:dyDescent="0.25">
      <c r="A610" s="41">
        <v>608</v>
      </c>
      <c r="B610" s="42">
        <v>0.29588229735190158</v>
      </c>
      <c r="C610" s="14" t="s">
        <v>5077</v>
      </c>
      <c r="D610" s="42">
        <v>0.95313561984949546</v>
      </c>
      <c r="E610" s="43">
        <v>48.578220578645457</v>
      </c>
      <c r="F610" s="42">
        <v>0.53976592726063255</v>
      </c>
      <c r="G610" s="43">
        <v>3.3790876450851037</v>
      </c>
      <c r="H610" s="42">
        <v>0.35220945037538626</v>
      </c>
      <c r="I610" s="43">
        <v>1.1560834201913073</v>
      </c>
      <c r="J610" s="42">
        <v>0.90752203571960421</v>
      </c>
      <c r="K610" s="43">
        <v>0.28332096745471863</v>
      </c>
      <c r="L610" s="43">
        <v>1752.4282282816805</v>
      </c>
      <c r="M610" s="44">
        <v>338.10441522737239</v>
      </c>
      <c r="N610" s="44">
        <v>607.22775723306825</v>
      </c>
      <c r="O610" s="45" t="s">
        <v>5074</v>
      </c>
      <c r="P610" s="46">
        <v>3</v>
      </c>
      <c r="Q610" s="43">
        <v>1752.4282282816805</v>
      </c>
      <c r="R610" s="43">
        <v>1755.8073159267656</v>
      </c>
      <c r="S610" s="47">
        <v>0</v>
      </c>
      <c r="T610" s="48">
        <v>1752.706301426351</v>
      </c>
      <c r="U610" s="48">
        <v>1755.5938963444551</v>
      </c>
      <c r="V610" s="48">
        <v>1755.8073159267656</v>
      </c>
      <c r="W610" s="48">
        <v>1753.6073772208852</v>
      </c>
    </row>
    <row r="611" spans="1:23" ht="13.2" x14ac:dyDescent="0.25">
      <c r="A611" s="41">
        <v>609</v>
      </c>
      <c r="B611" s="42">
        <v>0.58864212016977469</v>
      </c>
      <c r="C611" s="14" t="s">
        <v>5076</v>
      </c>
      <c r="D611" s="42">
        <v>0.99721154011656132</v>
      </c>
      <c r="E611" s="43">
        <v>44.97211540116561</v>
      </c>
      <c r="F611" s="42">
        <v>1.0948465210827284E-2</v>
      </c>
      <c r="G611" s="43">
        <v>3.0450362939969806</v>
      </c>
      <c r="H611" s="42">
        <v>0.46619099819389687</v>
      </c>
      <c r="I611" s="43">
        <v>0.81339099789877001</v>
      </c>
      <c r="J611" s="42">
        <v>4.3404642047083303E-2</v>
      </c>
      <c r="K611" s="43">
        <v>9.1596755736798094</v>
      </c>
      <c r="L611" s="43">
        <v>1761.5879038553603</v>
      </c>
      <c r="M611" s="44">
        <v>313.00592319211262</v>
      </c>
      <c r="N611" s="44">
        <v>562.15144251457014</v>
      </c>
      <c r="O611" s="45" t="s">
        <v>5074</v>
      </c>
      <c r="P611" s="46">
        <v>1</v>
      </c>
      <c r="Q611" s="43">
        <v>1761.5879038553603</v>
      </c>
      <c r="R611" s="43">
        <v>1764.6329401493572</v>
      </c>
      <c r="S611" s="47">
        <v>0</v>
      </c>
      <c r="T611" s="48">
        <v>1764.6329401493572</v>
      </c>
      <c r="U611" s="48">
        <v>1755.5938963444551</v>
      </c>
      <c r="V611" s="48">
        <v>1755.8073159267656</v>
      </c>
      <c r="W611" s="48">
        <v>1753.6073772208852</v>
      </c>
    </row>
    <row r="612" spans="1:23" ht="13.2" x14ac:dyDescent="0.25">
      <c r="A612" s="41">
        <v>610</v>
      </c>
      <c r="B612" s="42">
        <v>0.58393936724585449</v>
      </c>
      <c r="C612" s="14" t="s">
        <v>5076</v>
      </c>
      <c r="D612" s="42">
        <v>0.14740085189575369</v>
      </c>
      <c r="E612" s="43">
        <v>36.47400851895754</v>
      </c>
      <c r="F612" s="42">
        <v>0.87513772532117451</v>
      </c>
      <c r="G612" s="43">
        <v>3.4425633536477402</v>
      </c>
      <c r="H612" s="42">
        <v>9.4376173845667474E-2</v>
      </c>
      <c r="I612" s="43">
        <v>0.64077995776242502</v>
      </c>
      <c r="J612" s="42">
        <v>0.97290640555923169</v>
      </c>
      <c r="K612" s="43">
        <v>8.0196767991818824E-2</v>
      </c>
      <c r="L612" s="43">
        <v>1761.6681006233521</v>
      </c>
      <c r="M612" s="44">
        <v>253.85909929194446</v>
      </c>
      <c r="N612" s="44">
        <v>455.92510648696924</v>
      </c>
      <c r="O612" s="45" t="s">
        <v>5074</v>
      </c>
      <c r="P612" s="46">
        <v>4</v>
      </c>
      <c r="Q612" s="43">
        <v>1761.6681006233521</v>
      </c>
      <c r="R612" s="43">
        <v>1765.1106639769998</v>
      </c>
      <c r="S612" s="47">
        <v>0</v>
      </c>
      <c r="T612" s="48">
        <v>1764.6329401493572</v>
      </c>
      <c r="U612" s="48">
        <v>1755.5938963444551</v>
      </c>
      <c r="V612" s="48">
        <v>1755.8073159267656</v>
      </c>
      <c r="W612" s="48">
        <v>1765.1106639769998</v>
      </c>
    </row>
    <row r="613" spans="1:23" ht="13.2" x14ac:dyDescent="0.25">
      <c r="A613" s="41">
        <v>611</v>
      </c>
      <c r="B613" s="42">
        <v>0.50684942608086836</v>
      </c>
      <c r="C613" s="14" t="s">
        <v>5076</v>
      </c>
      <c r="D613" s="42">
        <v>1.3083203236145528E-2</v>
      </c>
      <c r="E613" s="43">
        <v>35.130832032361454</v>
      </c>
      <c r="F613" s="42">
        <v>0.79100259104324622</v>
      </c>
      <c r="G613" s="43">
        <v>3.4038611918798933</v>
      </c>
      <c r="H613" s="42">
        <v>5.999220537952716E-2</v>
      </c>
      <c r="I613" s="43">
        <v>0.61224243016658497</v>
      </c>
      <c r="J613" s="42">
        <v>0.99779530335115052</v>
      </c>
      <c r="K613" s="43">
        <v>6.444176848282886E-3</v>
      </c>
      <c r="L613" s="43">
        <v>1761.6745448002005</v>
      </c>
      <c r="M613" s="44">
        <v>244.51059094523572</v>
      </c>
      <c r="N613" s="44">
        <v>439.13540040451818</v>
      </c>
      <c r="O613" s="45" t="s">
        <v>5074</v>
      </c>
      <c r="P613" s="46">
        <v>2</v>
      </c>
      <c r="Q613" s="43">
        <v>1761.6745448002005</v>
      </c>
      <c r="R613" s="43">
        <v>1765.0784059920804</v>
      </c>
      <c r="S613" s="47">
        <v>0</v>
      </c>
      <c r="T613" s="48">
        <v>1764.6329401493572</v>
      </c>
      <c r="U613" s="48">
        <v>1765.0784059920804</v>
      </c>
      <c r="V613" s="48">
        <v>1755.8073159267656</v>
      </c>
      <c r="W613" s="48">
        <v>1765.1106639769998</v>
      </c>
    </row>
    <row r="614" spans="1:23" ht="13.2" x14ac:dyDescent="0.25">
      <c r="A614" s="41">
        <v>612</v>
      </c>
      <c r="B614" s="42">
        <v>0.69944651969682725</v>
      </c>
      <c r="C614" s="14" t="s">
        <v>5079</v>
      </c>
      <c r="D614" s="42">
        <v>0.6903343073513053</v>
      </c>
      <c r="E614" s="43">
        <v>9.0710029220539159</v>
      </c>
      <c r="F614" s="42">
        <v>0.18507987735098222</v>
      </c>
      <c r="G614" s="43">
        <v>1.4603587865086081</v>
      </c>
      <c r="H614" s="42">
        <v>0.55498358959098515</v>
      </c>
      <c r="I614" s="43">
        <v>0.44163502257203624</v>
      </c>
      <c r="J614" s="42">
        <v>0.53159988044369966</v>
      </c>
      <c r="K614" s="43">
        <v>1.8448589110716989</v>
      </c>
      <c r="L614" s="43">
        <v>1763.5194037112722</v>
      </c>
      <c r="M614" s="44">
        <v>63.134180337495252</v>
      </c>
      <c r="N614" s="44">
        <v>113.38753652567395</v>
      </c>
      <c r="O614" s="45" t="s">
        <v>5074</v>
      </c>
      <c r="P614" s="46">
        <v>3</v>
      </c>
      <c r="Q614" s="43">
        <v>1763.5194037112722</v>
      </c>
      <c r="R614" s="43">
        <v>1764.9797624977807</v>
      </c>
      <c r="S614" s="47">
        <v>0</v>
      </c>
      <c r="T614" s="48">
        <v>1764.6329401493572</v>
      </c>
      <c r="U614" s="48">
        <v>1765.0784059920804</v>
      </c>
      <c r="V614" s="48">
        <v>1764.9797624977807</v>
      </c>
      <c r="W614" s="48">
        <v>1765.1106639769998</v>
      </c>
    </row>
    <row r="615" spans="1:23" ht="13.2" x14ac:dyDescent="0.25">
      <c r="A615" s="41">
        <v>613</v>
      </c>
      <c r="B615" s="42">
        <v>0.76313149498921418</v>
      </c>
      <c r="C615" s="14" t="s">
        <v>5078</v>
      </c>
      <c r="D615" s="42">
        <v>0.92383286772474316</v>
      </c>
      <c r="E615" s="43">
        <v>206.95331470898972</v>
      </c>
      <c r="F615" s="42">
        <v>0.37628547399131834</v>
      </c>
      <c r="G615" s="43">
        <v>5.7624197813320999</v>
      </c>
      <c r="H615" s="42">
        <v>5.0731345103462853E-2</v>
      </c>
      <c r="I615" s="43">
        <v>2.3561296993493483</v>
      </c>
      <c r="J615" s="42">
        <v>6.4344287414264068E-2</v>
      </c>
      <c r="K615" s="43">
        <v>8.0102397738736553</v>
      </c>
      <c r="L615" s="43">
        <v>1771.5296434851459</v>
      </c>
      <c r="M615" s="44">
        <v>1440.3950703745684</v>
      </c>
      <c r="N615" s="44">
        <v>2586.9164338623714</v>
      </c>
      <c r="O615" s="45" t="s">
        <v>5074</v>
      </c>
      <c r="P615" s="46">
        <v>1</v>
      </c>
      <c r="Q615" s="43">
        <v>1771.5296434851459</v>
      </c>
      <c r="R615" s="43">
        <v>1777.292063266478</v>
      </c>
      <c r="S615" s="47">
        <v>0</v>
      </c>
      <c r="T615" s="48">
        <v>1777.292063266478</v>
      </c>
      <c r="U615" s="48">
        <v>1765.0784059920804</v>
      </c>
      <c r="V615" s="48">
        <v>1764.9797624977807</v>
      </c>
      <c r="W615" s="48">
        <v>1765.1106639769998</v>
      </c>
    </row>
    <row r="616" spans="1:23" ht="13.2" x14ac:dyDescent="0.25">
      <c r="A616" s="41">
        <v>614</v>
      </c>
      <c r="B616" s="42">
        <v>0.1471441738061347</v>
      </c>
      <c r="C616" s="14" t="s">
        <v>5073</v>
      </c>
      <c r="D616" s="42">
        <v>0.62804060225749414</v>
      </c>
      <c r="E616" s="43">
        <v>355.3648722708993</v>
      </c>
      <c r="F616" s="42">
        <v>0.75560860138181996</v>
      </c>
      <c r="G616" s="43">
        <v>10.745054922325096</v>
      </c>
      <c r="H616" s="42">
        <v>0.87935101980313235</v>
      </c>
      <c r="I616" s="43">
        <v>3.6991898686087006</v>
      </c>
      <c r="J616" s="42">
        <v>0.2283737548759085</v>
      </c>
      <c r="K616" s="43">
        <v>4.3117422376704546</v>
      </c>
      <c r="L616" s="43">
        <v>1775.8413857228163</v>
      </c>
      <c r="M616" s="44">
        <v>2473.3395110054589</v>
      </c>
      <c r="N616" s="44">
        <v>4442.0609033862411</v>
      </c>
      <c r="O616" s="45" t="s">
        <v>5074</v>
      </c>
      <c r="P616" s="46">
        <v>3</v>
      </c>
      <c r="Q616" s="43">
        <v>1775.8413857228163</v>
      </c>
      <c r="R616" s="43">
        <v>1786.5864406451415</v>
      </c>
      <c r="S616" s="47">
        <v>0</v>
      </c>
      <c r="T616" s="48">
        <v>1777.292063266478</v>
      </c>
      <c r="U616" s="48">
        <v>1765.0784059920804</v>
      </c>
      <c r="V616" s="48">
        <v>1786.5864406451415</v>
      </c>
      <c r="W616" s="48">
        <v>1765.1106639769998</v>
      </c>
    </row>
    <row r="617" spans="1:23" ht="13.2" x14ac:dyDescent="0.25">
      <c r="A617" s="41">
        <v>615</v>
      </c>
      <c r="B617" s="42">
        <v>0.29647076749078499</v>
      </c>
      <c r="C617" s="14" t="s">
        <v>5077</v>
      </c>
      <c r="D617" s="42">
        <v>0.47639354480262547</v>
      </c>
      <c r="E617" s="43">
        <v>44.287541903223627</v>
      </c>
      <c r="F617" s="42">
        <v>0.43729853603863089</v>
      </c>
      <c r="G617" s="43">
        <v>3.329903297298543</v>
      </c>
      <c r="H617" s="42">
        <v>0.8178356479936445</v>
      </c>
      <c r="I617" s="43">
        <v>1.4136890529461719</v>
      </c>
      <c r="J617" s="42">
        <v>0.35411256707930594</v>
      </c>
      <c r="K617" s="43">
        <v>3.0310669497678622</v>
      </c>
      <c r="L617" s="43">
        <v>1778.8724526725841</v>
      </c>
      <c r="M617" s="44">
        <v>308.24129164643642</v>
      </c>
      <c r="N617" s="44">
        <v>553.59427379029535</v>
      </c>
      <c r="O617" s="45" t="s">
        <v>5074</v>
      </c>
      <c r="P617" s="46">
        <v>2</v>
      </c>
      <c r="Q617" s="43">
        <v>1778.8724526725841</v>
      </c>
      <c r="R617" s="43">
        <v>1782.2023559698828</v>
      </c>
      <c r="S617" s="47">
        <v>0</v>
      </c>
      <c r="T617" s="48">
        <v>1777.292063266478</v>
      </c>
      <c r="U617" s="48">
        <v>1782.2023559698828</v>
      </c>
      <c r="V617" s="48">
        <v>1786.5864406451415</v>
      </c>
      <c r="W617" s="48">
        <v>1765.1106639769998</v>
      </c>
    </row>
    <row r="618" spans="1:23" ht="13.2" x14ac:dyDescent="0.25">
      <c r="A618" s="41">
        <v>616</v>
      </c>
      <c r="B618" s="42">
        <v>0.69285362758340951</v>
      </c>
      <c r="C618" s="14" t="s">
        <v>5079</v>
      </c>
      <c r="D618" s="42">
        <v>0.65658922058371327</v>
      </c>
      <c r="E618" s="43">
        <v>8.9697676617511402</v>
      </c>
      <c r="F618" s="42">
        <v>0.644528051207088</v>
      </c>
      <c r="G618" s="43">
        <v>1.5108980856327796</v>
      </c>
      <c r="H618" s="42">
        <v>0.52657142399184942</v>
      </c>
      <c r="I618" s="43">
        <v>0.43351494150473918</v>
      </c>
      <c r="J618" s="42">
        <v>0.77165597899428384</v>
      </c>
      <c r="K618" s="43">
        <v>0.75683635428094875</v>
      </c>
      <c r="L618" s="43">
        <v>1779.6292890268651</v>
      </c>
      <c r="M618" s="44">
        <v>62.429582925787933</v>
      </c>
      <c r="N618" s="44">
        <v>112.12209577188925</v>
      </c>
      <c r="O618" s="45" t="s">
        <v>5074</v>
      </c>
      <c r="P618" s="46">
        <v>4</v>
      </c>
      <c r="Q618" s="43">
        <v>1779.6292890268651</v>
      </c>
      <c r="R618" s="43">
        <v>1781.1401871124979</v>
      </c>
      <c r="S618" s="47">
        <v>0</v>
      </c>
      <c r="T618" s="48">
        <v>1777.292063266478</v>
      </c>
      <c r="U618" s="48">
        <v>1782.2023559698828</v>
      </c>
      <c r="V618" s="48">
        <v>1786.5864406451415</v>
      </c>
      <c r="W618" s="48">
        <v>1781.1401871124979</v>
      </c>
    </row>
    <row r="619" spans="1:23" ht="13.2" x14ac:dyDescent="0.25">
      <c r="A619" s="41">
        <v>617</v>
      </c>
      <c r="B619" s="42">
        <v>0.14057140617657984</v>
      </c>
      <c r="C619" s="14" t="s">
        <v>5073</v>
      </c>
      <c r="D619" s="42">
        <v>9.2002017466352323E-2</v>
      </c>
      <c r="E619" s="43">
        <v>291.0402420959623</v>
      </c>
      <c r="F619" s="42">
        <v>0.13025912601978476</v>
      </c>
      <c r="G619" s="43">
        <v>8.7877110644419272</v>
      </c>
      <c r="H619" s="42">
        <v>4.3874028159246792E-2</v>
      </c>
      <c r="I619" s="43">
        <v>2.756536629429152</v>
      </c>
      <c r="J619" s="42">
        <v>0.88885771617705822</v>
      </c>
      <c r="K619" s="43">
        <v>0.34399446882375256</v>
      </c>
      <c r="L619" s="43">
        <v>1779.9732834956887</v>
      </c>
      <c r="M619" s="44">
        <v>2025.6400849878976</v>
      </c>
      <c r="N619" s="44">
        <v>3638.0030261995289</v>
      </c>
      <c r="O619" s="45" t="s">
        <v>5074</v>
      </c>
      <c r="P619" s="46">
        <v>1</v>
      </c>
      <c r="Q619" s="43">
        <v>1779.9732834956887</v>
      </c>
      <c r="R619" s="43">
        <v>1788.7609945601307</v>
      </c>
      <c r="S619" s="47">
        <v>0</v>
      </c>
      <c r="T619" s="48">
        <v>1788.7609945601307</v>
      </c>
      <c r="U619" s="48">
        <v>1782.2023559698828</v>
      </c>
      <c r="V619" s="48">
        <v>1786.5864406451415</v>
      </c>
      <c r="W619" s="48">
        <v>1781.1401871124979</v>
      </c>
    </row>
    <row r="620" spans="1:23" ht="13.2" x14ac:dyDescent="0.25">
      <c r="A620" s="41">
        <v>618</v>
      </c>
      <c r="B620" s="42">
        <v>0.36215556383233311</v>
      </c>
      <c r="C620" s="14" t="s">
        <v>5077</v>
      </c>
      <c r="D620" s="42">
        <v>0.46202396017593517</v>
      </c>
      <c r="E620" s="43">
        <v>44.158215641583418</v>
      </c>
      <c r="F620" s="42">
        <v>0.90444779438173761</v>
      </c>
      <c r="G620" s="43">
        <v>3.5541349413032339</v>
      </c>
      <c r="H620" s="42">
        <v>0.43707920770956166</v>
      </c>
      <c r="I620" s="43">
        <v>1.1966717973028107</v>
      </c>
      <c r="J620" s="42">
        <v>0.74034870403835029</v>
      </c>
      <c r="K620" s="43">
        <v>0.87776345138844403</v>
      </c>
      <c r="L620" s="43">
        <v>1780.8510469470773</v>
      </c>
      <c r="M620" s="44">
        <v>307.68718674684686</v>
      </c>
      <c r="N620" s="44">
        <v>551.97769551979275</v>
      </c>
      <c r="O620" s="45" t="s">
        <v>5074</v>
      </c>
      <c r="P620" s="46">
        <v>4</v>
      </c>
      <c r="Q620" s="43">
        <v>1781.1401871124979</v>
      </c>
      <c r="R620" s="43">
        <v>1784.6943220538012</v>
      </c>
      <c r="S620" s="43">
        <v>0.28914016542057652</v>
      </c>
      <c r="T620" s="48">
        <v>1788.7609945601307</v>
      </c>
      <c r="U620" s="48">
        <v>1782.2023559698828</v>
      </c>
      <c r="V620" s="48">
        <v>1786.5864406451415</v>
      </c>
      <c r="W620" s="48">
        <v>1784.6943220538012</v>
      </c>
    </row>
    <row r="621" spans="1:23" ht="13.2" x14ac:dyDescent="0.25">
      <c r="A621" s="41">
        <v>619</v>
      </c>
      <c r="B621" s="42">
        <v>0.39872538084104908</v>
      </c>
      <c r="C621" s="14" t="s">
        <v>5077</v>
      </c>
      <c r="D621" s="42">
        <v>0.83668039312431608</v>
      </c>
      <c r="E621" s="43">
        <v>47.530123538118843</v>
      </c>
      <c r="F621" s="42">
        <v>0.90350119811645768</v>
      </c>
      <c r="G621" s="43">
        <v>3.5536805750958997</v>
      </c>
      <c r="H621" s="42">
        <v>0.80393074257482344</v>
      </c>
      <c r="I621" s="43">
        <v>1.4029626861127891</v>
      </c>
      <c r="J621" s="42">
        <v>0.29142030388648638</v>
      </c>
      <c r="K621" s="43">
        <v>3.5999670383023501</v>
      </c>
      <c r="L621" s="43">
        <v>1784.4510139853796</v>
      </c>
      <c r="M621" s="44">
        <v>330.80965982530716</v>
      </c>
      <c r="N621" s="44">
        <v>594.12654422648552</v>
      </c>
      <c r="O621" s="45" t="s">
        <v>5074</v>
      </c>
      <c r="P621" s="46">
        <v>2</v>
      </c>
      <c r="Q621" s="43">
        <v>1784.4510139853796</v>
      </c>
      <c r="R621" s="43">
        <v>1788.0046945604756</v>
      </c>
      <c r="S621" s="47">
        <v>0</v>
      </c>
      <c r="T621" s="48">
        <v>1788.7609945601307</v>
      </c>
      <c r="U621" s="48">
        <v>1788.0046945604756</v>
      </c>
      <c r="V621" s="48">
        <v>1786.5864406451415</v>
      </c>
      <c r="W621" s="48">
        <v>1784.6943220538012</v>
      </c>
    </row>
    <row r="622" spans="1:23" ht="13.2" x14ac:dyDescent="0.25">
      <c r="A622" s="41">
        <v>620</v>
      </c>
      <c r="B622" s="42">
        <v>0.85346259961531623</v>
      </c>
      <c r="C622" s="14" t="s">
        <v>5081</v>
      </c>
      <c r="D622" s="42">
        <v>0.3057606300831589</v>
      </c>
      <c r="E622" s="43">
        <v>272.23042520332638</v>
      </c>
      <c r="F622" s="42">
        <v>0.68492511598622663</v>
      </c>
      <c r="G622" s="43">
        <v>8.8680758648263645</v>
      </c>
      <c r="H622" s="42">
        <v>0.45082291981709327</v>
      </c>
      <c r="I622" s="43">
        <v>3.9495503354926407</v>
      </c>
      <c r="J622" s="42">
        <v>0.49274449306202328</v>
      </c>
      <c r="K622" s="43">
        <v>2.0664657195289107</v>
      </c>
      <c r="L622" s="43">
        <v>1786.5174797049085</v>
      </c>
      <c r="M622" s="44">
        <v>1894.7237594151516</v>
      </c>
      <c r="N622" s="44">
        <v>3402.8803150415797</v>
      </c>
      <c r="O622" s="45" t="s">
        <v>5074</v>
      </c>
      <c r="P622" s="46">
        <v>4</v>
      </c>
      <c r="Q622" s="43">
        <v>1786.5174797049085</v>
      </c>
      <c r="R622" s="43">
        <v>1795.3855555697348</v>
      </c>
      <c r="S622" s="47">
        <v>0</v>
      </c>
      <c r="T622" s="48">
        <v>1788.7609945601307</v>
      </c>
      <c r="U622" s="48">
        <v>1788.0046945604756</v>
      </c>
      <c r="V622" s="48">
        <v>1786.5864406451415</v>
      </c>
      <c r="W622" s="48">
        <v>1795.3855555697348</v>
      </c>
    </row>
    <row r="623" spans="1:23" ht="13.2" x14ac:dyDescent="0.25">
      <c r="A623" s="41">
        <v>621</v>
      </c>
      <c r="B623" s="42">
        <v>0.99945001024727242</v>
      </c>
      <c r="C623" s="14" t="s">
        <v>5080</v>
      </c>
      <c r="D623" s="42">
        <v>4.4278707375879729E-4</v>
      </c>
      <c r="E623" s="43">
        <v>85.011069676843974</v>
      </c>
      <c r="F623" s="42">
        <v>0.50228989427084569</v>
      </c>
      <c r="G623" s="43">
        <v>4.4812365429062568</v>
      </c>
      <c r="H623" s="42">
        <v>0.55839712524711949</v>
      </c>
      <c r="I623" s="43">
        <v>2.1084366682309188</v>
      </c>
      <c r="J623" s="42">
        <v>0.44703790752544903</v>
      </c>
      <c r="K623" s="43">
        <v>2.3506916311146218</v>
      </c>
      <c r="L623" s="43">
        <v>1788.8681713360231</v>
      </c>
      <c r="M623" s="44">
        <v>591.6770449508341</v>
      </c>
      <c r="N623" s="44">
        <v>1062.6383709605498</v>
      </c>
      <c r="O623" s="45" t="s">
        <v>5074</v>
      </c>
      <c r="P623" s="46">
        <v>3</v>
      </c>
      <c r="Q623" s="43">
        <v>1788.8681713360231</v>
      </c>
      <c r="R623" s="43">
        <v>1793.3494078789295</v>
      </c>
      <c r="S623" s="47">
        <v>0</v>
      </c>
      <c r="T623" s="48">
        <v>1788.7609945601307</v>
      </c>
      <c r="U623" s="48">
        <v>1788.0046945604756</v>
      </c>
      <c r="V623" s="48">
        <v>1793.3494078789295</v>
      </c>
      <c r="W623" s="48">
        <v>1795.3855555697348</v>
      </c>
    </row>
    <row r="624" spans="1:23" ht="13.2" x14ac:dyDescent="0.25">
      <c r="A624" s="41">
        <v>622</v>
      </c>
      <c r="B624" s="42">
        <v>0.24515974393354717</v>
      </c>
      <c r="C624" s="14" t="s">
        <v>5077</v>
      </c>
      <c r="D624" s="42">
        <v>0.99490693351016701</v>
      </c>
      <c r="E624" s="43">
        <v>48.954162401591503</v>
      </c>
      <c r="F624" s="42">
        <v>0.93563695668039704</v>
      </c>
      <c r="G624" s="43">
        <v>3.5691057392065906</v>
      </c>
      <c r="H624" s="42">
        <v>0.57745438375391733</v>
      </c>
      <c r="I624" s="43">
        <v>1.2639432063242939</v>
      </c>
      <c r="J624" s="42">
        <v>0.73025393520028048</v>
      </c>
      <c r="K624" s="43">
        <v>0.91784802595323733</v>
      </c>
      <c r="L624" s="43">
        <v>1789.7860193619763</v>
      </c>
      <c r="M624" s="44">
        <v>340.72097031507684</v>
      </c>
      <c r="N624" s="44">
        <v>611.92703001989378</v>
      </c>
      <c r="O624" s="45" t="s">
        <v>5074</v>
      </c>
      <c r="P624" s="46">
        <v>2</v>
      </c>
      <c r="Q624" s="43">
        <v>1789.7860193619763</v>
      </c>
      <c r="R624" s="43">
        <v>1793.3551251011829</v>
      </c>
      <c r="S624" s="47">
        <v>0</v>
      </c>
      <c r="T624" s="48">
        <v>1788.7609945601307</v>
      </c>
      <c r="U624" s="48">
        <v>1793.3551251011829</v>
      </c>
      <c r="V624" s="48">
        <v>1793.3494078789295</v>
      </c>
      <c r="W624" s="48">
        <v>1795.3855555697348</v>
      </c>
    </row>
    <row r="625" spans="1:23" ht="13.2" x14ac:dyDescent="0.25">
      <c r="A625" s="41">
        <v>623</v>
      </c>
      <c r="B625" s="42">
        <v>0.40362519277428521</v>
      </c>
      <c r="C625" s="14" t="s">
        <v>5077</v>
      </c>
      <c r="D625" s="42">
        <v>0.69613856295875209</v>
      </c>
      <c r="E625" s="43">
        <v>46.265247066628767</v>
      </c>
      <c r="F625" s="42">
        <v>0.51364486269356913</v>
      </c>
      <c r="G625" s="43">
        <v>3.3665495340929135</v>
      </c>
      <c r="H625" s="42">
        <v>0.18721095900387083</v>
      </c>
      <c r="I625" s="43">
        <v>1.0596072904241973</v>
      </c>
      <c r="J625" s="42">
        <v>0.79367186398882039</v>
      </c>
      <c r="K625" s="43">
        <v>0.67470123413104077</v>
      </c>
      <c r="L625" s="43">
        <v>1790.4607205961074</v>
      </c>
      <c r="M625" s="44">
        <v>322.00611958373622</v>
      </c>
      <c r="N625" s="44">
        <v>578.31558833285953</v>
      </c>
      <c r="O625" s="45" t="s">
        <v>5074</v>
      </c>
      <c r="P625" s="46">
        <v>1</v>
      </c>
      <c r="Q625" s="43">
        <v>1790.4607205961074</v>
      </c>
      <c r="R625" s="43">
        <v>1793.8272701302003</v>
      </c>
      <c r="S625" s="47">
        <v>0</v>
      </c>
      <c r="T625" s="48">
        <v>1793.8272701302003</v>
      </c>
      <c r="U625" s="48">
        <v>1793.3551251011829</v>
      </c>
      <c r="V625" s="48">
        <v>1793.3494078789295</v>
      </c>
      <c r="W625" s="48">
        <v>1795.3855555697348</v>
      </c>
    </row>
    <row r="626" spans="1:23" ht="13.2" x14ac:dyDescent="0.25">
      <c r="A626" s="41">
        <v>624</v>
      </c>
      <c r="B626" s="42">
        <v>0.13154193718523807</v>
      </c>
      <c r="C626" s="14" t="s">
        <v>5073</v>
      </c>
      <c r="D626" s="42">
        <v>0.31512920433428565</v>
      </c>
      <c r="E626" s="43">
        <v>317.8155045201143</v>
      </c>
      <c r="F626" s="42">
        <v>0.91098047276538818</v>
      </c>
      <c r="G626" s="43">
        <v>11.231368879755665</v>
      </c>
      <c r="H626" s="42">
        <v>0.24356575368138297</v>
      </c>
      <c r="I626" s="43">
        <v>3.104440758488435</v>
      </c>
      <c r="J626" s="42">
        <v>0.75828244991520533</v>
      </c>
      <c r="K626" s="43">
        <v>0.80788127745796057</v>
      </c>
      <c r="L626" s="43">
        <v>1791.2686018735653</v>
      </c>
      <c r="M626" s="44">
        <v>2218.4556504335555</v>
      </c>
      <c r="N626" s="44">
        <v>3972.6938065014288</v>
      </c>
      <c r="O626" s="45" t="s">
        <v>5074</v>
      </c>
      <c r="P626" s="46">
        <v>3</v>
      </c>
      <c r="Q626" s="43">
        <v>1793.3494078789295</v>
      </c>
      <c r="R626" s="43">
        <v>1804.580776758685</v>
      </c>
      <c r="S626" s="43">
        <v>2.0808060053641384</v>
      </c>
      <c r="T626" s="48">
        <v>1793.8272701302003</v>
      </c>
      <c r="U626" s="48">
        <v>1793.3551251011829</v>
      </c>
      <c r="V626" s="48">
        <v>1804.580776758685</v>
      </c>
      <c r="W626" s="48">
        <v>1795.3855555697348</v>
      </c>
    </row>
    <row r="627" spans="1:23" ht="13.2" x14ac:dyDescent="0.25">
      <c r="A627" s="41">
        <v>625</v>
      </c>
      <c r="B627" s="42">
        <v>0.56708105307402135</v>
      </c>
      <c r="C627" s="14" t="s">
        <v>5076</v>
      </c>
      <c r="D627" s="42">
        <v>6.200398135092295E-2</v>
      </c>
      <c r="E627" s="43">
        <v>35.62003981350923</v>
      </c>
      <c r="F627" s="42">
        <v>0.64919409092943836</v>
      </c>
      <c r="G627" s="43">
        <v>3.3386292818275418</v>
      </c>
      <c r="H627" s="42">
        <v>0.26634026936550637</v>
      </c>
      <c r="I627" s="43">
        <v>0.73649832254533298</v>
      </c>
      <c r="J627" s="42">
        <v>0.50900156540284003</v>
      </c>
      <c r="K627" s="43">
        <v>1.9716910569013741</v>
      </c>
      <c r="L627" s="43">
        <v>1793.2402929304667</v>
      </c>
      <c r="M627" s="44">
        <v>248.00005080313096</v>
      </c>
      <c r="N627" s="44">
        <v>445.25049766886536</v>
      </c>
      <c r="O627" s="45" t="s">
        <v>5074</v>
      </c>
      <c r="P627" s="46">
        <v>2</v>
      </c>
      <c r="Q627" s="43">
        <v>1793.3551251011829</v>
      </c>
      <c r="R627" s="43">
        <v>1796.6937543830104</v>
      </c>
      <c r="S627" s="43">
        <v>0.11483217071622676</v>
      </c>
      <c r="T627" s="48">
        <v>1793.8272701302003</v>
      </c>
      <c r="U627" s="48">
        <v>1796.6937543830104</v>
      </c>
      <c r="V627" s="48">
        <v>1804.580776758685</v>
      </c>
      <c r="W627" s="48">
        <v>1795.3855555697348</v>
      </c>
    </row>
    <row r="628" spans="1:23" ht="13.2" x14ac:dyDescent="0.25">
      <c r="A628" s="41">
        <v>626</v>
      </c>
      <c r="B628" s="42">
        <v>0.30278810826260044</v>
      </c>
      <c r="C628" s="14" t="s">
        <v>5077</v>
      </c>
      <c r="D628" s="42">
        <v>0.84804175088556566</v>
      </c>
      <c r="E628" s="43">
        <v>47.632375757970088</v>
      </c>
      <c r="F628" s="42">
        <v>0.1675287420710217</v>
      </c>
      <c r="G628" s="43">
        <v>3.2004137961940904</v>
      </c>
      <c r="H628" s="42">
        <v>0.25153171329364726</v>
      </c>
      <c r="I628" s="43">
        <v>1.1009176245847243</v>
      </c>
      <c r="J628" s="42">
        <v>0.2972060541143669</v>
      </c>
      <c r="K628" s="43">
        <v>3.5425681630366825</v>
      </c>
      <c r="L628" s="43">
        <v>1796.7828610935035</v>
      </c>
      <c r="M628" s="44">
        <v>331.52133527547181</v>
      </c>
      <c r="N628" s="44">
        <v>595.40469697462606</v>
      </c>
      <c r="O628" s="45" t="s">
        <v>5074</v>
      </c>
      <c r="P628" s="46">
        <v>1</v>
      </c>
      <c r="Q628" s="43">
        <v>1796.7828610935035</v>
      </c>
      <c r="R628" s="43">
        <v>1799.9832748896977</v>
      </c>
      <c r="S628" s="47">
        <v>0</v>
      </c>
      <c r="T628" s="48">
        <v>1799.9832748896977</v>
      </c>
      <c r="U628" s="48">
        <v>1796.6937543830104</v>
      </c>
      <c r="V628" s="48">
        <v>1804.580776758685</v>
      </c>
      <c r="W628" s="48">
        <v>1795.3855555697348</v>
      </c>
    </row>
    <row r="629" spans="1:23" ht="13.2" x14ac:dyDescent="0.25">
      <c r="A629" s="41">
        <v>627</v>
      </c>
      <c r="B629" s="42">
        <v>0.37936066248424383</v>
      </c>
      <c r="C629" s="14" t="s">
        <v>5077</v>
      </c>
      <c r="D629" s="42">
        <v>0.7788575318543508</v>
      </c>
      <c r="E629" s="43">
        <v>47.009717786689158</v>
      </c>
      <c r="F629" s="42">
        <v>0.30534580922934496</v>
      </c>
      <c r="G629" s="43">
        <v>3.2665659884300857</v>
      </c>
      <c r="H629" s="42">
        <v>0.20524342134839083</v>
      </c>
      <c r="I629" s="43">
        <v>1.071822794639119</v>
      </c>
      <c r="J629" s="42">
        <v>0.27805587615727256</v>
      </c>
      <c r="K629" s="43">
        <v>3.7370312178583283</v>
      </c>
      <c r="L629" s="43">
        <v>1800.5198923113619</v>
      </c>
      <c r="M629" s="44">
        <v>327.18763579535653</v>
      </c>
      <c r="N629" s="44">
        <v>587.62147233361452</v>
      </c>
      <c r="O629" s="45" t="s">
        <v>5074</v>
      </c>
      <c r="P629" s="46">
        <v>4</v>
      </c>
      <c r="Q629" s="43">
        <v>1800.5198923113619</v>
      </c>
      <c r="R629" s="43">
        <v>1803.786458299792</v>
      </c>
      <c r="S629" s="47">
        <v>0</v>
      </c>
      <c r="T629" s="48">
        <v>1799.9832748896977</v>
      </c>
      <c r="U629" s="48">
        <v>1796.6937543830104</v>
      </c>
      <c r="V629" s="48">
        <v>1804.580776758685</v>
      </c>
      <c r="W629" s="48">
        <v>1803.786458299792</v>
      </c>
    </row>
    <row r="630" spans="1:23" ht="13.2" x14ac:dyDescent="0.25">
      <c r="A630" s="41">
        <v>628</v>
      </c>
      <c r="B630" s="42">
        <v>0.42939662999911077</v>
      </c>
      <c r="C630" s="14" t="s">
        <v>5077</v>
      </c>
      <c r="D630" s="42">
        <v>0.89768521576080718</v>
      </c>
      <c r="E630" s="43">
        <v>48.079166941847262</v>
      </c>
      <c r="F630" s="42">
        <v>0.95590020341607751</v>
      </c>
      <c r="G630" s="43">
        <v>3.5788320976397174</v>
      </c>
      <c r="H630" s="42">
        <v>0.25822709233417507</v>
      </c>
      <c r="I630" s="43">
        <v>1.1048962991580957</v>
      </c>
      <c r="J630" s="42">
        <v>0.92300348865008142</v>
      </c>
      <c r="K630" s="43">
        <v>0.23393361985556943</v>
      </c>
      <c r="L630" s="43">
        <v>1800.7538259312175</v>
      </c>
      <c r="M630" s="44">
        <v>334.63100191525695</v>
      </c>
      <c r="N630" s="44">
        <v>600.98958677309076</v>
      </c>
      <c r="O630" s="45" t="s">
        <v>5074</v>
      </c>
      <c r="P630" s="46">
        <v>2</v>
      </c>
      <c r="Q630" s="43">
        <v>1800.7538259312175</v>
      </c>
      <c r="R630" s="43">
        <v>1804.3326580288572</v>
      </c>
      <c r="S630" s="47">
        <v>0</v>
      </c>
      <c r="T630" s="48">
        <v>1799.9832748896977</v>
      </c>
      <c r="U630" s="48">
        <v>1804.3326580288572</v>
      </c>
      <c r="V630" s="48">
        <v>1804.580776758685</v>
      </c>
      <c r="W630" s="48">
        <v>1803.786458299792</v>
      </c>
    </row>
    <row r="631" spans="1:23" ht="13.2" x14ac:dyDescent="0.25">
      <c r="A631" s="41">
        <v>629</v>
      </c>
      <c r="B631" s="42">
        <v>0.85408122271955067</v>
      </c>
      <c r="C631" s="14" t="s">
        <v>5081</v>
      </c>
      <c r="D631" s="42">
        <v>1.9383206041242558E-2</v>
      </c>
      <c r="E631" s="43">
        <v>260.77532824164967</v>
      </c>
      <c r="F631" s="42">
        <v>0.30317174517697271</v>
      </c>
      <c r="G631" s="43">
        <v>8.4901400277252019</v>
      </c>
      <c r="H631" s="42">
        <v>0.42127664639673973</v>
      </c>
      <c r="I631" s="43">
        <v>3.91790701750966</v>
      </c>
      <c r="J631" s="42">
        <v>0.98197947907353722</v>
      </c>
      <c r="K631" s="43">
        <v>5.3094504875354949E-2</v>
      </c>
      <c r="L631" s="43">
        <v>1800.8069204360929</v>
      </c>
      <c r="M631" s="44">
        <v>1814.9962845618818</v>
      </c>
      <c r="N631" s="44">
        <v>3259.6916030206207</v>
      </c>
      <c r="O631" s="45" t="s">
        <v>5074</v>
      </c>
      <c r="P631" s="46">
        <v>1</v>
      </c>
      <c r="Q631" s="43">
        <v>1800.8069204360929</v>
      </c>
      <c r="R631" s="43">
        <v>1809.2970604638181</v>
      </c>
      <c r="S631" s="47">
        <v>0</v>
      </c>
      <c r="T631" s="48">
        <v>1809.2970604638181</v>
      </c>
      <c r="U631" s="48">
        <v>1804.3326580288572</v>
      </c>
      <c r="V631" s="48">
        <v>1804.580776758685</v>
      </c>
      <c r="W631" s="48">
        <v>1803.786458299792</v>
      </c>
    </row>
    <row r="632" spans="1:23" ht="13.2" x14ac:dyDescent="0.25">
      <c r="A632" s="41">
        <v>630</v>
      </c>
      <c r="B632" s="42">
        <v>0.86454082553486378</v>
      </c>
      <c r="C632" s="14" t="s">
        <v>5081</v>
      </c>
      <c r="D632" s="42">
        <v>0.28975936504535349</v>
      </c>
      <c r="E632" s="43">
        <v>271.59037460181412</v>
      </c>
      <c r="F632" s="42">
        <v>0.17923806290106759</v>
      </c>
      <c r="G632" s="43">
        <v>8.3674456822720558</v>
      </c>
      <c r="H632" s="42">
        <v>0.7087863454170461</v>
      </c>
      <c r="I632" s="43">
        <v>4.236830746710857</v>
      </c>
      <c r="J632" s="42">
        <v>6.374125464993588E-2</v>
      </c>
      <c r="K632" s="43">
        <v>8.0377322228195549</v>
      </c>
      <c r="L632" s="43">
        <v>1808.8446526589125</v>
      </c>
      <c r="M632" s="44">
        <v>1890.2690072286262</v>
      </c>
      <c r="N632" s="44">
        <v>3394.8796825226764</v>
      </c>
      <c r="O632" s="45" t="s">
        <v>5074</v>
      </c>
      <c r="P632" s="46">
        <v>4</v>
      </c>
      <c r="Q632" s="43">
        <v>1808.8446526589125</v>
      </c>
      <c r="R632" s="43">
        <v>1817.2120983411846</v>
      </c>
      <c r="S632" s="47">
        <v>0</v>
      </c>
      <c r="T632" s="48">
        <v>1809.2970604638181</v>
      </c>
      <c r="U632" s="48">
        <v>1804.3326580288572</v>
      </c>
      <c r="V632" s="48">
        <v>1804.580776758685</v>
      </c>
      <c r="W632" s="48">
        <v>1817.2120983411846</v>
      </c>
    </row>
    <row r="633" spans="1:23" ht="13.2" x14ac:dyDescent="0.25">
      <c r="A633" s="41">
        <v>631</v>
      </c>
      <c r="B633" s="42">
        <v>0.38403213042022294</v>
      </c>
      <c r="C633" s="14" t="s">
        <v>5077</v>
      </c>
      <c r="D633" s="42">
        <v>0.55402366749664012</v>
      </c>
      <c r="E633" s="43">
        <v>44.986213007469757</v>
      </c>
      <c r="F633" s="42">
        <v>0.71727579073853598</v>
      </c>
      <c r="G633" s="43">
        <v>3.4642923795544975</v>
      </c>
      <c r="H633" s="42">
        <v>0.95771500745681815</v>
      </c>
      <c r="I633" s="43">
        <v>1.5620570891838517</v>
      </c>
      <c r="J633" s="42">
        <v>4.4923006112185776E-2</v>
      </c>
      <c r="K633" s="43">
        <v>9.059285342734384</v>
      </c>
      <c r="L633" s="43">
        <v>1817.903938001647</v>
      </c>
      <c r="M633" s="44">
        <v>313.10404253198953</v>
      </c>
      <c r="N633" s="44">
        <v>562.327662593372</v>
      </c>
      <c r="O633" s="45" t="s">
        <v>5074</v>
      </c>
      <c r="P633" s="46">
        <v>2</v>
      </c>
      <c r="Q633" s="43">
        <v>1817.903938001647</v>
      </c>
      <c r="R633" s="43">
        <v>1821.3682303812016</v>
      </c>
      <c r="S633" s="47">
        <v>0</v>
      </c>
      <c r="T633" s="48">
        <v>1809.2970604638181</v>
      </c>
      <c r="U633" s="48">
        <v>1821.3682303812016</v>
      </c>
      <c r="V633" s="48">
        <v>1804.580776758685</v>
      </c>
      <c r="W633" s="48">
        <v>1817.2120983411846</v>
      </c>
    </row>
    <row r="634" spans="1:23" ht="13.2" x14ac:dyDescent="0.25">
      <c r="A634" s="41">
        <v>632</v>
      </c>
      <c r="B634" s="42">
        <v>0.93888483193651062</v>
      </c>
      <c r="C634" s="14" t="s">
        <v>5080</v>
      </c>
      <c r="D634" s="42">
        <v>0.74701506632706849</v>
      </c>
      <c r="E634" s="43">
        <v>103.67537665817672</v>
      </c>
      <c r="F634" s="42">
        <v>0.72541400963692648</v>
      </c>
      <c r="G634" s="43">
        <v>4.6017235652039403</v>
      </c>
      <c r="H634" s="42">
        <v>0.22652685093997366</v>
      </c>
      <c r="I634" s="43">
        <v>1.7711380440432611</v>
      </c>
      <c r="J634" s="42">
        <v>7.8696805554766588E-2</v>
      </c>
      <c r="K634" s="43">
        <v>7.4223436920818271</v>
      </c>
      <c r="L634" s="43">
        <v>1825.3262816937288</v>
      </c>
      <c r="M634" s="44">
        <v>721.58062154090999</v>
      </c>
      <c r="N634" s="44">
        <v>1295.942208227209</v>
      </c>
      <c r="O634" s="45" t="s">
        <v>5074</v>
      </c>
      <c r="P634" s="46">
        <v>3</v>
      </c>
      <c r="Q634" s="43">
        <v>1825.3262816937288</v>
      </c>
      <c r="R634" s="43">
        <v>1829.9280052589327</v>
      </c>
      <c r="S634" s="47">
        <v>0</v>
      </c>
      <c r="T634" s="48">
        <v>1809.2970604638181</v>
      </c>
      <c r="U634" s="48">
        <v>1821.3682303812016</v>
      </c>
      <c r="V634" s="48">
        <v>1829.9280052589327</v>
      </c>
      <c r="W634" s="48">
        <v>1817.2120983411846</v>
      </c>
    </row>
    <row r="635" spans="1:23" ht="13.2" x14ac:dyDescent="0.25">
      <c r="A635" s="41">
        <v>633</v>
      </c>
      <c r="B635" s="42">
        <v>0.27240199375543839</v>
      </c>
      <c r="C635" s="14" t="s">
        <v>5077</v>
      </c>
      <c r="D635" s="42">
        <v>0.40079171694852028</v>
      </c>
      <c r="E635" s="43">
        <v>43.607125452536685</v>
      </c>
      <c r="F635" s="42">
        <v>0.30478968159518655</v>
      </c>
      <c r="G635" s="43">
        <v>3.2662990471656896</v>
      </c>
      <c r="H635" s="42">
        <v>0.51689317380864785</v>
      </c>
      <c r="I635" s="43">
        <v>1.2337403386672738</v>
      </c>
      <c r="J635" s="42">
        <v>8.2269785498394532E-2</v>
      </c>
      <c r="K635" s="43">
        <v>7.2927047155998856</v>
      </c>
      <c r="L635" s="43">
        <v>1832.6189864093287</v>
      </c>
      <c r="M635" s="44">
        <v>303.50559314965534</v>
      </c>
      <c r="N635" s="44">
        <v>545.08906815670855</v>
      </c>
      <c r="O635" s="45" t="s">
        <v>5074</v>
      </c>
      <c r="P635" s="46">
        <v>1</v>
      </c>
      <c r="Q635" s="43">
        <v>1832.6189864093287</v>
      </c>
      <c r="R635" s="43">
        <v>1835.8852854564943</v>
      </c>
      <c r="S635" s="47">
        <v>0</v>
      </c>
      <c r="T635" s="48">
        <v>1835.8852854564943</v>
      </c>
      <c r="U635" s="48">
        <v>1821.3682303812016</v>
      </c>
      <c r="V635" s="48">
        <v>1829.9280052589327</v>
      </c>
      <c r="W635" s="48">
        <v>1817.2120983411846</v>
      </c>
    </row>
    <row r="636" spans="1:23" ht="13.2" x14ac:dyDescent="0.25">
      <c r="A636" s="41">
        <v>634</v>
      </c>
      <c r="B636" s="42">
        <v>0.58684266106544192</v>
      </c>
      <c r="C636" s="14" t="s">
        <v>5076</v>
      </c>
      <c r="D636" s="42">
        <v>0.75254590052764203</v>
      </c>
      <c r="E636" s="43">
        <v>42.525459005276417</v>
      </c>
      <c r="F636" s="42">
        <v>0.93721171931233804</v>
      </c>
      <c r="G636" s="43">
        <v>3.4711173908836757</v>
      </c>
      <c r="H636" s="42">
        <v>0.80922431536448391</v>
      </c>
      <c r="I636" s="43">
        <v>0.968878404951107</v>
      </c>
      <c r="J636" s="42">
        <v>0.57566801345705432</v>
      </c>
      <c r="K636" s="43">
        <v>1.6123332845975267</v>
      </c>
      <c r="L636" s="43">
        <v>1834.2313196939263</v>
      </c>
      <c r="M636" s="44">
        <v>295.97719467672385</v>
      </c>
      <c r="N636" s="44">
        <v>531.5682375659552</v>
      </c>
      <c r="O636" s="45" t="s">
        <v>5074</v>
      </c>
      <c r="P636" s="46">
        <v>4</v>
      </c>
      <c r="Q636" s="43">
        <v>1834.2313196939263</v>
      </c>
      <c r="R636" s="43">
        <v>1837.7024370848098</v>
      </c>
      <c r="S636" s="47">
        <v>0</v>
      </c>
      <c r="T636" s="48">
        <v>1835.8852854564943</v>
      </c>
      <c r="U636" s="48">
        <v>1821.3682303812016</v>
      </c>
      <c r="V636" s="48">
        <v>1829.9280052589327</v>
      </c>
      <c r="W636" s="48">
        <v>1837.7024370848098</v>
      </c>
    </row>
    <row r="637" spans="1:23" ht="13.2" x14ac:dyDescent="0.25">
      <c r="A637" s="41">
        <v>635</v>
      </c>
      <c r="B637" s="42">
        <v>0.27223554918180942</v>
      </c>
      <c r="C637" s="14" t="s">
        <v>5077</v>
      </c>
      <c r="D637" s="42">
        <v>0.34963779726514488</v>
      </c>
      <c r="E637" s="43">
        <v>43.146740175386306</v>
      </c>
      <c r="F637" s="42">
        <v>0.32662871122668902</v>
      </c>
      <c r="G637" s="43">
        <v>3.2767817813888107</v>
      </c>
      <c r="H637" s="42">
        <v>0.12769055046499267</v>
      </c>
      <c r="I637" s="43">
        <v>1.0144028874978073</v>
      </c>
      <c r="J637" s="42">
        <v>0.58564868782909996</v>
      </c>
      <c r="K637" s="43">
        <v>1.5621465051283405</v>
      </c>
      <c r="L637" s="43">
        <v>1835.7934661990546</v>
      </c>
      <c r="M637" s="44">
        <v>300.30131162068869</v>
      </c>
      <c r="N637" s="44">
        <v>539.33425219232879</v>
      </c>
      <c r="O637" s="45" t="s">
        <v>5074</v>
      </c>
      <c r="P637" s="46">
        <v>2</v>
      </c>
      <c r="Q637" s="43">
        <v>1835.7934661990546</v>
      </c>
      <c r="R637" s="43">
        <v>1839.0702479804434</v>
      </c>
      <c r="S637" s="47">
        <v>0</v>
      </c>
      <c r="T637" s="48">
        <v>1835.8852854564943</v>
      </c>
      <c r="U637" s="48">
        <v>1839.0702479804434</v>
      </c>
      <c r="V637" s="48">
        <v>1829.9280052589327</v>
      </c>
      <c r="W637" s="48">
        <v>1837.7024370848098</v>
      </c>
    </row>
    <row r="638" spans="1:23" ht="13.2" x14ac:dyDescent="0.25">
      <c r="A638" s="41">
        <v>636</v>
      </c>
      <c r="B638" s="42">
        <v>0.35424467844620566</v>
      </c>
      <c r="C638" s="14" t="s">
        <v>5077</v>
      </c>
      <c r="D638" s="42">
        <v>0.59552661636635973</v>
      </c>
      <c r="E638" s="43">
        <v>45.359739547297238</v>
      </c>
      <c r="F638" s="42">
        <v>0.41324316077551021</v>
      </c>
      <c r="G638" s="43">
        <v>3.3183567171722448</v>
      </c>
      <c r="H638" s="42">
        <v>4.4325802030193526E-2</v>
      </c>
      <c r="I638" s="43">
        <v>0.92632216246909993</v>
      </c>
      <c r="J638" s="42">
        <v>0.877760253789723</v>
      </c>
      <c r="K638" s="43">
        <v>0.38067673605708624</v>
      </c>
      <c r="L638" s="43">
        <v>1836.1741429351116</v>
      </c>
      <c r="M638" s="44">
        <v>315.70378724918879</v>
      </c>
      <c r="N638" s="44">
        <v>566.9967443412155</v>
      </c>
      <c r="O638" s="45" t="s">
        <v>5074</v>
      </c>
      <c r="P638" s="46">
        <v>3</v>
      </c>
      <c r="Q638" s="43">
        <v>1836.1741429351116</v>
      </c>
      <c r="R638" s="43">
        <v>1839.4924996522839</v>
      </c>
      <c r="S638" s="47">
        <v>0</v>
      </c>
      <c r="T638" s="48">
        <v>1835.8852854564943</v>
      </c>
      <c r="U638" s="48">
        <v>1839.0702479804434</v>
      </c>
      <c r="V638" s="48">
        <v>1839.4924996522839</v>
      </c>
      <c r="W638" s="48">
        <v>1837.7024370848098</v>
      </c>
    </row>
    <row r="639" spans="1:23" ht="13.2" x14ac:dyDescent="0.25">
      <c r="A639" s="41">
        <v>637</v>
      </c>
      <c r="B639" s="42">
        <v>0.35857528464802324</v>
      </c>
      <c r="C639" s="14" t="s">
        <v>5077</v>
      </c>
      <c r="D639" s="42">
        <v>0.99781469674679202</v>
      </c>
      <c r="E639" s="43">
        <v>48.980332270721128</v>
      </c>
      <c r="F639" s="42">
        <v>0.98023839992482142</v>
      </c>
      <c r="G639" s="43">
        <v>3.5905144319639142</v>
      </c>
      <c r="H639" s="42">
        <v>0.79477080926055588</v>
      </c>
      <c r="I639" s="43">
        <v>1.3961034126010134</v>
      </c>
      <c r="J639" s="42">
        <v>0.35342037275127153</v>
      </c>
      <c r="K639" s="43">
        <v>3.0367797749052681</v>
      </c>
      <c r="L639" s="43">
        <v>1839.2109227100168</v>
      </c>
      <c r="M639" s="44">
        <v>340.90311260421907</v>
      </c>
      <c r="N639" s="44">
        <v>612.2541533840141</v>
      </c>
      <c r="O639" s="45" t="s">
        <v>5074</v>
      </c>
      <c r="P639" s="46">
        <v>1</v>
      </c>
      <c r="Q639" s="43">
        <v>1839.2109227100168</v>
      </c>
      <c r="R639" s="43">
        <v>1842.8014371419806</v>
      </c>
      <c r="S639" s="47">
        <v>0</v>
      </c>
      <c r="T639" s="48">
        <v>1842.8014371419806</v>
      </c>
      <c r="U639" s="48">
        <v>1839.0702479804434</v>
      </c>
      <c r="V639" s="48">
        <v>1839.4924996522839</v>
      </c>
      <c r="W639" s="48">
        <v>1837.7024370848098</v>
      </c>
    </row>
    <row r="640" spans="1:23" ht="13.2" x14ac:dyDescent="0.25">
      <c r="A640" s="41">
        <v>638</v>
      </c>
      <c r="B640" s="42">
        <v>0.51808975614518382</v>
      </c>
      <c r="C640" s="14" t="s">
        <v>5076</v>
      </c>
      <c r="D640" s="42">
        <v>0.82348350799804715</v>
      </c>
      <c r="E640" s="43">
        <v>43.234835079980471</v>
      </c>
      <c r="F640" s="42">
        <v>0.35828639537016227</v>
      </c>
      <c r="G640" s="43">
        <v>3.2048117418702748</v>
      </c>
      <c r="H640" s="42">
        <v>0.13438946527167664</v>
      </c>
      <c r="I640" s="43">
        <v>0.66799341566576975</v>
      </c>
      <c r="J640" s="42">
        <v>9.6817283470564189E-2</v>
      </c>
      <c r="K640" s="43">
        <v>6.8173131456578604</v>
      </c>
      <c r="L640" s="43">
        <v>1846.0282358556747</v>
      </c>
      <c r="M640" s="44">
        <v>300.91445215666408</v>
      </c>
      <c r="N640" s="44">
        <v>540.43543849975583</v>
      </c>
      <c r="O640" s="45" t="s">
        <v>5074</v>
      </c>
      <c r="P640" s="46">
        <v>4</v>
      </c>
      <c r="Q640" s="43">
        <v>1846.0282358556747</v>
      </c>
      <c r="R640" s="43">
        <v>1849.233047597545</v>
      </c>
      <c r="S640" s="47">
        <v>0</v>
      </c>
      <c r="T640" s="48">
        <v>1842.8014371419806</v>
      </c>
      <c r="U640" s="48">
        <v>1839.0702479804434</v>
      </c>
      <c r="V640" s="48">
        <v>1839.4924996522839</v>
      </c>
      <c r="W640" s="48">
        <v>1849.233047597545</v>
      </c>
    </row>
    <row r="641" spans="1:23" ht="13.2" x14ac:dyDescent="0.25">
      <c r="A641" s="41">
        <v>639</v>
      </c>
      <c r="B641" s="42">
        <v>0.26090478676413409</v>
      </c>
      <c r="C641" s="14" t="s">
        <v>5077</v>
      </c>
      <c r="D641" s="42">
        <v>1.2324516201542931E-2</v>
      </c>
      <c r="E641" s="43">
        <v>40.110920645813884</v>
      </c>
      <c r="F641" s="42">
        <v>0.93746631915563083</v>
      </c>
      <c r="G641" s="43">
        <v>3.5699838331947031</v>
      </c>
      <c r="H641" s="42">
        <v>0.59702847227315814</v>
      </c>
      <c r="I641" s="43">
        <v>1.2741629566640793</v>
      </c>
      <c r="J641" s="42">
        <v>0.28994642444418112</v>
      </c>
      <c r="K641" s="43">
        <v>3.6147711426706257</v>
      </c>
      <c r="L641" s="43">
        <v>1849.6430069983453</v>
      </c>
      <c r="M641" s="44">
        <v>279.17200769486465</v>
      </c>
      <c r="N641" s="44">
        <v>501.38650807267356</v>
      </c>
      <c r="O641" s="45" t="s">
        <v>5074</v>
      </c>
      <c r="P641" s="46">
        <v>2</v>
      </c>
      <c r="Q641" s="43">
        <v>1849.6430069983453</v>
      </c>
      <c r="R641" s="43">
        <v>1853.2129908315401</v>
      </c>
      <c r="S641" s="47">
        <v>0</v>
      </c>
      <c r="T641" s="48">
        <v>1842.8014371419806</v>
      </c>
      <c r="U641" s="48">
        <v>1853.2129908315401</v>
      </c>
      <c r="V641" s="48">
        <v>1839.4924996522839</v>
      </c>
      <c r="W641" s="48">
        <v>1849.233047597545</v>
      </c>
    </row>
    <row r="642" spans="1:23" ht="13.2" x14ac:dyDescent="0.25">
      <c r="A642" s="41">
        <v>640</v>
      </c>
      <c r="B642" s="42">
        <v>0.54428389647243725</v>
      </c>
      <c r="C642" s="14" t="s">
        <v>5076</v>
      </c>
      <c r="D642" s="42">
        <v>0.62491172953737517</v>
      </c>
      <c r="E642" s="43">
        <v>41.24911729537375</v>
      </c>
      <c r="F642" s="42">
        <v>0.66874414527264614</v>
      </c>
      <c r="G642" s="43">
        <v>3.3476223068254174</v>
      </c>
      <c r="H642" s="42">
        <v>0.8205458972698757</v>
      </c>
      <c r="I642" s="43">
        <v>0.97584124205279243</v>
      </c>
      <c r="J642" s="42">
        <v>0.63178908574943848</v>
      </c>
      <c r="K642" s="43">
        <v>1.340728950697486</v>
      </c>
      <c r="L642" s="43">
        <v>1850.9837359490427</v>
      </c>
      <c r="M642" s="44">
        <v>287.09385637580129</v>
      </c>
      <c r="N642" s="44">
        <v>515.61396619217192</v>
      </c>
      <c r="O642" s="45" t="s">
        <v>5074</v>
      </c>
      <c r="P642" s="46">
        <v>3</v>
      </c>
      <c r="Q642" s="43">
        <v>1850.9837359490427</v>
      </c>
      <c r="R642" s="43">
        <v>1854.3313582558681</v>
      </c>
      <c r="S642" s="47">
        <v>0</v>
      </c>
      <c r="T642" s="48">
        <v>1842.8014371419806</v>
      </c>
      <c r="U642" s="48">
        <v>1853.2129908315401</v>
      </c>
      <c r="V642" s="48">
        <v>1854.3313582558681</v>
      </c>
      <c r="W642" s="48">
        <v>1849.233047597545</v>
      </c>
    </row>
    <row r="643" spans="1:23" ht="13.2" x14ac:dyDescent="0.25">
      <c r="A643" s="41">
        <v>641</v>
      </c>
      <c r="B643" s="42">
        <v>0.20009303009141843</v>
      </c>
      <c r="C643" s="14" t="s">
        <v>5073</v>
      </c>
      <c r="D643" s="42">
        <v>0.32304886417605394</v>
      </c>
      <c r="E643" s="43">
        <v>318.76586370112648</v>
      </c>
      <c r="F643" s="42">
        <v>0.38277859212028731</v>
      </c>
      <c r="G643" s="43">
        <v>9.5780969933364997</v>
      </c>
      <c r="H643" s="42">
        <v>8.1849671007064011E-3</v>
      </c>
      <c r="I643" s="43">
        <v>2.6108036581122644</v>
      </c>
      <c r="J643" s="42">
        <v>0.55449924923223404</v>
      </c>
      <c r="K643" s="43">
        <v>1.7217221201375887</v>
      </c>
      <c r="L643" s="43">
        <v>1852.7054580691804</v>
      </c>
      <c r="M643" s="44">
        <v>2218.6104113598403</v>
      </c>
      <c r="N643" s="44">
        <v>3984.5732962640809</v>
      </c>
      <c r="O643" s="45" t="s">
        <v>5074</v>
      </c>
      <c r="P643" s="46">
        <v>1</v>
      </c>
      <c r="Q643" s="43">
        <v>1852.7054580691804</v>
      </c>
      <c r="R643" s="43">
        <v>1862.2835550625168</v>
      </c>
      <c r="S643" s="47">
        <v>0</v>
      </c>
      <c r="T643" s="48">
        <v>1862.2835550625168</v>
      </c>
      <c r="U643" s="48">
        <v>1853.2129908315401</v>
      </c>
      <c r="V643" s="48">
        <v>1854.3313582558681</v>
      </c>
      <c r="W643" s="48">
        <v>1849.233047597545</v>
      </c>
    </row>
    <row r="644" spans="1:23" ht="13.2" x14ac:dyDescent="0.25">
      <c r="A644" s="41">
        <v>642</v>
      </c>
      <c r="B644" s="42">
        <v>0.33496423034694245</v>
      </c>
      <c r="C644" s="14" t="s">
        <v>5077</v>
      </c>
      <c r="D644" s="42">
        <v>0.80765419025330532</v>
      </c>
      <c r="E644" s="43">
        <v>47.268887712279749</v>
      </c>
      <c r="F644" s="42">
        <v>6.3167328975706982E-2</v>
      </c>
      <c r="G644" s="43">
        <v>3.1503203179083394</v>
      </c>
      <c r="H644" s="42">
        <v>7.039923456981742E-2</v>
      </c>
      <c r="I644" s="43">
        <v>0.9591971244876436</v>
      </c>
      <c r="J644" s="42">
        <v>0.75805827125816527</v>
      </c>
      <c r="K644" s="43">
        <v>0.80874458768970947</v>
      </c>
      <c r="L644" s="43">
        <v>1853.5142026568701</v>
      </c>
      <c r="M644" s="44">
        <v>328.99145847746706</v>
      </c>
      <c r="N644" s="44">
        <v>590.86109640349684</v>
      </c>
      <c r="O644" s="45" t="s">
        <v>5074</v>
      </c>
      <c r="P644" s="46">
        <v>4</v>
      </c>
      <c r="Q644" s="43">
        <v>1853.5142026568701</v>
      </c>
      <c r="R644" s="43">
        <v>1856.6645229747785</v>
      </c>
      <c r="S644" s="47">
        <v>0</v>
      </c>
      <c r="T644" s="48">
        <v>1862.2835550625168</v>
      </c>
      <c r="U644" s="48">
        <v>1853.2129908315401</v>
      </c>
      <c r="V644" s="48">
        <v>1854.3313582558681</v>
      </c>
      <c r="W644" s="48">
        <v>1856.6645229747785</v>
      </c>
    </row>
    <row r="645" spans="1:23" ht="13.2" x14ac:dyDescent="0.25">
      <c r="A645" s="41">
        <v>643</v>
      </c>
      <c r="B645" s="42">
        <v>0.41610194342960694</v>
      </c>
      <c r="C645" s="14" t="s">
        <v>5077</v>
      </c>
      <c r="D645" s="42">
        <v>0.55952311240114416</v>
      </c>
      <c r="E645" s="43">
        <v>45.035708011610296</v>
      </c>
      <c r="F645" s="42">
        <v>0.68080546040125445</v>
      </c>
      <c r="G645" s="43">
        <v>3.4467866209926021</v>
      </c>
      <c r="H645" s="42">
        <v>0.18111034398018863</v>
      </c>
      <c r="I645" s="43">
        <v>1.055342365918521</v>
      </c>
      <c r="J645" s="42">
        <v>0.1674495694075942</v>
      </c>
      <c r="K645" s="43">
        <v>5.2177315363905477</v>
      </c>
      <c r="L645" s="43">
        <v>1858.7319341932607</v>
      </c>
      <c r="M645" s="44">
        <v>313.44852776080768</v>
      </c>
      <c r="N645" s="44">
        <v>562.94635014512869</v>
      </c>
      <c r="O645" s="45" t="s">
        <v>5074</v>
      </c>
      <c r="P645" s="46">
        <v>2</v>
      </c>
      <c r="Q645" s="43">
        <v>1858.7319341932607</v>
      </c>
      <c r="R645" s="43">
        <v>1862.1787208142532</v>
      </c>
      <c r="S645" s="47">
        <v>0</v>
      </c>
      <c r="T645" s="48">
        <v>1862.2835550625168</v>
      </c>
      <c r="U645" s="48">
        <v>1862.1787208142532</v>
      </c>
      <c r="V645" s="48">
        <v>1854.3313582558681</v>
      </c>
      <c r="W645" s="48">
        <v>1856.6645229747785</v>
      </c>
    </row>
    <row r="646" spans="1:23" ht="13.2" x14ac:dyDescent="0.25">
      <c r="A646" s="41">
        <v>644</v>
      </c>
      <c r="B646" s="42">
        <v>0.46665412162740438</v>
      </c>
      <c r="C646" s="14" t="s">
        <v>5077</v>
      </c>
      <c r="D646" s="42">
        <v>0.92393780123625779</v>
      </c>
      <c r="E646" s="43">
        <v>48.315440211126322</v>
      </c>
      <c r="F646" s="42">
        <v>4.0738727916376075E-2</v>
      </c>
      <c r="G646" s="43">
        <v>3.1395545893998604</v>
      </c>
      <c r="H646" s="42">
        <v>0.10322095179148993</v>
      </c>
      <c r="I646" s="43">
        <v>0.99276810588096875</v>
      </c>
      <c r="J646" s="42">
        <v>0.32691667570123295</v>
      </c>
      <c r="K646" s="43">
        <v>3.2643794304376628</v>
      </c>
      <c r="L646" s="43">
        <v>1861.9963136236984</v>
      </c>
      <c r="M646" s="44">
        <v>336.27546386943919</v>
      </c>
      <c r="N646" s="44">
        <v>603.94300263907905</v>
      </c>
      <c r="O646" s="45" t="s">
        <v>5074</v>
      </c>
      <c r="P646" s="46">
        <v>3</v>
      </c>
      <c r="Q646" s="43">
        <v>1861.9963136236984</v>
      </c>
      <c r="R646" s="43">
        <v>1865.1358682130983</v>
      </c>
      <c r="S646" s="47">
        <v>0</v>
      </c>
      <c r="T646" s="48">
        <v>1862.2835550625168</v>
      </c>
      <c r="U646" s="48">
        <v>1862.1787208142532</v>
      </c>
      <c r="V646" s="48">
        <v>1865.1358682130983</v>
      </c>
      <c r="W646" s="48">
        <v>1856.6645229747785</v>
      </c>
    </row>
    <row r="647" spans="1:23" ht="13.2" x14ac:dyDescent="0.25">
      <c r="A647" s="41">
        <v>645</v>
      </c>
      <c r="B647" s="42">
        <v>0.45175754067104196</v>
      </c>
      <c r="C647" s="14" t="s">
        <v>5077</v>
      </c>
      <c r="D647" s="42">
        <v>0.19252141201520404</v>
      </c>
      <c r="E647" s="43">
        <v>41.732692708136838</v>
      </c>
      <c r="F647" s="42">
        <v>0.17547055342023751</v>
      </c>
      <c r="G647" s="43">
        <v>3.204225865641714</v>
      </c>
      <c r="H647" s="42">
        <v>0.59506776677214901</v>
      </c>
      <c r="I647" s="43">
        <v>1.273128233596396</v>
      </c>
      <c r="J647" s="42">
        <v>0.64662235725979433</v>
      </c>
      <c r="K647" s="43">
        <v>1.2729717887351937</v>
      </c>
      <c r="L647" s="43">
        <v>1863.2692854124336</v>
      </c>
      <c r="M647" s="44">
        <v>290.45954124863238</v>
      </c>
      <c r="N647" s="44">
        <v>521.65865885171047</v>
      </c>
      <c r="O647" s="45" t="s">
        <v>5074</v>
      </c>
      <c r="P647" s="46">
        <v>4</v>
      </c>
      <c r="Q647" s="43">
        <v>1863.2692854124336</v>
      </c>
      <c r="R647" s="43">
        <v>1866.4735112780754</v>
      </c>
      <c r="S647" s="47">
        <v>0</v>
      </c>
      <c r="T647" s="48">
        <v>1862.2835550625168</v>
      </c>
      <c r="U647" s="48">
        <v>1862.1787208142532</v>
      </c>
      <c r="V647" s="48">
        <v>1865.1358682130983</v>
      </c>
      <c r="W647" s="48">
        <v>1866.4735112780754</v>
      </c>
    </row>
    <row r="648" spans="1:23" ht="13.2" x14ac:dyDescent="0.25">
      <c r="A648" s="41">
        <v>646</v>
      </c>
      <c r="B648" s="42">
        <v>0.55135380502387588</v>
      </c>
      <c r="C648" s="14" t="s">
        <v>5076</v>
      </c>
      <c r="D648" s="42">
        <v>0.66444331298789161</v>
      </c>
      <c r="E648" s="43">
        <v>41.644433129878919</v>
      </c>
      <c r="F648" s="42">
        <v>0.97768711623628024</v>
      </c>
      <c r="G648" s="43">
        <v>3.4897360734686891</v>
      </c>
      <c r="H648" s="42">
        <v>0.11928914027255454</v>
      </c>
      <c r="I648" s="43">
        <v>0.65827419074895455</v>
      </c>
      <c r="J648" s="42">
        <v>0.22834811975636898</v>
      </c>
      <c r="K648" s="43">
        <v>4.3120699954091783</v>
      </c>
      <c r="L648" s="43">
        <v>1867.5813554078429</v>
      </c>
      <c r="M648" s="44">
        <v>289.84525458395728</v>
      </c>
      <c r="N648" s="44">
        <v>520.55541412348646</v>
      </c>
      <c r="O648" s="45" t="s">
        <v>5074</v>
      </c>
      <c r="P648" s="46">
        <v>2</v>
      </c>
      <c r="Q648" s="43">
        <v>1867.5813554078429</v>
      </c>
      <c r="R648" s="43">
        <v>1871.0710914813117</v>
      </c>
      <c r="S648" s="47">
        <v>0</v>
      </c>
      <c r="T648" s="48">
        <v>1862.2835550625168</v>
      </c>
      <c r="U648" s="48">
        <v>1871.0710914813117</v>
      </c>
      <c r="V648" s="48">
        <v>1865.1358682130983</v>
      </c>
      <c r="W648" s="48">
        <v>1866.4735112780754</v>
      </c>
    </row>
    <row r="649" spans="1:23" ht="13.2" x14ac:dyDescent="0.25">
      <c r="A649" s="41">
        <v>647</v>
      </c>
      <c r="B649" s="42">
        <v>0.62617341597851994</v>
      </c>
      <c r="C649" s="14" t="s">
        <v>5076</v>
      </c>
      <c r="D649" s="42">
        <v>0.77736759175423886</v>
      </c>
      <c r="E649" s="43">
        <v>42.773675917542391</v>
      </c>
      <c r="F649" s="42">
        <v>0.26280067035127463</v>
      </c>
      <c r="G649" s="43">
        <v>3.1608883083615864</v>
      </c>
      <c r="H649" s="42">
        <v>0.75795240130180142</v>
      </c>
      <c r="I649" s="43">
        <v>0.93966689101173551</v>
      </c>
      <c r="J649" s="42">
        <v>0.19291282687006184</v>
      </c>
      <c r="K649" s="43">
        <v>4.8044288068939407</v>
      </c>
      <c r="L649" s="43">
        <v>1872.3857842147368</v>
      </c>
      <c r="M649" s="44">
        <v>297.70478438609501</v>
      </c>
      <c r="N649" s="44">
        <v>534.67094896927983</v>
      </c>
      <c r="O649" s="45" t="s">
        <v>5074</v>
      </c>
      <c r="P649" s="46">
        <v>1</v>
      </c>
      <c r="Q649" s="43">
        <v>1872.3857842147368</v>
      </c>
      <c r="R649" s="43">
        <v>1875.5466725230983</v>
      </c>
      <c r="S649" s="47">
        <v>0</v>
      </c>
      <c r="T649" s="48">
        <v>1875.5466725230983</v>
      </c>
      <c r="U649" s="48">
        <v>1871.0710914813117</v>
      </c>
      <c r="V649" s="48">
        <v>1865.1358682130983</v>
      </c>
      <c r="W649" s="48">
        <v>1866.4735112780754</v>
      </c>
    </row>
    <row r="650" spans="1:23" ht="13.2" x14ac:dyDescent="0.25">
      <c r="A650" s="41">
        <v>648</v>
      </c>
      <c r="B650" s="42">
        <v>0.695281835596674</v>
      </c>
      <c r="C650" s="14" t="s">
        <v>5079</v>
      </c>
      <c r="D650" s="42">
        <v>0.46953249977414147</v>
      </c>
      <c r="E650" s="43">
        <v>8.4085974993224237</v>
      </c>
      <c r="F650" s="42">
        <v>5.6322498738915892E-2</v>
      </c>
      <c r="G650" s="43">
        <v>1.4461954748612806</v>
      </c>
      <c r="H650" s="42">
        <v>0.67934933988347157</v>
      </c>
      <c r="I650" s="43">
        <v>0.48068835184268199</v>
      </c>
      <c r="J650" s="42">
        <v>0.43210548136015675</v>
      </c>
      <c r="K650" s="43">
        <v>2.4498848196421807</v>
      </c>
      <c r="L650" s="43">
        <v>1874.835669034379</v>
      </c>
      <c r="M650" s="44">
        <v>58.523838595284069</v>
      </c>
      <c r="N650" s="44">
        <v>105.1074687415303</v>
      </c>
      <c r="O650" s="45" t="s">
        <v>5074</v>
      </c>
      <c r="P650" s="46">
        <v>3</v>
      </c>
      <c r="Q650" s="43">
        <v>1874.835669034379</v>
      </c>
      <c r="R650" s="43">
        <v>1876.2818645092402</v>
      </c>
      <c r="S650" s="47">
        <v>0</v>
      </c>
      <c r="T650" s="48">
        <v>1875.5466725230983</v>
      </c>
      <c r="U650" s="48">
        <v>1871.0710914813117</v>
      </c>
      <c r="V650" s="48">
        <v>1876.2818645092402</v>
      </c>
      <c r="W650" s="48">
        <v>1866.4735112780754</v>
      </c>
    </row>
    <row r="651" spans="1:23" ht="13.2" x14ac:dyDescent="0.25">
      <c r="A651" s="41">
        <v>649</v>
      </c>
      <c r="B651" s="42">
        <v>0.84849696087115301</v>
      </c>
      <c r="C651" s="14" t="s">
        <v>5081</v>
      </c>
      <c r="D651" s="42">
        <v>0.87593000190143011</v>
      </c>
      <c r="E651" s="43">
        <v>295.03720007605722</v>
      </c>
      <c r="F651" s="42">
        <v>0.85855092381059706</v>
      </c>
      <c r="G651" s="43">
        <v>9.0399654145724906</v>
      </c>
      <c r="H651" s="42">
        <v>0.94859177989353971</v>
      </c>
      <c r="I651" s="43">
        <v>4.6793499723796668</v>
      </c>
      <c r="J651" s="42">
        <v>0.20456324015025201</v>
      </c>
      <c r="K651" s="43">
        <v>4.6332207547925774</v>
      </c>
      <c r="L651" s="43">
        <v>1879.4688897891715</v>
      </c>
      <c r="M651" s="44">
        <v>2053.4589125293583</v>
      </c>
      <c r="N651" s="44">
        <v>3687.9650009507154</v>
      </c>
      <c r="O651" s="45" t="s">
        <v>5074</v>
      </c>
      <c r="P651" s="46">
        <v>4</v>
      </c>
      <c r="Q651" s="43">
        <v>1879.4688897891715</v>
      </c>
      <c r="R651" s="43">
        <v>1888.5088552037439</v>
      </c>
      <c r="S651" s="47">
        <v>0</v>
      </c>
      <c r="T651" s="48">
        <v>1875.5466725230983</v>
      </c>
      <c r="U651" s="48">
        <v>1871.0710914813117</v>
      </c>
      <c r="V651" s="48">
        <v>1876.2818645092402</v>
      </c>
      <c r="W651" s="48">
        <v>1888.5088552037439</v>
      </c>
    </row>
    <row r="652" spans="1:23" ht="13.2" x14ac:dyDescent="0.25">
      <c r="A652" s="41">
        <v>650</v>
      </c>
      <c r="B652" s="42">
        <v>9.9447044124569298E-2</v>
      </c>
      <c r="C652" s="14" t="s">
        <v>5073</v>
      </c>
      <c r="D652" s="42">
        <v>0.56325739462080293</v>
      </c>
      <c r="E652" s="43">
        <v>347.59088735449632</v>
      </c>
      <c r="F652" s="42">
        <v>0.48691713786074758</v>
      </c>
      <c r="G652" s="43">
        <v>9.9040506415041403</v>
      </c>
      <c r="H652" s="42">
        <v>0.22103360678117426</v>
      </c>
      <c r="I652" s="43">
        <v>3.0758041421974678</v>
      </c>
      <c r="J652" s="42">
        <v>0.43646337997003615</v>
      </c>
      <c r="K652" s="43">
        <v>2.4205862829394089</v>
      </c>
      <c r="L652" s="43">
        <v>1881.8894760721109</v>
      </c>
      <c r="M652" s="44">
        <v>2419.2325759872942</v>
      </c>
      <c r="N652" s="44">
        <v>4344.8860919312037</v>
      </c>
      <c r="O652" s="45" t="s">
        <v>5074</v>
      </c>
      <c r="P652" s="46">
        <v>2</v>
      </c>
      <c r="Q652" s="43">
        <v>1881.8894760721109</v>
      </c>
      <c r="R652" s="43">
        <v>1891.7935267136152</v>
      </c>
      <c r="S652" s="47">
        <v>0</v>
      </c>
      <c r="T652" s="48">
        <v>1875.5466725230983</v>
      </c>
      <c r="U652" s="48">
        <v>1891.7935267136152</v>
      </c>
      <c r="V652" s="48">
        <v>1876.2818645092402</v>
      </c>
      <c r="W652" s="48">
        <v>1888.5088552037439</v>
      </c>
    </row>
    <row r="653" spans="1:23" ht="13.2" x14ac:dyDescent="0.25">
      <c r="A653" s="41">
        <v>651</v>
      </c>
      <c r="B653" s="42">
        <v>0.67968057034522322</v>
      </c>
      <c r="C653" s="14" t="s">
        <v>5079</v>
      </c>
      <c r="D653" s="42">
        <v>0.77348982858168414</v>
      </c>
      <c r="E653" s="43">
        <v>9.3204694857450523</v>
      </c>
      <c r="F653" s="42">
        <v>0.62905587378379701</v>
      </c>
      <c r="G653" s="43">
        <v>1.5091961461162178</v>
      </c>
      <c r="H653" s="42">
        <v>0.70044592055512866</v>
      </c>
      <c r="I653" s="43">
        <v>0.48802568099712951</v>
      </c>
      <c r="J653" s="42">
        <v>0.21804797147309779</v>
      </c>
      <c r="K653" s="43">
        <v>4.4468326650282846</v>
      </c>
      <c r="L653" s="43">
        <v>1886.3363087371392</v>
      </c>
      <c r="M653" s="44">
        <v>64.870467620785561</v>
      </c>
      <c r="N653" s="44">
        <v>116.50586857181315</v>
      </c>
      <c r="O653" s="45" t="s">
        <v>5074</v>
      </c>
      <c r="P653" s="46">
        <v>1</v>
      </c>
      <c r="Q653" s="43">
        <v>1886.3363087371392</v>
      </c>
      <c r="R653" s="43">
        <v>1887.8455048832554</v>
      </c>
      <c r="S653" s="47">
        <v>0</v>
      </c>
      <c r="T653" s="48">
        <v>1887.8455048832554</v>
      </c>
      <c r="U653" s="48">
        <v>1891.7935267136152</v>
      </c>
      <c r="V653" s="48">
        <v>1876.2818645092402</v>
      </c>
      <c r="W653" s="48">
        <v>1888.5088552037439</v>
      </c>
    </row>
    <row r="654" spans="1:23" ht="13.2" x14ac:dyDescent="0.25">
      <c r="A654" s="41">
        <v>652</v>
      </c>
      <c r="B654" s="42">
        <v>0.77185220400423382</v>
      </c>
      <c r="C654" s="14" t="s">
        <v>5078</v>
      </c>
      <c r="D654" s="42">
        <v>0.76200609317142798</v>
      </c>
      <c r="E654" s="43">
        <v>200.48024372685711</v>
      </c>
      <c r="F654" s="42">
        <v>0.66437211710231947</v>
      </c>
      <c r="G654" s="43">
        <v>6.0245786265631107</v>
      </c>
      <c r="H654" s="42">
        <v>0.47035568415669521</v>
      </c>
      <c r="I654" s="43">
        <v>3.0906859170460286</v>
      </c>
      <c r="J654" s="42">
        <v>0.26730686904271456</v>
      </c>
      <c r="K654" s="43">
        <v>3.852140024203587</v>
      </c>
      <c r="L654" s="43">
        <v>1890.1884487613429</v>
      </c>
      <c r="M654" s="44">
        <v>1395.3424963389255</v>
      </c>
      <c r="N654" s="44">
        <v>2506.0030465857139</v>
      </c>
      <c r="O654" s="45" t="s">
        <v>5074</v>
      </c>
      <c r="P654" s="46">
        <v>3</v>
      </c>
      <c r="Q654" s="43">
        <v>1890.1884487613429</v>
      </c>
      <c r="R654" s="43">
        <v>1896.2130273879061</v>
      </c>
      <c r="S654" s="47">
        <v>0</v>
      </c>
      <c r="T654" s="48">
        <v>1887.8455048832554</v>
      </c>
      <c r="U654" s="48">
        <v>1891.7935267136152</v>
      </c>
      <c r="V654" s="48">
        <v>1896.2130273879061</v>
      </c>
      <c r="W654" s="48">
        <v>1888.5088552037439</v>
      </c>
    </row>
    <row r="655" spans="1:23" ht="13.2" x14ac:dyDescent="0.25">
      <c r="A655" s="41">
        <v>653</v>
      </c>
      <c r="B655" s="42">
        <v>0.43832927031364721</v>
      </c>
      <c r="C655" s="14" t="s">
        <v>5077</v>
      </c>
      <c r="D655" s="42">
        <v>0.50080476957410791</v>
      </c>
      <c r="E655" s="43">
        <v>44.507242926166974</v>
      </c>
      <c r="F655" s="42">
        <v>0.53121128796190553</v>
      </c>
      <c r="G655" s="43">
        <v>3.3749814182217146</v>
      </c>
      <c r="H655" s="42">
        <v>0.94123073664551171</v>
      </c>
      <c r="I655" s="43">
        <v>1.5373772202011056</v>
      </c>
      <c r="J655" s="42">
        <v>0.56405081626216458</v>
      </c>
      <c r="K655" s="43">
        <v>1.6718567351451281</v>
      </c>
      <c r="L655" s="43">
        <v>1891.8603054964881</v>
      </c>
      <c r="M655" s="44">
        <v>309.77041076612215</v>
      </c>
      <c r="N655" s="44">
        <v>556.34053657708716</v>
      </c>
      <c r="O655" s="45" t="s">
        <v>5074</v>
      </c>
      <c r="P655" s="46">
        <v>1</v>
      </c>
      <c r="Q655" s="43">
        <v>1891.8603054964881</v>
      </c>
      <c r="R655" s="43">
        <v>1895.2352869147098</v>
      </c>
      <c r="S655" s="47">
        <v>0</v>
      </c>
      <c r="T655" s="48">
        <v>1895.2352869147098</v>
      </c>
      <c r="U655" s="48">
        <v>1891.7935267136152</v>
      </c>
      <c r="V655" s="48">
        <v>1896.2130273879061</v>
      </c>
      <c r="W655" s="48">
        <v>1888.5088552037439</v>
      </c>
    </row>
    <row r="656" spans="1:23" ht="13.2" x14ac:dyDescent="0.25">
      <c r="A656" s="41">
        <v>654</v>
      </c>
      <c r="B656" s="42">
        <v>0.15707472532851377</v>
      </c>
      <c r="C656" s="14" t="s">
        <v>5073</v>
      </c>
      <c r="D656" s="42">
        <v>0.27931339027328111</v>
      </c>
      <c r="E656" s="43">
        <v>313.51760683279372</v>
      </c>
      <c r="F656" s="42">
        <v>0.59308057911371836</v>
      </c>
      <c r="G656" s="43">
        <v>10.236342212625939</v>
      </c>
      <c r="H656" s="42">
        <v>0.92308520801509042</v>
      </c>
      <c r="I656" s="43">
        <v>3.7598207044962404</v>
      </c>
      <c r="J656" s="42">
        <v>0.8780072642853517</v>
      </c>
      <c r="K656" s="43">
        <v>0.37985521666489269</v>
      </c>
      <c r="L656" s="43">
        <v>1892.240160713153</v>
      </c>
      <c r="M656" s="44">
        <v>2182.0825435562442</v>
      </c>
      <c r="N656" s="44">
        <v>3918.9700854099215</v>
      </c>
      <c r="O656" s="45" t="s">
        <v>5074</v>
      </c>
      <c r="P656" s="46">
        <v>4</v>
      </c>
      <c r="Q656" s="43">
        <v>1892.240160713153</v>
      </c>
      <c r="R656" s="43">
        <v>1902.476502925779</v>
      </c>
      <c r="S656" s="47">
        <v>0</v>
      </c>
      <c r="T656" s="48">
        <v>1895.2352869147098</v>
      </c>
      <c r="U656" s="48">
        <v>1891.7935267136152</v>
      </c>
      <c r="V656" s="48">
        <v>1896.2130273879061</v>
      </c>
      <c r="W656" s="48">
        <v>1902.476502925779</v>
      </c>
    </row>
    <row r="657" spans="1:23" ht="13.2" x14ac:dyDescent="0.25">
      <c r="A657" s="41">
        <v>655</v>
      </c>
      <c r="B657" s="42">
        <v>0.51372052101125965</v>
      </c>
      <c r="C657" s="14" t="s">
        <v>5076</v>
      </c>
      <c r="D657" s="42">
        <v>0.12237221287673908</v>
      </c>
      <c r="E657" s="43">
        <v>36.223722128767392</v>
      </c>
      <c r="F657" s="42">
        <v>7.9774600025161443E-2</v>
      </c>
      <c r="G657" s="43">
        <v>3.0766963160115743</v>
      </c>
      <c r="H657" s="42">
        <v>0.28824282776948196</v>
      </c>
      <c r="I657" s="43">
        <v>0.74603047338000883</v>
      </c>
      <c r="J657" s="42">
        <v>0.86502894287231791</v>
      </c>
      <c r="K657" s="43">
        <v>0.42333521939279528</v>
      </c>
      <c r="L657" s="43">
        <v>1892.6634959325459</v>
      </c>
      <c r="M657" s="44">
        <v>252.11710601622104</v>
      </c>
      <c r="N657" s="44">
        <v>452.79652660959238</v>
      </c>
      <c r="O657" s="45" t="s">
        <v>5074</v>
      </c>
      <c r="P657" s="46">
        <v>2</v>
      </c>
      <c r="Q657" s="43">
        <v>1892.6634959325459</v>
      </c>
      <c r="R657" s="43">
        <v>1895.7401922485574</v>
      </c>
      <c r="S657" s="47">
        <v>0</v>
      </c>
      <c r="T657" s="48">
        <v>1895.2352869147098</v>
      </c>
      <c r="U657" s="48">
        <v>1895.7401922485574</v>
      </c>
      <c r="V657" s="48">
        <v>1896.2130273879061</v>
      </c>
      <c r="W657" s="48">
        <v>1902.476502925779</v>
      </c>
    </row>
    <row r="658" spans="1:23" ht="13.2" x14ac:dyDescent="0.25">
      <c r="A658" s="41">
        <v>656</v>
      </c>
      <c r="B658" s="42">
        <v>0.77327049093938927</v>
      </c>
      <c r="C658" s="14" t="s">
        <v>5078</v>
      </c>
      <c r="D658" s="42">
        <v>0.53606683273616562</v>
      </c>
      <c r="E658" s="43">
        <v>191.44267330944663</v>
      </c>
      <c r="F658" s="42">
        <v>0.11689611203823989</v>
      </c>
      <c r="G658" s="43">
        <v>5.5263754619547987</v>
      </c>
      <c r="H658" s="42">
        <v>0.9730263971598011</v>
      </c>
      <c r="I658" s="43">
        <v>4.1819575332589283</v>
      </c>
      <c r="J658" s="42">
        <v>0.2358683637510372</v>
      </c>
      <c r="K658" s="43">
        <v>4.2174639716496474</v>
      </c>
      <c r="L658" s="43">
        <v>1896.8809599041956</v>
      </c>
      <c r="M658" s="44">
        <v>1332.4410062337486</v>
      </c>
      <c r="N658" s="44">
        <v>2393.0334163680827</v>
      </c>
      <c r="O658" s="45" t="s">
        <v>5074</v>
      </c>
      <c r="P658" s="46">
        <v>1</v>
      </c>
      <c r="Q658" s="43">
        <v>1896.8809599041956</v>
      </c>
      <c r="R658" s="43">
        <v>1902.4073353661504</v>
      </c>
      <c r="S658" s="47">
        <v>0</v>
      </c>
      <c r="T658" s="48">
        <v>1902.4073353661504</v>
      </c>
      <c r="U658" s="48">
        <v>1895.7401922485574</v>
      </c>
      <c r="V658" s="48">
        <v>1896.2130273879061</v>
      </c>
      <c r="W658" s="48">
        <v>1902.476502925779</v>
      </c>
    </row>
    <row r="659" spans="1:23" ht="13.2" x14ac:dyDescent="0.25">
      <c r="A659" s="41">
        <v>657</v>
      </c>
      <c r="B659" s="42">
        <v>0.26030864113024837</v>
      </c>
      <c r="C659" s="14" t="s">
        <v>5077</v>
      </c>
      <c r="D659" s="42">
        <v>0.71301327259885761</v>
      </c>
      <c r="E659" s="43">
        <v>46.417119453389716</v>
      </c>
      <c r="F659" s="42">
        <v>0.88970855944310712</v>
      </c>
      <c r="G659" s="43">
        <v>3.5470601085326914</v>
      </c>
      <c r="H659" s="42">
        <v>0.6120429838132313</v>
      </c>
      <c r="I659" s="43">
        <v>1.2821714977600907</v>
      </c>
      <c r="J659" s="42">
        <v>0.31976766480122121</v>
      </c>
      <c r="K659" s="43">
        <v>3.3289360419990626</v>
      </c>
      <c r="L659" s="43">
        <v>1900.2098959461946</v>
      </c>
      <c r="M659" s="44">
        <v>323.0631513955924</v>
      </c>
      <c r="N659" s="44">
        <v>580.21399316737143</v>
      </c>
      <c r="O659" s="45" t="s">
        <v>5074</v>
      </c>
      <c r="P659" s="46">
        <v>2</v>
      </c>
      <c r="Q659" s="43">
        <v>1900.2098959461946</v>
      </c>
      <c r="R659" s="43">
        <v>1903.7569560547272</v>
      </c>
      <c r="S659" s="47">
        <v>0</v>
      </c>
      <c r="T659" s="48">
        <v>1902.4073353661504</v>
      </c>
      <c r="U659" s="48">
        <v>1903.7569560547272</v>
      </c>
      <c r="V659" s="48">
        <v>1896.2130273879061</v>
      </c>
      <c r="W659" s="48">
        <v>1902.476502925779</v>
      </c>
    </row>
    <row r="660" spans="1:23" ht="13.2" x14ac:dyDescent="0.25">
      <c r="A660" s="41">
        <v>658</v>
      </c>
      <c r="B660" s="42">
        <v>0.74438919860142716</v>
      </c>
      <c r="C660" s="14" t="s">
        <v>5079</v>
      </c>
      <c r="D660" s="42">
        <v>0.90293798637713207</v>
      </c>
      <c r="E660" s="43">
        <v>9.7088139591313958</v>
      </c>
      <c r="F660" s="42">
        <v>0.32391034174892602</v>
      </c>
      <c r="G660" s="43">
        <v>1.4756301375923819</v>
      </c>
      <c r="H660" s="42">
        <v>0.33373557698621209</v>
      </c>
      <c r="I660" s="43">
        <v>0.38268431158318222</v>
      </c>
      <c r="J660" s="42">
        <v>0.6834189205818898</v>
      </c>
      <c r="K660" s="43">
        <v>1.1113788430039102</v>
      </c>
      <c r="L660" s="43">
        <v>1901.3212747891985</v>
      </c>
      <c r="M660" s="44">
        <v>67.57334515555452</v>
      </c>
      <c r="N660" s="44">
        <v>121.36017448914245</v>
      </c>
      <c r="O660" s="45" t="s">
        <v>5074</v>
      </c>
      <c r="P660" s="46">
        <v>3</v>
      </c>
      <c r="Q660" s="43">
        <v>1901.3212747891985</v>
      </c>
      <c r="R660" s="43">
        <v>1902.7969049267908</v>
      </c>
      <c r="S660" s="47">
        <v>0</v>
      </c>
      <c r="T660" s="48">
        <v>1902.4073353661504</v>
      </c>
      <c r="U660" s="48">
        <v>1903.7569560547272</v>
      </c>
      <c r="V660" s="48">
        <v>1902.7969049267908</v>
      </c>
      <c r="W660" s="48">
        <v>1902.476502925779</v>
      </c>
    </row>
    <row r="661" spans="1:23" ht="13.2" x14ac:dyDescent="0.25">
      <c r="A661" s="41">
        <v>659</v>
      </c>
      <c r="B661" s="42">
        <v>0.35091751597398774</v>
      </c>
      <c r="C661" s="14" t="s">
        <v>5077</v>
      </c>
      <c r="D661" s="42">
        <v>0.45041254789122032</v>
      </c>
      <c r="E661" s="43">
        <v>44.053712931020982</v>
      </c>
      <c r="F661" s="42">
        <v>0.41841457943358207</v>
      </c>
      <c r="G661" s="43">
        <v>3.3208389981281194</v>
      </c>
      <c r="H661" s="42">
        <v>0.99996762908993642</v>
      </c>
      <c r="I661" s="43">
        <v>1.6961833379074625</v>
      </c>
      <c r="J661" s="42">
        <v>0.58994687236377363</v>
      </c>
      <c r="K661" s="43">
        <v>1.5407964758478647</v>
      </c>
      <c r="L661" s="43">
        <v>1902.8620712650463</v>
      </c>
      <c r="M661" s="44">
        <v>306.61384199990601</v>
      </c>
      <c r="N661" s="44">
        <v>550.67141163776228</v>
      </c>
      <c r="O661" s="45" t="s">
        <v>5074</v>
      </c>
      <c r="P661" s="46">
        <v>1</v>
      </c>
      <c r="Q661" s="43">
        <v>1902.8620712650463</v>
      </c>
      <c r="R661" s="43">
        <v>1906.1829102631743</v>
      </c>
      <c r="S661" s="47">
        <v>0</v>
      </c>
      <c r="T661" s="48">
        <v>1906.1829102631743</v>
      </c>
      <c r="U661" s="48">
        <v>1903.7569560547272</v>
      </c>
      <c r="V661" s="48">
        <v>1902.7969049267908</v>
      </c>
      <c r="W661" s="48">
        <v>1902.476502925779</v>
      </c>
    </row>
    <row r="662" spans="1:23" ht="13.2" x14ac:dyDescent="0.25">
      <c r="A662" s="41">
        <v>660</v>
      </c>
      <c r="B662" s="42">
        <v>0.7898572561283862</v>
      </c>
      <c r="C662" s="14" t="s">
        <v>5078</v>
      </c>
      <c r="D662" s="42">
        <v>0.62139304802817896</v>
      </c>
      <c r="E662" s="43">
        <v>194.85572192112716</v>
      </c>
      <c r="F662" s="42">
        <v>0.73540505056055494</v>
      </c>
      <c r="G662" s="43">
        <v>6.0892185960101051</v>
      </c>
      <c r="H662" s="42">
        <v>0.56392025368470711</v>
      </c>
      <c r="I662" s="43">
        <v>3.2212118828037428</v>
      </c>
      <c r="J662" s="42">
        <v>0.83240048300121006</v>
      </c>
      <c r="K662" s="43">
        <v>0.53559592470508754</v>
      </c>
      <c r="L662" s="43">
        <v>1903.3976671897515</v>
      </c>
      <c r="M662" s="44">
        <v>1356.195824571045</v>
      </c>
      <c r="N662" s="44">
        <v>2435.6965240140894</v>
      </c>
      <c r="O662" s="45" t="s">
        <v>5074</v>
      </c>
      <c r="P662" s="46">
        <v>4</v>
      </c>
      <c r="Q662" s="43">
        <v>1903.3976671897515</v>
      </c>
      <c r="R662" s="43">
        <v>1909.4868857857616</v>
      </c>
      <c r="S662" s="47">
        <v>0</v>
      </c>
      <c r="T662" s="48">
        <v>1906.1829102631743</v>
      </c>
      <c r="U662" s="48">
        <v>1903.7569560547272</v>
      </c>
      <c r="V662" s="48">
        <v>1902.7969049267908</v>
      </c>
      <c r="W662" s="48">
        <v>1909.4868857857616</v>
      </c>
    </row>
    <row r="663" spans="1:23" ht="13.2" x14ac:dyDescent="0.25">
      <c r="A663" s="41">
        <v>661</v>
      </c>
      <c r="B663" s="42">
        <v>0.88610353501797823</v>
      </c>
      <c r="C663" s="14" t="s">
        <v>5075</v>
      </c>
      <c r="D663" s="42">
        <v>0.95876174604462538</v>
      </c>
      <c r="E663" s="43">
        <v>347.11332222312376</v>
      </c>
      <c r="F663" s="42">
        <v>0.36747087601920164</v>
      </c>
      <c r="G663" s="43">
        <v>9.0812670432782117</v>
      </c>
      <c r="H663" s="42">
        <v>0.93204180753419263</v>
      </c>
      <c r="I663" s="43">
        <v>3.1313316057327198</v>
      </c>
      <c r="J663" s="42">
        <v>0.36182179784487084</v>
      </c>
      <c r="K663" s="43">
        <v>2.9681852832360627</v>
      </c>
      <c r="L663" s="43">
        <v>1906.3658524729876</v>
      </c>
      <c r="M663" s="44">
        <v>2415.9087226729412</v>
      </c>
      <c r="N663" s="44">
        <v>4338.916527789047</v>
      </c>
      <c r="O663" s="45" t="s">
        <v>5074</v>
      </c>
      <c r="P663" s="46">
        <v>3</v>
      </c>
      <c r="Q663" s="43">
        <v>1906.3658524729876</v>
      </c>
      <c r="R663" s="43">
        <v>1915.4471195162657</v>
      </c>
      <c r="S663" s="47">
        <v>0</v>
      </c>
      <c r="T663" s="48">
        <v>1906.1829102631743</v>
      </c>
      <c r="U663" s="48">
        <v>1903.7569560547272</v>
      </c>
      <c r="V663" s="48">
        <v>1915.4471195162657</v>
      </c>
      <c r="W663" s="48">
        <v>1909.4868857857616</v>
      </c>
    </row>
    <row r="664" spans="1:23" ht="13.2" x14ac:dyDescent="0.25">
      <c r="A664" s="41">
        <v>662</v>
      </c>
      <c r="B664" s="42">
        <v>0.90019367956565399</v>
      </c>
      <c r="C664" s="14" t="s">
        <v>5075</v>
      </c>
      <c r="D664" s="42">
        <v>0.35661496611154403</v>
      </c>
      <c r="E664" s="43">
        <v>304.96304762780807</v>
      </c>
      <c r="F664" s="42">
        <v>0.99860276374900847</v>
      </c>
      <c r="G664" s="43">
        <v>10.337219499860527</v>
      </c>
      <c r="H664" s="42">
        <v>0.73746526415341784</v>
      </c>
      <c r="I664" s="43">
        <v>2.7753832242535617</v>
      </c>
      <c r="J664" s="42">
        <v>0.8409509136532205</v>
      </c>
      <c r="K664" s="43">
        <v>0.505757627315642</v>
      </c>
      <c r="L664" s="43">
        <v>1906.8716101003033</v>
      </c>
      <c r="M664" s="44">
        <v>2122.542811489544</v>
      </c>
      <c r="N664" s="44">
        <v>3812.038095347601</v>
      </c>
      <c r="O664" s="45" t="s">
        <v>5074</v>
      </c>
      <c r="P664" s="46">
        <v>2</v>
      </c>
      <c r="Q664" s="43">
        <v>1906.8716101003033</v>
      </c>
      <c r="R664" s="43">
        <v>1917.2088296001639</v>
      </c>
      <c r="S664" s="47">
        <v>0</v>
      </c>
      <c r="T664" s="48">
        <v>1906.1829102631743</v>
      </c>
      <c r="U664" s="48">
        <v>1917.2088296001639</v>
      </c>
      <c r="V664" s="48">
        <v>1915.4471195162657</v>
      </c>
      <c r="W664" s="48">
        <v>1909.4868857857616</v>
      </c>
    </row>
    <row r="665" spans="1:23" ht="13.2" x14ac:dyDescent="0.25">
      <c r="A665" s="41">
        <v>663</v>
      </c>
      <c r="B665" s="42">
        <v>0.29168457272075332</v>
      </c>
      <c r="C665" s="14" t="s">
        <v>5077</v>
      </c>
      <c r="D665" s="42">
        <v>0.73554395778828485</v>
      </c>
      <c r="E665" s="43">
        <v>46.619895620094567</v>
      </c>
      <c r="F665" s="42">
        <v>0.77847349074598093</v>
      </c>
      <c r="G665" s="43">
        <v>3.4936672755580709</v>
      </c>
      <c r="H665" s="42">
        <v>5.9319899910744232E-2</v>
      </c>
      <c r="I665" s="43">
        <v>0.94613406162790359</v>
      </c>
      <c r="J665" s="42">
        <v>0.92853487745324848</v>
      </c>
      <c r="K665" s="43">
        <v>0.21648857130251228</v>
      </c>
      <c r="L665" s="43">
        <v>1907.0880986716058</v>
      </c>
      <c r="M665" s="44">
        <v>324.47447351585816</v>
      </c>
      <c r="N665" s="44">
        <v>582.74869525118208</v>
      </c>
      <c r="O665" s="45" t="s">
        <v>5074</v>
      </c>
      <c r="P665" s="46">
        <v>1</v>
      </c>
      <c r="Q665" s="43">
        <v>1907.0880986716058</v>
      </c>
      <c r="R665" s="43">
        <v>1910.5817659471638</v>
      </c>
      <c r="S665" s="47">
        <v>0</v>
      </c>
      <c r="T665" s="48">
        <v>1910.5817659471638</v>
      </c>
      <c r="U665" s="48">
        <v>1917.2088296001639</v>
      </c>
      <c r="V665" s="48">
        <v>1915.4471195162657</v>
      </c>
      <c r="W665" s="48">
        <v>1909.4868857857616</v>
      </c>
    </row>
    <row r="666" spans="1:23" ht="13.2" x14ac:dyDescent="0.25">
      <c r="A666" s="41">
        <v>664</v>
      </c>
      <c r="B666" s="42">
        <v>0.98902881424363187</v>
      </c>
      <c r="C666" s="14" t="s">
        <v>5080</v>
      </c>
      <c r="D666" s="42">
        <v>0.65916482715828573</v>
      </c>
      <c r="E666" s="43">
        <v>101.47912067895714</v>
      </c>
      <c r="F666" s="42">
        <v>0.80606159139706823</v>
      </c>
      <c r="G666" s="43">
        <v>4.6452732593544166</v>
      </c>
      <c r="H666" s="42">
        <v>0.14255615097589611</v>
      </c>
      <c r="I666" s="43">
        <v>1.653079305867406</v>
      </c>
      <c r="J666" s="42">
        <v>0.74933909939105581</v>
      </c>
      <c r="K666" s="43">
        <v>0.84252164014417918</v>
      </c>
      <c r="L666" s="43">
        <v>1907.9306203117501</v>
      </c>
      <c r="M666" s="44">
        <v>708.86731017506611</v>
      </c>
      <c r="N666" s="44">
        <v>1268.4890084869644</v>
      </c>
      <c r="O666" s="45" t="s">
        <v>5074</v>
      </c>
      <c r="P666" s="46">
        <v>4</v>
      </c>
      <c r="Q666" s="43">
        <v>1909.4868857857616</v>
      </c>
      <c r="R666" s="43">
        <v>1914.1321590451159</v>
      </c>
      <c r="S666" s="43">
        <v>1.5562654740115249</v>
      </c>
      <c r="T666" s="48">
        <v>1910.5817659471638</v>
      </c>
      <c r="U666" s="48">
        <v>1917.2088296001639</v>
      </c>
      <c r="V666" s="48">
        <v>1915.4471195162657</v>
      </c>
      <c r="W666" s="48">
        <v>1914.1321590451159</v>
      </c>
    </row>
    <row r="667" spans="1:23" ht="13.2" x14ac:dyDescent="0.25">
      <c r="A667" s="41">
        <v>665</v>
      </c>
      <c r="B667" s="42">
        <v>0.13654984307314727</v>
      </c>
      <c r="C667" s="14" t="s">
        <v>5073</v>
      </c>
      <c r="D667" s="42">
        <v>9.9677276378347196E-2</v>
      </c>
      <c r="E667" s="43">
        <v>291.96127316540168</v>
      </c>
      <c r="F667" s="42">
        <v>0.79059961428428049</v>
      </c>
      <c r="G667" s="43">
        <v>10.854576792709798</v>
      </c>
      <c r="H667" s="42">
        <v>0.29510248792129684</v>
      </c>
      <c r="I667" s="43">
        <v>3.1653222767065188</v>
      </c>
      <c r="J667" s="42">
        <v>0.94084314254151802</v>
      </c>
      <c r="K667" s="43">
        <v>0.17804042509754131</v>
      </c>
      <c r="L667" s="43">
        <v>1908.1086607368477</v>
      </c>
      <c r="M667" s="44">
        <v>2039.8786362460482</v>
      </c>
      <c r="N667" s="44">
        <v>3649.5159145675211</v>
      </c>
      <c r="O667" s="45" t="s">
        <v>5074</v>
      </c>
      <c r="P667" s="46">
        <v>1</v>
      </c>
      <c r="Q667" s="43">
        <v>1910.5817659471638</v>
      </c>
      <c r="R667" s="43">
        <v>1921.4363427398737</v>
      </c>
      <c r="S667" s="43">
        <v>2.4731052103161346</v>
      </c>
      <c r="T667" s="48">
        <v>1921.4363427398737</v>
      </c>
      <c r="U667" s="48">
        <v>1917.2088296001639</v>
      </c>
      <c r="V667" s="48">
        <v>1915.4471195162657</v>
      </c>
      <c r="W667" s="48">
        <v>1914.1321590451159</v>
      </c>
    </row>
    <row r="668" spans="1:23" ht="13.2" x14ac:dyDescent="0.25">
      <c r="A668" s="41">
        <v>666</v>
      </c>
      <c r="B668" s="42">
        <v>0.40397486621699058</v>
      </c>
      <c r="C668" s="14" t="s">
        <v>5077</v>
      </c>
      <c r="D668" s="42">
        <v>0.73632578213528066</v>
      </c>
      <c r="E668" s="43">
        <v>46.626932039217529</v>
      </c>
      <c r="F668" s="42">
        <v>0.1446446739810727</v>
      </c>
      <c r="G668" s="43">
        <v>3.1894294435109152</v>
      </c>
      <c r="H668" s="42">
        <v>0.14809429093640963</v>
      </c>
      <c r="I668" s="43">
        <v>1.0308981263178796</v>
      </c>
      <c r="J668" s="42">
        <v>0.1217568731502429</v>
      </c>
      <c r="K668" s="43">
        <v>6.1481140602436186</v>
      </c>
      <c r="L668" s="43">
        <v>1914.2567747970913</v>
      </c>
      <c r="M668" s="44">
        <v>324.52344699295401</v>
      </c>
      <c r="N668" s="44">
        <v>582.83665049021909</v>
      </c>
      <c r="O668" s="45" t="s">
        <v>5074</v>
      </c>
      <c r="P668" s="46">
        <v>4</v>
      </c>
      <c r="Q668" s="43">
        <v>1914.2567747970913</v>
      </c>
      <c r="R668" s="43">
        <v>1917.4462042406024</v>
      </c>
      <c r="S668" s="47">
        <v>0</v>
      </c>
      <c r="T668" s="48">
        <v>1921.4363427398737</v>
      </c>
      <c r="U668" s="48">
        <v>1917.2088296001639</v>
      </c>
      <c r="V668" s="48">
        <v>1915.4471195162657</v>
      </c>
      <c r="W668" s="48">
        <v>1917.4462042406024</v>
      </c>
    </row>
    <row r="669" spans="1:23" ht="13.2" x14ac:dyDescent="0.25">
      <c r="A669" s="41">
        <v>667</v>
      </c>
      <c r="B669" s="42">
        <v>0.83141635397049429</v>
      </c>
      <c r="C669" s="14" t="s">
        <v>5081</v>
      </c>
      <c r="D669" s="42">
        <v>0.77872868291043151</v>
      </c>
      <c r="E669" s="43">
        <v>291.14914731641727</v>
      </c>
      <c r="F669" s="42">
        <v>0.83305743189205295</v>
      </c>
      <c r="G669" s="43">
        <v>9.0147268575731321</v>
      </c>
      <c r="H669" s="42">
        <v>0.39395606536136757</v>
      </c>
      <c r="I669" s="43">
        <v>3.8876441464476263</v>
      </c>
      <c r="J669" s="42">
        <v>0.19183157626159097</v>
      </c>
      <c r="K669" s="43">
        <v>4.8208394128362633</v>
      </c>
      <c r="L669" s="43">
        <v>1919.0776142099276</v>
      </c>
      <c r="M669" s="44">
        <v>2026.3980653222643</v>
      </c>
      <c r="N669" s="44">
        <v>3639.3643414552157</v>
      </c>
      <c r="O669" s="45" t="s">
        <v>5074</v>
      </c>
      <c r="P669" s="46">
        <v>3</v>
      </c>
      <c r="Q669" s="43">
        <v>1919.0776142099276</v>
      </c>
      <c r="R669" s="43">
        <v>1928.0923410675007</v>
      </c>
      <c r="S669" s="47">
        <v>0</v>
      </c>
      <c r="T669" s="48">
        <v>1921.4363427398737</v>
      </c>
      <c r="U669" s="48">
        <v>1917.2088296001639</v>
      </c>
      <c r="V669" s="48">
        <v>1928.0923410675007</v>
      </c>
      <c r="W669" s="48">
        <v>1917.4462042406024</v>
      </c>
    </row>
    <row r="670" spans="1:23" ht="13.2" x14ac:dyDescent="0.25">
      <c r="A670" s="41">
        <v>668</v>
      </c>
      <c r="B670" s="42">
        <v>0.92661277061636227</v>
      </c>
      <c r="C670" s="14" t="s">
        <v>5075</v>
      </c>
      <c r="D670" s="42">
        <v>0.59414614625002549</v>
      </c>
      <c r="E670" s="43">
        <v>321.59023023750177</v>
      </c>
      <c r="F670" s="42">
        <v>0.58622276949986019</v>
      </c>
      <c r="G670" s="43">
        <v>9.5165833113047213</v>
      </c>
      <c r="H670" s="42">
        <v>0.92753770059325624</v>
      </c>
      <c r="I670" s="43">
        <v>3.1193103641895572</v>
      </c>
      <c r="J670" s="42">
        <v>0.16321593577191976</v>
      </c>
      <c r="K670" s="43">
        <v>5.2924998410449184</v>
      </c>
      <c r="L670" s="43">
        <v>1924.3701140509725</v>
      </c>
      <c r="M670" s="44">
        <v>2238.2680024530123</v>
      </c>
      <c r="N670" s="44">
        <v>4019.8778779687723</v>
      </c>
      <c r="O670" s="45" t="s">
        <v>5074</v>
      </c>
      <c r="P670" s="46">
        <v>2</v>
      </c>
      <c r="Q670" s="43">
        <v>1924.3701140509725</v>
      </c>
      <c r="R670" s="43">
        <v>1933.8866973622771</v>
      </c>
      <c r="S670" s="47">
        <v>0</v>
      </c>
      <c r="T670" s="48">
        <v>1921.4363427398737</v>
      </c>
      <c r="U670" s="48">
        <v>1933.8866973622771</v>
      </c>
      <c r="V670" s="48">
        <v>1928.0923410675007</v>
      </c>
      <c r="W670" s="48">
        <v>1917.4462042406024</v>
      </c>
    </row>
    <row r="671" spans="1:23" ht="13.2" x14ac:dyDescent="0.25">
      <c r="A671" s="41">
        <v>669</v>
      </c>
      <c r="B671" s="42">
        <v>0.47762670064234486</v>
      </c>
      <c r="C671" s="14" t="s">
        <v>5077</v>
      </c>
      <c r="D671" s="42">
        <v>5.6022645000378901E-2</v>
      </c>
      <c r="E671" s="43">
        <v>40.504203805003414</v>
      </c>
      <c r="F671" s="42">
        <v>0.56530520159998221</v>
      </c>
      <c r="G671" s="43">
        <v>3.3913464967679916</v>
      </c>
      <c r="H671" s="42">
        <v>0.11282915627249943</v>
      </c>
      <c r="I671" s="43">
        <v>1.0015403092636801</v>
      </c>
      <c r="J671" s="42">
        <v>0.42348042802115921</v>
      </c>
      <c r="K671" s="43">
        <v>2.5087532285665293</v>
      </c>
      <c r="L671" s="43">
        <v>1926.878867279539</v>
      </c>
      <c r="M671" s="44">
        <v>281.90925848282376</v>
      </c>
      <c r="N671" s="44">
        <v>506.30254756254266</v>
      </c>
      <c r="O671" s="45" t="s">
        <v>5074</v>
      </c>
      <c r="P671" s="46">
        <v>4</v>
      </c>
      <c r="Q671" s="43">
        <v>1926.878867279539</v>
      </c>
      <c r="R671" s="43">
        <v>1930.2702137763069</v>
      </c>
      <c r="S671" s="47">
        <v>0</v>
      </c>
      <c r="T671" s="48">
        <v>1921.4363427398737</v>
      </c>
      <c r="U671" s="48">
        <v>1933.8866973622771</v>
      </c>
      <c r="V671" s="48">
        <v>1928.0923410675007</v>
      </c>
      <c r="W671" s="48">
        <v>1930.2702137763069</v>
      </c>
    </row>
    <row r="672" spans="1:23" ht="13.2" x14ac:dyDescent="0.25">
      <c r="A672" s="41">
        <v>670</v>
      </c>
      <c r="B672" s="42">
        <v>0.23158786596338632</v>
      </c>
      <c r="C672" s="14" t="s">
        <v>5073</v>
      </c>
      <c r="D672" s="42">
        <v>0.26472865150530295</v>
      </c>
      <c r="E672" s="43">
        <v>311.76743818063636</v>
      </c>
      <c r="F672" s="42">
        <v>0.93078281028698329</v>
      </c>
      <c r="G672" s="43">
        <v>11.293350196198258</v>
      </c>
      <c r="H672" s="42">
        <v>0.7294288867755927</v>
      </c>
      <c r="I672" s="43">
        <v>3.5495243237217959</v>
      </c>
      <c r="J672" s="42">
        <v>8.9896089439231941E-2</v>
      </c>
      <c r="K672" s="43">
        <v>7.0338710582718331</v>
      </c>
      <c r="L672" s="43">
        <v>1933.9127383378109</v>
      </c>
      <c r="M672" s="44">
        <v>2169.9013697372293</v>
      </c>
      <c r="N672" s="44">
        <v>3897.0929772579543</v>
      </c>
      <c r="O672" s="45" t="s">
        <v>5074</v>
      </c>
      <c r="P672" s="46">
        <v>1</v>
      </c>
      <c r="Q672" s="43">
        <v>1933.9127383378109</v>
      </c>
      <c r="R672" s="43">
        <v>1945.206088534009</v>
      </c>
      <c r="S672" s="47">
        <v>0</v>
      </c>
      <c r="T672" s="48">
        <v>1945.206088534009</v>
      </c>
      <c r="U672" s="48">
        <v>1933.8866973622771</v>
      </c>
      <c r="V672" s="48">
        <v>1928.0923410675007</v>
      </c>
      <c r="W672" s="48">
        <v>1930.2702137763069</v>
      </c>
    </row>
    <row r="673" spans="1:23" ht="13.2" x14ac:dyDescent="0.25">
      <c r="A673" s="41">
        <v>671</v>
      </c>
      <c r="B673" s="42">
        <v>0.76040978346039068</v>
      </c>
      <c r="C673" s="14" t="s">
        <v>5078</v>
      </c>
      <c r="D673" s="42">
        <v>0.56695035266082283</v>
      </c>
      <c r="E673" s="43">
        <v>192.6780141064329</v>
      </c>
      <c r="F673" s="42">
        <v>0.50789870205703136</v>
      </c>
      <c r="G673" s="43">
        <v>5.8821878188718983</v>
      </c>
      <c r="H673" s="42">
        <v>0.55917742595038256</v>
      </c>
      <c r="I673" s="43">
        <v>3.2142766033527796</v>
      </c>
      <c r="J673" s="42">
        <v>0.27706600645420421</v>
      </c>
      <c r="K673" s="43">
        <v>3.7474438269578609</v>
      </c>
      <c r="L673" s="43">
        <v>1937.6601821647687</v>
      </c>
      <c r="M673" s="44">
        <v>1341.038978180773</v>
      </c>
      <c r="N673" s="44">
        <v>2408.4751763304112</v>
      </c>
      <c r="O673" s="45" t="s">
        <v>5074</v>
      </c>
      <c r="P673" s="46">
        <v>3</v>
      </c>
      <c r="Q673" s="43">
        <v>1937.6601821647687</v>
      </c>
      <c r="R673" s="43">
        <v>1943.5423699836406</v>
      </c>
      <c r="S673" s="47">
        <v>0</v>
      </c>
      <c r="T673" s="48">
        <v>1945.206088534009</v>
      </c>
      <c r="U673" s="48">
        <v>1933.8866973622771</v>
      </c>
      <c r="V673" s="48">
        <v>1943.5423699836406</v>
      </c>
      <c r="W673" s="48">
        <v>1930.2702137763069</v>
      </c>
    </row>
    <row r="674" spans="1:23" ht="13.2" x14ac:dyDescent="0.25">
      <c r="A674" s="41">
        <v>672</v>
      </c>
      <c r="B674" s="42">
        <v>0.76652913017502478</v>
      </c>
      <c r="C674" s="14" t="s">
        <v>5078</v>
      </c>
      <c r="D674" s="42">
        <v>0.37254052905949786</v>
      </c>
      <c r="E674" s="43">
        <v>184.90162116237991</v>
      </c>
      <c r="F674" s="42">
        <v>0.49626870662731526</v>
      </c>
      <c r="G674" s="43">
        <v>5.8716045230308573</v>
      </c>
      <c r="H674" s="42">
        <v>0.14103477780755366</v>
      </c>
      <c r="I674" s="43">
        <v>2.5937903203310779</v>
      </c>
      <c r="J674" s="42">
        <v>0.38566606416630839</v>
      </c>
      <c r="K674" s="43">
        <v>2.7818493509156914</v>
      </c>
      <c r="L674" s="43">
        <v>1940.4420315156844</v>
      </c>
      <c r="M674" s="44">
        <v>1286.9152832901641</v>
      </c>
      <c r="N674" s="44">
        <v>2311.2702645297491</v>
      </c>
      <c r="O674" s="45" t="s">
        <v>5074</v>
      </c>
      <c r="P674" s="46">
        <v>4</v>
      </c>
      <c r="Q674" s="43">
        <v>1940.4420315156844</v>
      </c>
      <c r="R674" s="43">
        <v>1946.3136360387152</v>
      </c>
      <c r="S674" s="47">
        <v>0</v>
      </c>
      <c r="T674" s="48">
        <v>1945.206088534009</v>
      </c>
      <c r="U674" s="48">
        <v>1933.8866973622771</v>
      </c>
      <c r="V674" s="48">
        <v>1943.5423699836406</v>
      </c>
      <c r="W674" s="48">
        <v>1946.3136360387152</v>
      </c>
    </row>
    <row r="675" spans="1:23" ht="13.2" x14ac:dyDescent="0.25">
      <c r="A675" s="41">
        <v>673</v>
      </c>
      <c r="B675" s="42">
        <v>0.27759237041584794</v>
      </c>
      <c r="C675" s="14" t="s">
        <v>5077</v>
      </c>
      <c r="D675" s="42">
        <v>0.91250238516950155</v>
      </c>
      <c r="E675" s="43">
        <v>48.212521466525516</v>
      </c>
      <c r="F675" s="42">
        <v>0.50481021055244379</v>
      </c>
      <c r="G675" s="43">
        <v>3.3623089010651732</v>
      </c>
      <c r="H675" s="42">
        <v>0.68785575250529485</v>
      </c>
      <c r="I675" s="43">
        <v>1.3252135122865054</v>
      </c>
      <c r="J675" s="42">
        <v>0.56857482184123942</v>
      </c>
      <c r="K675" s="43">
        <v>1.6485324429614434</v>
      </c>
      <c r="L675" s="43">
        <v>1942.0905639586458</v>
      </c>
      <c r="M675" s="44">
        <v>335.55914940701757</v>
      </c>
      <c r="N675" s="44">
        <v>602.65651833156892</v>
      </c>
      <c r="O675" s="45" t="s">
        <v>5074</v>
      </c>
      <c r="P675" s="46">
        <v>2</v>
      </c>
      <c r="Q675" s="43">
        <v>1942.0905639586458</v>
      </c>
      <c r="R675" s="43">
        <v>1945.4528728597111</v>
      </c>
      <c r="S675" s="47">
        <v>0</v>
      </c>
      <c r="T675" s="48">
        <v>1945.206088534009</v>
      </c>
      <c r="U675" s="48">
        <v>1945.4528728597111</v>
      </c>
      <c r="V675" s="48">
        <v>1943.5423699836406</v>
      </c>
      <c r="W675" s="48">
        <v>1946.3136360387152</v>
      </c>
    </row>
    <row r="676" spans="1:23" ht="13.2" x14ac:dyDescent="0.25">
      <c r="A676" s="41">
        <v>674</v>
      </c>
      <c r="B676" s="42">
        <v>0.47746123488874231</v>
      </c>
      <c r="C676" s="14" t="s">
        <v>5077</v>
      </c>
      <c r="D676" s="42">
        <v>0.63413912972162434</v>
      </c>
      <c r="E676" s="43">
        <v>45.707252167494616</v>
      </c>
      <c r="F676" s="42">
        <v>0.90703583271570309</v>
      </c>
      <c r="G676" s="43">
        <v>3.5553771997035377</v>
      </c>
      <c r="H676" s="42">
        <v>0.29158705160561343</v>
      </c>
      <c r="I676" s="43">
        <v>1.1239928063677045</v>
      </c>
      <c r="J676" s="42">
        <v>0.40920977965426153</v>
      </c>
      <c r="K676" s="43">
        <v>2.608838965669813</v>
      </c>
      <c r="L676" s="43">
        <v>1944.6994029243156</v>
      </c>
      <c r="M676" s="44">
        <v>318.12247508576252</v>
      </c>
      <c r="N676" s="44">
        <v>571.34065209368271</v>
      </c>
      <c r="O676" s="45" t="s">
        <v>5074</v>
      </c>
      <c r="P676" s="46">
        <v>3</v>
      </c>
      <c r="Q676" s="43">
        <v>1944.6994029243156</v>
      </c>
      <c r="R676" s="43">
        <v>1948.2547801240191</v>
      </c>
      <c r="S676" s="47">
        <v>0</v>
      </c>
      <c r="T676" s="48">
        <v>1945.206088534009</v>
      </c>
      <c r="U676" s="48">
        <v>1945.4528728597111</v>
      </c>
      <c r="V676" s="48">
        <v>1948.2547801240191</v>
      </c>
      <c r="W676" s="48">
        <v>1946.3136360387152</v>
      </c>
    </row>
    <row r="677" spans="1:23" ht="13.2" x14ac:dyDescent="0.25">
      <c r="A677" s="41">
        <v>675</v>
      </c>
      <c r="B677" s="42">
        <v>0.38061495562112657</v>
      </c>
      <c r="C677" s="14" t="s">
        <v>5077</v>
      </c>
      <c r="D677" s="42">
        <v>0.58114120158420002</v>
      </c>
      <c r="E677" s="43">
        <v>45.2302708142578</v>
      </c>
      <c r="F677" s="42">
        <v>0.53070288641876673</v>
      </c>
      <c r="G677" s="43">
        <v>3.3747373854810081</v>
      </c>
      <c r="H677" s="42">
        <v>0.69415214364144584</v>
      </c>
      <c r="I677" s="43">
        <v>1.3290127557969824</v>
      </c>
      <c r="J677" s="42">
        <v>6.903072356666938E-2</v>
      </c>
      <c r="K677" s="43">
        <v>7.8049740274615278</v>
      </c>
      <c r="L677" s="43">
        <v>1952.5043769517772</v>
      </c>
      <c r="M677" s="44">
        <v>314.80268486723429</v>
      </c>
      <c r="N677" s="44">
        <v>565.37838517822252</v>
      </c>
      <c r="O677" s="45" t="s">
        <v>5074</v>
      </c>
      <c r="P677" s="46">
        <v>1</v>
      </c>
      <c r="Q677" s="43">
        <v>1952.5043769517772</v>
      </c>
      <c r="R677" s="43">
        <v>1955.8791143372582</v>
      </c>
      <c r="S677" s="47">
        <v>0</v>
      </c>
      <c r="T677" s="48">
        <v>1955.8791143372582</v>
      </c>
      <c r="U677" s="48">
        <v>1945.4528728597111</v>
      </c>
      <c r="V677" s="48">
        <v>1948.2547801240191</v>
      </c>
      <c r="W677" s="48">
        <v>1946.3136360387152</v>
      </c>
    </row>
    <row r="678" spans="1:23" ht="13.2" x14ac:dyDescent="0.25">
      <c r="A678" s="41">
        <v>676</v>
      </c>
      <c r="B678" s="42">
        <v>0.83728075625248288</v>
      </c>
      <c r="C678" s="14" t="s">
        <v>5081</v>
      </c>
      <c r="D678" s="42">
        <v>0.22293710998396254</v>
      </c>
      <c r="E678" s="43">
        <v>268.9174843993585</v>
      </c>
      <c r="F678" s="42">
        <v>0.86513200116582778</v>
      </c>
      <c r="G678" s="43">
        <v>9.0464806811541685</v>
      </c>
      <c r="H678" s="42">
        <v>0.31637649532238787</v>
      </c>
      <c r="I678" s="43">
        <v>3.7954577239833527</v>
      </c>
      <c r="J678" s="42">
        <v>5.8012443621648681E-2</v>
      </c>
      <c r="K678" s="43">
        <v>8.3126941496245514</v>
      </c>
      <c r="L678" s="43">
        <v>1960.8170711014018</v>
      </c>
      <c r="M678" s="44">
        <v>1871.6656914195351</v>
      </c>
      <c r="N678" s="44">
        <v>3361.4685549919814</v>
      </c>
      <c r="O678" s="45" t="s">
        <v>5074</v>
      </c>
      <c r="P678" s="46">
        <v>2</v>
      </c>
      <c r="Q678" s="43">
        <v>1960.8170711014018</v>
      </c>
      <c r="R678" s="43">
        <v>1969.863551782556</v>
      </c>
      <c r="S678" s="47">
        <v>0</v>
      </c>
      <c r="T678" s="48">
        <v>1955.8791143372582</v>
      </c>
      <c r="U678" s="48">
        <v>1969.863551782556</v>
      </c>
      <c r="V678" s="48">
        <v>1948.2547801240191</v>
      </c>
      <c r="W678" s="48">
        <v>1946.3136360387152</v>
      </c>
    </row>
    <row r="679" spans="1:23" ht="13.2" x14ac:dyDescent="0.25">
      <c r="A679" s="41">
        <v>677</v>
      </c>
      <c r="B679" s="42">
        <v>0.63485527068136971</v>
      </c>
      <c r="C679" s="14" t="s">
        <v>5076</v>
      </c>
      <c r="D679" s="42">
        <v>0.94156685282549213</v>
      </c>
      <c r="E679" s="43">
        <v>44.415668528254919</v>
      </c>
      <c r="F679" s="42">
        <v>3.7835298123692768E-2</v>
      </c>
      <c r="G679" s="43">
        <v>3.0574042371368986</v>
      </c>
      <c r="H679" s="42">
        <v>0.27174528561148109</v>
      </c>
      <c r="I679" s="43">
        <v>0.73888597693965008</v>
      </c>
      <c r="J679" s="42">
        <v>0.29366839644204284</v>
      </c>
      <c r="K679" s="43">
        <v>3.5775300772653766</v>
      </c>
      <c r="L679" s="43">
        <v>1964.3946011786672</v>
      </c>
      <c r="M679" s="44">
        <v>309.13305295665424</v>
      </c>
      <c r="N679" s="44">
        <v>555.19585660318648</v>
      </c>
      <c r="O679" s="45" t="s">
        <v>5074</v>
      </c>
      <c r="P679" s="46">
        <v>4</v>
      </c>
      <c r="Q679" s="43">
        <v>1964.3946011786672</v>
      </c>
      <c r="R679" s="43">
        <v>1967.4520054158043</v>
      </c>
      <c r="S679" s="47">
        <v>0</v>
      </c>
      <c r="T679" s="48">
        <v>1955.8791143372582</v>
      </c>
      <c r="U679" s="48">
        <v>1969.863551782556</v>
      </c>
      <c r="V679" s="48">
        <v>1948.2547801240191</v>
      </c>
      <c r="W679" s="48">
        <v>1967.4520054158043</v>
      </c>
    </row>
    <row r="680" spans="1:23" ht="13.2" x14ac:dyDescent="0.25">
      <c r="A680" s="41">
        <v>678</v>
      </c>
      <c r="B680" s="42">
        <v>0.85972363728085699</v>
      </c>
      <c r="C680" s="14" t="s">
        <v>5081</v>
      </c>
      <c r="D680" s="42">
        <v>0.95948086444264313</v>
      </c>
      <c r="E680" s="43">
        <v>298.37923457770574</v>
      </c>
      <c r="F680" s="42">
        <v>0.35802233654913601</v>
      </c>
      <c r="G680" s="43">
        <v>8.5444421131836439</v>
      </c>
      <c r="H680" s="42">
        <v>0.60188039653090775</v>
      </c>
      <c r="I680" s="43">
        <v>4.1076776328376701</v>
      </c>
      <c r="J680" s="42">
        <v>0.43917155519089268</v>
      </c>
      <c r="K680" s="43">
        <v>2.4025260027218129</v>
      </c>
      <c r="L680" s="43">
        <v>1966.797127181389</v>
      </c>
      <c r="M680" s="44">
        <v>2076.7194726608318</v>
      </c>
      <c r="N680" s="44">
        <v>3729.740432221322</v>
      </c>
      <c r="O680" s="45" t="s">
        <v>5074</v>
      </c>
      <c r="P680" s="46">
        <v>3</v>
      </c>
      <c r="Q680" s="43">
        <v>1966.797127181389</v>
      </c>
      <c r="R680" s="43">
        <v>1975.3415692945725</v>
      </c>
      <c r="S680" s="47">
        <v>0</v>
      </c>
      <c r="T680" s="48">
        <v>1955.8791143372582</v>
      </c>
      <c r="U680" s="48">
        <v>1969.863551782556</v>
      </c>
      <c r="V680" s="48">
        <v>1975.3415692945725</v>
      </c>
      <c r="W680" s="48">
        <v>1967.4520054158043</v>
      </c>
    </row>
    <row r="681" spans="1:23" ht="13.2" x14ac:dyDescent="0.25">
      <c r="A681" s="41">
        <v>679</v>
      </c>
      <c r="B681" s="42">
        <v>0.50504006655190148</v>
      </c>
      <c r="C681" s="14" t="s">
        <v>5076</v>
      </c>
      <c r="D681" s="42">
        <v>0.28891324963835685</v>
      </c>
      <c r="E681" s="43">
        <v>37.889132496383567</v>
      </c>
      <c r="F681" s="42">
        <v>0.79899023184505769</v>
      </c>
      <c r="G681" s="43">
        <v>3.4075355066487267</v>
      </c>
      <c r="H681" s="42">
        <v>0.68779784053927184</v>
      </c>
      <c r="I681" s="43">
        <v>0.90433700832027708</v>
      </c>
      <c r="J681" s="42">
        <v>0.17265957741656321</v>
      </c>
      <c r="K681" s="43">
        <v>5.1282726530413862</v>
      </c>
      <c r="L681" s="43">
        <v>1971.9253998344304</v>
      </c>
      <c r="M681" s="44">
        <v>263.70836217482963</v>
      </c>
      <c r="N681" s="44">
        <v>473.6141562047946</v>
      </c>
      <c r="O681" s="45" t="s">
        <v>5074</v>
      </c>
      <c r="P681" s="46">
        <v>1</v>
      </c>
      <c r="Q681" s="43">
        <v>1971.9253998344304</v>
      </c>
      <c r="R681" s="43">
        <v>1975.3329353410791</v>
      </c>
      <c r="S681" s="47">
        <v>0</v>
      </c>
      <c r="T681" s="48">
        <v>1975.3329353410791</v>
      </c>
      <c r="U681" s="48">
        <v>1969.863551782556</v>
      </c>
      <c r="V681" s="48">
        <v>1975.3415692945725</v>
      </c>
      <c r="W681" s="48">
        <v>1967.4520054158043</v>
      </c>
    </row>
    <row r="682" spans="1:23" ht="13.2" x14ac:dyDescent="0.25">
      <c r="A682" s="41">
        <v>680</v>
      </c>
      <c r="B682" s="42">
        <v>0.65523525078559075</v>
      </c>
      <c r="C682" s="14" t="s">
        <v>5079</v>
      </c>
      <c r="D682" s="42">
        <v>0.92794983132181219</v>
      </c>
      <c r="E682" s="43">
        <v>9.7838494939654375</v>
      </c>
      <c r="F682" s="42">
        <v>0.16511688528820728</v>
      </c>
      <c r="G682" s="43">
        <v>1.4581628573817027</v>
      </c>
      <c r="H682" s="42">
        <v>0.65562029911932551</v>
      </c>
      <c r="I682" s="43">
        <v>0.47271833524874651</v>
      </c>
      <c r="J682" s="42">
        <v>0.85052754117666163</v>
      </c>
      <c r="K682" s="43">
        <v>0.47269630754640052</v>
      </c>
      <c r="L682" s="43">
        <v>1972.3980961419768</v>
      </c>
      <c r="M682" s="44">
        <v>68.095592477999446</v>
      </c>
      <c r="N682" s="44">
        <v>122.29811867456797</v>
      </c>
      <c r="O682" s="45" t="s">
        <v>5074</v>
      </c>
      <c r="P682" s="46">
        <v>4</v>
      </c>
      <c r="Q682" s="43">
        <v>1972.3980961419768</v>
      </c>
      <c r="R682" s="43">
        <v>1973.8562589993585</v>
      </c>
      <c r="S682" s="47">
        <v>0</v>
      </c>
      <c r="T682" s="48">
        <v>1975.3329353410791</v>
      </c>
      <c r="U682" s="48">
        <v>1969.863551782556</v>
      </c>
      <c r="V682" s="48">
        <v>1975.3415692945725</v>
      </c>
      <c r="W682" s="48">
        <v>1973.8562589993585</v>
      </c>
    </row>
    <row r="683" spans="1:23" ht="13.2" x14ac:dyDescent="0.25">
      <c r="A683" s="41">
        <v>681</v>
      </c>
      <c r="B683" s="42">
        <v>0.82761302861739561</v>
      </c>
      <c r="C683" s="14" t="s">
        <v>5078</v>
      </c>
      <c r="D683" s="42">
        <v>4.8595316265055588E-2</v>
      </c>
      <c r="E683" s="43">
        <v>171.94381265060221</v>
      </c>
      <c r="F683" s="42">
        <v>0.5909420375670037</v>
      </c>
      <c r="G683" s="43">
        <v>5.9577572541859736</v>
      </c>
      <c r="H683" s="42">
        <v>0.26721716265530193</v>
      </c>
      <c r="I683" s="43">
        <v>2.8173389178536983</v>
      </c>
      <c r="J683" s="42">
        <v>0.11980476235961764</v>
      </c>
      <c r="K683" s="43">
        <v>6.1953046467341517</v>
      </c>
      <c r="L683" s="43">
        <v>1978.5934007887111</v>
      </c>
      <c r="M683" s="44">
        <v>1196.7289360481914</v>
      </c>
      <c r="N683" s="44">
        <v>2149.2976581325274</v>
      </c>
      <c r="O683" s="45" t="s">
        <v>5074</v>
      </c>
      <c r="P683" s="46">
        <v>2</v>
      </c>
      <c r="Q683" s="43">
        <v>1978.5934007887111</v>
      </c>
      <c r="R683" s="43">
        <v>1984.551158042897</v>
      </c>
      <c r="S683" s="47">
        <v>0</v>
      </c>
      <c r="T683" s="48">
        <v>1975.3329353410791</v>
      </c>
      <c r="U683" s="48">
        <v>1984.551158042897</v>
      </c>
      <c r="V683" s="48">
        <v>1975.3415692945725</v>
      </c>
      <c r="W683" s="48">
        <v>1973.8562589993585</v>
      </c>
    </row>
    <row r="684" spans="1:23" ht="13.2" x14ac:dyDescent="0.25">
      <c r="A684" s="41">
        <v>682</v>
      </c>
      <c r="B684" s="42">
        <v>0.49420258844932663</v>
      </c>
      <c r="C684" s="14" t="s">
        <v>5076</v>
      </c>
      <c r="D684" s="42">
        <v>3.5674561297369449E-2</v>
      </c>
      <c r="E684" s="43">
        <v>35.356745612973697</v>
      </c>
      <c r="F684" s="42">
        <v>0.67127944979410592</v>
      </c>
      <c r="G684" s="43">
        <v>3.3487885469052889</v>
      </c>
      <c r="H684" s="42">
        <v>0.89830448008063457</v>
      </c>
      <c r="I684" s="43">
        <v>1.031255383560179</v>
      </c>
      <c r="J684" s="42">
        <v>0.73684216418156501</v>
      </c>
      <c r="K684" s="43">
        <v>0.89162502070215965</v>
      </c>
      <c r="L684" s="43">
        <v>1979.4850258094132</v>
      </c>
      <c r="M684" s="44">
        <v>246.08294946629692</v>
      </c>
      <c r="N684" s="44">
        <v>441.9593201621712</v>
      </c>
      <c r="O684" s="45" t="s">
        <v>5074</v>
      </c>
      <c r="P684" s="46">
        <v>4</v>
      </c>
      <c r="Q684" s="43">
        <v>1979.4850258094132</v>
      </c>
      <c r="R684" s="43">
        <v>1982.8338143563185</v>
      </c>
      <c r="S684" s="47">
        <v>0</v>
      </c>
      <c r="T684" s="48">
        <v>1975.3329353410791</v>
      </c>
      <c r="U684" s="48">
        <v>1984.551158042897</v>
      </c>
      <c r="V684" s="48">
        <v>1975.3415692945725</v>
      </c>
      <c r="W684" s="48">
        <v>1982.8338143563185</v>
      </c>
    </row>
    <row r="685" spans="1:23" ht="13.2" x14ac:dyDescent="0.25">
      <c r="A685" s="41">
        <v>683</v>
      </c>
      <c r="B685" s="42">
        <v>0.67547026540873123</v>
      </c>
      <c r="C685" s="14" t="s">
        <v>5079</v>
      </c>
      <c r="D685" s="42">
        <v>0.61566541419162668</v>
      </c>
      <c r="E685" s="43">
        <v>8.84699624257488</v>
      </c>
      <c r="F685" s="42">
        <v>0.94569326329310111</v>
      </c>
      <c r="G685" s="43">
        <v>1.5440262589622411</v>
      </c>
      <c r="H685" s="42">
        <v>0.55121889503263821</v>
      </c>
      <c r="I685" s="43">
        <v>0.44054448214558189</v>
      </c>
      <c r="J685" s="42">
        <v>0.10339014795766685</v>
      </c>
      <c r="K685" s="43">
        <v>6.6255346053166342</v>
      </c>
      <c r="L685" s="43">
        <v>1986.1105604147299</v>
      </c>
      <c r="M685" s="44">
        <v>61.575093848321167</v>
      </c>
      <c r="N685" s="44">
        <v>110.587453032186</v>
      </c>
      <c r="O685" s="45" t="s">
        <v>5074</v>
      </c>
      <c r="P685" s="46">
        <v>1</v>
      </c>
      <c r="Q685" s="43">
        <v>1986.1105604147299</v>
      </c>
      <c r="R685" s="43">
        <v>1987.6545866736922</v>
      </c>
      <c r="S685" s="47">
        <v>0</v>
      </c>
      <c r="T685" s="48">
        <v>1987.6545866736922</v>
      </c>
      <c r="U685" s="48">
        <v>1984.551158042897</v>
      </c>
      <c r="V685" s="48">
        <v>1975.3415692945725</v>
      </c>
      <c r="W685" s="48">
        <v>1982.8338143563185</v>
      </c>
    </row>
    <row r="686" spans="1:23" ht="13.2" x14ac:dyDescent="0.25">
      <c r="A686" s="41">
        <v>684</v>
      </c>
      <c r="B686" s="42">
        <v>0.95816518131558093</v>
      </c>
      <c r="C686" s="14" t="s">
        <v>5080</v>
      </c>
      <c r="D686" s="42">
        <v>0.37056526326135047</v>
      </c>
      <c r="E686" s="43">
        <v>94.264131581533761</v>
      </c>
      <c r="F686" s="42">
        <v>0.61696604528323096</v>
      </c>
      <c r="G686" s="43">
        <v>4.5431616644529447</v>
      </c>
      <c r="H686" s="42">
        <v>0.87866101594579449</v>
      </c>
      <c r="I686" s="43">
        <v>2.5326562600209885</v>
      </c>
      <c r="J686" s="42">
        <v>0.69970311955535003</v>
      </c>
      <c r="K686" s="43">
        <v>1.0426252520345434</v>
      </c>
      <c r="L686" s="43">
        <v>1987.1531856667643</v>
      </c>
      <c r="M686" s="44">
        <v>656.07835580747496</v>
      </c>
      <c r="N686" s="44">
        <v>1178.3016447691721</v>
      </c>
      <c r="O686" s="45" t="s">
        <v>5074</v>
      </c>
      <c r="P686" s="46">
        <v>3</v>
      </c>
      <c r="Q686" s="43">
        <v>1987.1531856667643</v>
      </c>
      <c r="R686" s="43">
        <v>1991.6963473312173</v>
      </c>
      <c r="S686" s="47">
        <v>0</v>
      </c>
      <c r="T686" s="48">
        <v>1987.6545866736922</v>
      </c>
      <c r="U686" s="48">
        <v>1984.551158042897</v>
      </c>
      <c r="V686" s="48">
        <v>1991.6963473312173</v>
      </c>
      <c r="W686" s="48">
        <v>1982.8338143563185</v>
      </c>
    </row>
    <row r="687" spans="1:23" ht="13.2" x14ac:dyDescent="0.25">
      <c r="A687" s="41">
        <v>685</v>
      </c>
      <c r="B687" s="42">
        <v>0.80721381483935462</v>
      </c>
      <c r="C687" s="14" t="s">
        <v>5078</v>
      </c>
      <c r="D687" s="42">
        <v>4.7281422674321304E-2</v>
      </c>
      <c r="E687" s="43">
        <v>171.89125690697284</v>
      </c>
      <c r="F687" s="42">
        <v>0.58221292057177654</v>
      </c>
      <c r="G687" s="43">
        <v>5.9498137577203165</v>
      </c>
      <c r="H687" s="42">
        <v>0.43375068224675517</v>
      </c>
      <c r="I687" s="43">
        <v>3.0427989357763057</v>
      </c>
      <c r="J687" s="42">
        <v>0.32650272609968795</v>
      </c>
      <c r="K687" s="43">
        <v>3.2680787761677408</v>
      </c>
      <c r="L687" s="43">
        <v>1990.4212644429322</v>
      </c>
      <c r="M687" s="44">
        <v>1196.363148072531</v>
      </c>
      <c r="N687" s="44">
        <v>2148.6407113371606</v>
      </c>
      <c r="O687" s="45" t="s">
        <v>5074</v>
      </c>
      <c r="P687" s="46">
        <v>4</v>
      </c>
      <c r="Q687" s="43">
        <v>1990.4212644429322</v>
      </c>
      <c r="R687" s="43">
        <v>1996.3710782006524</v>
      </c>
      <c r="S687" s="47">
        <v>0</v>
      </c>
      <c r="T687" s="48">
        <v>1987.6545866736922</v>
      </c>
      <c r="U687" s="48">
        <v>1984.551158042897</v>
      </c>
      <c r="V687" s="48">
        <v>1991.6963473312173</v>
      </c>
      <c r="W687" s="48">
        <v>1996.3710782006524</v>
      </c>
    </row>
    <row r="688" spans="1:23" ht="13.2" x14ac:dyDescent="0.25">
      <c r="A688" s="41">
        <v>686</v>
      </c>
      <c r="B688" s="42">
        <v>0.42229702902133437</v>
      </c>
      <c r="C688" s="14" t="s">
        <v>5077</v>
      </c>
      <c r="D688" s="42">
        <v>0.43436768252140268</v>
      </c>
      <c r="E688" s="43">
        <v>43.909309142692621</v>
      </c>
      <c r="F688" s="42">
        <v>0.33888488371804582</v>
      </c>
      <c r="G688" s="43">
        <v>3.2826647441846619</v>
      </c>
      <c r="H688" s="42">
        <v>0.83320672616046232</v>
      </c>
      <c r="I688" s="43">
        <v>1.4260347225873469</v>
      </c>
      <c r="J688" s="42">
        <v>0.89799818950612009</v>
      </c>
      <c r="K688" s="43">
        <v>0.31412328999167283</v>
      </c>
      <c r="L688" s="43">
        <v>1990.7353877329238</v>
      </c>
      <c r="M688" s="44">
        <v>305.60879163314064</v>
      </c>
      <c r="N688" s="44">
        <v>548.86636428365773</v>
      </c>
      <c r="O688" s="45" t="s">
        <v>5074</v>
      </c>
      <c r="P688" s="46">
        <v>2</v>
      </c>
      <c r="Q688" s="43">
        <v>1990.7353877329238</v>
      </c>
      <c r="R688" s="43">
        <v>1994.0180524771083</v>
      </c>
      <c r="S688" s="47">
        <v>0</v>
      </c>
      <c r="T688" s="48">
        <v>1987.6545866736922</v>
      </c>
      <c r="U688" s="48">
        <v>1994.0180524771083</v>
      </c>
      <c r="V688" s="48">
        <v>1991.6963473312173</v>
      </c>
      <c r="W688" s="48">
        <v>1996.3710782006524</v>
      </c>
    </row>
    <row r="689" spans="1:23" ht="13.2" x14ac:dyDescent="0.25">
      <c r="A689" s="41">
        <v>687</v>
      </c>
      <c r="B689" s="42">
        <v>0.9085236205293441</v>
      </c>
      <c r="C689" s="14" t="s">
        <v>5075</v>
      </c>
      <c r="D689" s="42">
        <v>0.75159755244459847</v>
      </c>
      <c r="E689" s="43">
        <v>332.61182867112188</v>
      </c>
      <c r="F689" s="42">
        <v>0.38811879110900627</v>
      </c>
      <c r="G689" s="43">
        <v>9.122356394306923</v>
      </c>
      <c r="H689" s="42">
        <v>0.90290666460194935</v>
      </c>
      <c r="I689" s="43">
        <v>3.0593338329346111</v>
      </c>
      <c r="J689" s="42">
        <v>0.18803250565567636</v>
      </c>
      <c r="K689" s="43">
        <v>4.8792421275161422</v>
      </c>
      <c r="L689" s="43">
        <v>1995.6146298604399</v>
      </c>
      <c r="M689" s="44">
        <v>2314.9783275510081</v>
      </c>
      <c r="N689" s="44">
        <v>4157.6478583890239</v>
      </c>
      <c r="O689" s="45" t="s">
        <v>5074</v>
      </c>
      <c r="P689" s="46">
        <v>1</v>
      </c>
      <c r="Q689" s="43">
        <v>1995.6146298604399</v>
      </c>
      <c r="R689" s="43">
        <v>2004.7369862547469</v>
      </c>
      <c r="S689" s="47">
        <v>0</v>
      </c>
      <c r="T689" s="48">
        <v>2004.7369862547469</v>
      </c>
      <c r="U689" s="48">
        <v>1994.0180524771083</v>
      </c>
      <c r="V689" s="48">
        <v>1991.6963473312173</v>
      </c>
      <c r="W689" s="48">
        <v>1996.3710782006524</v>
      </c>
    </row>
    <row r="690" spans="1:23" ht="13.2" x14ac:dyDescent="0.25">
      <c r="A690" s="41">
        <v>688</v>
      </c>
      <c r="B690" s="42">
        <v>0.27861246060515404</v>
      </c>
      <c r="C690" s="14" t="s">
        <v>5077</v>
      </c>
      <c r="D690" s="42">
        <v>0.87812473991798456</v>
      </c>
      <c r="E690" s="43">
        <v>47.903122659261861</v>
      </c>
      <c r="F690" s="42">
        <v>5.4847929186582531E-2</v>
      </c>
      <c r="G690" s="43">
        <v>3.1463270060095598</v>
      </c>
      <c r="H690" s="42">
        <v>0.2214652421984194</v>
      </c>
      <c r="I690" s="43">
        <v>1.0823605623868726</v>
      </c>
      <c r="J690" s="42">
        <v>0.9044062699677452</v>
      </c>
      <c r="K690" s="43">
        <v>0.2933623528902442</v>
      </c>
      <c r="L690" s="43">
        <v>1995.9079922133301</v>
      </c>
      <c r="M690" s="44">
        <v>333.40573370846255</v>
      </c>
      <c r="N690" s="44">
        <v>598.78903324077328</v>
      </c>
      <c r="O690" s="45" t="s">
        <v>5074</v>
      </c>
      <c r="P690" s="46">
        <v>3</v>
      </c>
      <c r="Q690" s="43">
        <v>1995.9079922133301</v>
      </c>
      <c r="R690" s="43">
        <v>1999.0543192193397</v>
      </c>
      <c r="S690" s="47">
        <v>0</v>
      </c>
      <c r="T690" s="48">
        <v>2004.7369862547469</v>
      </c>
      <c r="U690" s="48">
        <v>1994.0180524771083</v>
      </c>
      <c r="V690" s="48">
        <v>1999.0543192193397</v>
      </c>
      <c r="W690" s="48">
        <v>1996.3710782006524</v>
      </c>
    </row>
    <row r="691" spans="1:23" ht="13.2" x14ac:dyDescent="0.25">
      <c r="A691" s="41">
        <v>689</v>
      </c>
      <c r="B691" s="42">
        <v>0.31865400696110635</v>
      </c>
      <c r="C691" s="14" t="s">
        <v>5077</v>
      </c>
      <c r="D691" s="42">
        <v>3.3072881415985939E-2</v>
      </c>
      <c r="E691" s="43">
        <v>40.297655932743872</v>
      </c>
      <c r="F691" s="42">
        <v>0.11007488989740372</v>
      </c>
      <c r="G691" s="43">
        <v>3.1728359471507539</v>
      </c>
      <c r="H691" s="42">
        <v>0.87824242183856782</v>
      </c>
      <c r="I691" s="43">
        <v>1.4659254174997967</v>
      </c>
      <c r="J691" s="42">
        <v>0.93934678795717041</v>
      </c>
      <c r="K691" s="43">
        <v>0.18268774220734521</v>
      </c>
      <c r="L691" s="43">
        <v>1996.0906799555373</v>
      </c>
      <c r="M691" s="44">
        <v>280.47168529189736</v>
      </c>
      <c r="N691" s="44">
        <v>503.72069915929842</v>
      </c>
      <c r="O691" s="45" t="s">
        <v>5074</v>
      </c>
      <c r="P691" s="46">
        <v>2</v>
      </c>
      <c r="Q691" s="43">
        <v>1996.0906799555373</v>
      </c>
      <c r="R691" s="43">
        <v>1999.2635159026881</v>
      </c>
      <c r="S691" s="47">
        <v>0</v>
      </c>
      <c r="T691" s="48">
        <v>2004.7369862547469</v>
      </c>
      <c r="U691" s="48">
        <v>1999.2635159026881</v>
      </c>
      <c r="V691" s="48">
        <v>1999.0543192193397</v>
      </c>
      <c r="W691" s="48">
        <v>1996.3710782006524</v>
      </c>
    </row>
    <row r="692" spans="1:23" ht="13.2" x14ac:dyDescent="0.25">
      <c r="A692" s="41">
        <v>690</v>
      </c>
      <c r="B692" s="42">
        <v>0.68436035499179748</v>
      </c>
      <c r="C692" s="14" t="s">
        <v>5079</v>
      </c>
      <c r="D692" s="42">
        <v>0.39202866768093253</v>
      </c>
      <c r="E692" s="43">
        <v>8.1760860030427978</v>
      </c>
      <c r="F692" s="42">
        <v>0.99020755011132333</v>
      </c>
      <c r="G692" s="43">
        <v>1.5489228305122456</v>
      </c>
      <c r="H692" s="42">
        <v>0.69448499646712325</v>
      </c>
      <c r="I692" s="43">
        <v>0.48592699719504207</v>
      </c>
      <c r="J692" s="42">
        <v>0.11088038427330571</v>
      </c>
      <c r="K692" s="43">
        <v>6.421323439060461</v>
      </c>
      <c r="L692" s="43">
        <v>2002.5120033945977</v>
      </c>
      <c r="M692" s="44">
        <v>56.905558581177871</v>
      </c>
      <c r="N692" s="44">
        <v>102.20107503803497</v>
      </c>
      <c r="O692" s="45" t="s">
        <v>5074</v>
      </c>
      <c r="P692" s="46">
        <v>4</v>
      </c>
      <c r="Q692" s="43">
        <v>2002.5120033945977</v>
      </c>
      <c r="R692" s="43">
        <v>2004.0609262251101</v>
      </c>
      <c r="S692" s="47">
        <v>0</v>
      </c>
      <c r="T692" s="48">
        <v>2004.7369862547469</v>
      </c>
      <c r="U692" s="48">
        <v>1999.2635159026881</v>
      </c>
      <c r="V692" s="48">
        <v>1999.0543192193397</v>
      </c>
      <c r="W692" s="48">
        <v>2004.0609262251101</v>
      </c>
    </row>
    <row r="693" spans="1:23" ht="13.2" x14ac:dyDescent="0.25">
      <c r="A693" s="41">
        <v>691</v>
      </c>
      <c r="B693" s="42">
        <v>0.64376847010281335</v>
      </c>
      <c r="C693" s="14" t="s">
        <v>5079</v>
      </c>
      <c r="D693" s="42">
        <v>0.18483383123987998</v>
      </c>
      <c r="E693" s="43">
        <v>7.5545014937196395</v>
      </c>
      <c r="F693" s="42">
        <v>5.0805071392471474E-3</v>
      </c>
      <c r="G693" s="43">
        <v>1.4405588557853171</v>
      </c>
      <c r="H693" s="42">
        <v>0.10328190126609146</v>
      </c>
      <c r="I693" s="43">
        <v>0.30162770353899149</v>
      </c>
      <c r="J693" s="42">
        <v>0.77884088679162822</v>
      </c>
      <c r="K693" s="43">
        <v>0.72977666315243817</v>
      </c>
      <c r="L693" s="43">
        <v>2003.2417800577502</v>
      </c>
      <c r="M693" s="44">
        <v>52.57933039628869</v>
      </c>
      <c r="N693" s="44">
        <v>94.431268671495488</v>
      </c>
      <c r="O693" s="45" t="s">
        <v>5074</v>
      </c>
      <c r="P693" s="46">
        <v>3</v>
      </c>
      <c r="Q693" s="43">
        <v>2003.2417800577502</v>
      </c>
      <c r="R693" s="43">
        <v>2004.6823389135357</v>
      </c>
      <c r="S693" s="47">
        <v>0</v>
      </c>
      <c r="T693" s="48">
        <v>2004.7369862547469</v>
      </c>
      <c r="U693" s="48">
        <v>1999.2635159026881</v>
      </c>
      <c r="V693" s="48">
        <v>2004.6823389135357</v>
      </c>
      <c r="W693" s="48">
        <v>2004.0609262251101</v>
      </c>
    </row>
    <row r="694" spans="1:23" ht="13.2" x14ac:dyDescent="0.25">
      <c r="A694" s="41">
        <v>692</v>
      </c>
      <c r="B694" s="42">
        <v>0.59922278095000558</v>
      </c>
      <c r="C694" s="14" t="s">
        <v>5076</v>
      </c>
      <c r="D694" s="42">
        <v>0.77159675386342996</v>
      </c>
      <c r="E694" s="43">
        <v>42.715967538634303</v>
      </c>
      <c r="F694" s="42">
        <v>0.55886047173238385</v>
      </c>
      <c r="G694" s="43">
        <v>3.2970758169968963</v>
      </c>
      <c r="H694" s="42">
        <v>0.69884629207609517</v>
      </c>
      <c r="I694" s="43">
        <v>0.90961570597104713</v>
      </c>
      <c r="J694" s="42">
        <v>0.59645390817730404</v>
      </c>
      <c r="K694" s="43">
        <v>1.5087687908860117</v>
      </c>
      <c r="L694" s="43">
        <v>2004.7505488486363</v>
      </c>
      <c r="M694" s="44">
        <v>297.30313406889474</v>
      </c>
      <c r="N694" s="44">
        <v>533.9495942329288</v>
      </c>
      <c r="O694" s="45" t="s">
        <v>5074</v>
      </c>
      <c r="P694" s="46">
        <v>2</v>
      </c>
      <c r="Q694" s="43">
        <v>2004.7505488486363</v>
      </c>
      <c r="R694" s="43">
        <v>2008.0476246656333</v>
      </c>
      <c r="S694" s="47">
        <v>0</v>
      </c>
      <c r="T694" s="48">
        <v>2004.7369862547469</v>
      </c>
      <c r="U694" s="48">
        <v>2008.0476246656333</v>
      </c>
      <c r="V694" s="48">
        <v>2004.6823389135357</v>
      </c>
      <c r="W694" s="48">
        <v>2004.0609262251101</v>
      </c>
    </row>
    <row r="695" spans="1:23" ht="13.2" x14ac:dyDescent="0.25">
      <c r="A695" s="41">
        <v>693</v>
      </c>
      <c r="B695" s="42">
        <v>0.91364477291407287</v>
      </c>
      <c r="C695" s="14" t="s">
        <v>5075</v>
      </c>
      <c r="D695" s="42">
        <v>3.7770743033741949E-2</v>
      </c>
      <c r="E695" s="43">
        <v>282.64395201236192</v>
      </c>
      <c r="F695" s="42">
        <v>0.81818418522280834</v>
      </c>
      <c r="G695" s="43">
        <v>9.9781865285933886</v>
      </c>
      <c r="H695" s="42">
        <v>0.50304394099071803</v>
      </c>
      <c r="I695" s="43">
        <v>2.5030485879349165</v>
      </c>
      <c r="J695" s="42">
        <v>0.68801352087781464</v>
      </c>
      <c r="K695" s="43">
        <v>1.0918154417612145</v>
      </c>
      <c r="L695" s="43">
        <v>2005.8423642903974</v>
      </c>
      <c r="M695" s="44">
        <v>1967.2019060060391</v>
      </c>
      <c r="N695" s="44">
        <v>3533.0494001545239</v>
      </c>
      <c r="O695" s="45" t="s">
        <v>5074</v>
      </c>
      <c r="P695" s="46">
        <v>4</v>
      </c>
      <c r="Q695" s="43">
        <v>2005.8423642903974</v>
      </c>
      <c r="R695" s="43">
        <v>2015.8205508189908</v>
      </c>
      <c r="S695" s="47">
        <v>0</v>
      </c>
      <c r="T695" s="48">
        <v>2004.7369862547469</v>
      </c>
      <c r="U695" s="48">
        <v>2008.0476246656333</v>
      </c>
      <c r="V695" s="48">
        <v>2004.6823389135357</v>
      </c>
      <c r="W695" s="48">
        <v>2015.8205508189908</v>
      </c>
    </row>
    <row r="696" spans="1:23" ht="13.2" x14ac:dyDescent="0.25">
      <c r="A696" s="41">
        <v>694</v>
      </c>
      <c r="B696" s="42">
        <v>0.17797509030344669</v>
      </c>
      <c r="C696" s="14" t="s">
        <v>5073</v>
      </c>
      <c r="D696" s="42">
        <v>0.45932329048371096</v>
      </c>
      <c r="E696" s="43">
        <v>335.11879485804531</v>
      </c>
      <c r="F696" s="42">
        <v>0.57222834488946406</v>
      </c>
      <c r="G696" s="43">
        <v>10.171074719504023</v>
      </c>
      <c r="H696" s="42">
        <v>0.85791308100238117</v>
      </c>
      <c r="I696" s="43">
        <v>3.6735567595305207</v>
      </c>
      <c r="J696" s="42">
        <v>0.2432914344795474</v>
      </c>
      <c r="K696" s="43">
        <v>4.126993388041047</v>
      </c>
      <c r="L696" s="43">
        <v>2009.9693576784384</v>
      </c>
      <c r="M696" s="44">
        <v>2332.4268122119952</v>
      </c>
      <c r="N696" s="44">
        <v>4188.9849357255662</v>
      </c>
      <c r="O696" s="45" t="s">
        <v>5074</v>
      </c>
      <c r="P696" s="46">
        <v>3</v>
      </c>
      <c r="Q696" s="43">
        <v>2009.9693576784384</v>
      </c>
      <c r="R696" s="43">
        <v>2020.1404323979425</v>
      </c>
      <c r="S696" s="47">
        <v>0</v>
      </c>
      <c r="T696" s="48">
        <v>2004.7369862547469</v>
      </c>
      <c r="U696" s="48">
        <v>2008.0476246656333</v>
      </c>
      <c r="V696" s="48">
        <v>2020.1404323979425</v>
      </c>
      <c r="W696" s="48">
        <v>2015.8205508189908</v>
      </c>
    </row>
    <row r="697" spans="1:23" ht="13.2" x14ac:dyDescent="0.25">
      <c r="A697" s="41">
        <v>695</v>
      </c>
      <c r="B697" s="42">
        <v>0.14711301454674128</v>
      </c>
      <c r="C697" s="14" t="s">
        <v>5073</v>
      </c>
      <c r="D697" s="42">
        <v>0.7626743604255255</v>
      </c>
      <c r="E697" s="43">
        <v>371.5209232510631</v>
      </c>
      <c r="F697" s="42">
        <v>1.1923243762889524E-2</v>
      </c>
      <c r="G697" s="43">
        <v>8.4173197529778445</v>
      </c>
      <c r="H697" s="42">
        <v>9.4603695950751989E-3</v>
      </c>
      <c r="I697" s="43">
        <v>2.619124113396964</v>
      </c>
      <c r="J697" s="42">
        <v>0.49383618845317334</v>
      </c>
      <c r="K697" s="43">
        <v>2.0600041433808269</v>
      </c>
      <c r="L697" s="43">
        <v>2012.0293618218193</v>
      </c>
      <c r="M697" s="44">
        <v>2585.7856258273991</v>
      </c>
      <c r="N697" s="44">
        <v>4644.0115406382884</v>
      </c>
      <c r="O697" s="45" t="s">
        <v>5074</v>
      </c>
      <c r="P697" s="46">
        <v>1</v>
      </c>
      <c r="Q697" s="43">
        <v>2012.0293618218193</v>
      </c>
      <c r="R697" s="43">
        <v>2020.4466815747971</v>
      </c>
      <c r="S697" s="47">
        <v>0</v>
      </c>
      <c r="T697" s="48">
        <v>2020.4466815747971</v>
      </c>
      <c r="U697" s="48">
        <v>2008.0476246656333</v>
      </c>
      <c r="V697" s="48">
        <v>2020.1404323979425</v>
      </c>
      <c r="W697" s="48">
        <v>2015.8205508189908</v>
      </c>
    </row>
    <row r="698" spans="1:23" ht="13.2" x14ac:dyDescent="0.25">
      <c r="A698" s="41">
        <v>696</v>
      </c>
      <c r="B698" s="42">
        <v>0.15372096428355247</v>
      </c>
      <c r="C698" s="14" t="s">
        <v>5073</v>
      </c>
      <c r="D698" s="42">
        <v>0.86021002608361186</v>
      </c>
      <c r="E698" s="43">
        <v>383.22520313003344</v>
      </c>
      <c r="F698" s="42">
        <v>0.56580276999892798</v>
      </c>
      <c r="G698" s="43">
        <v>10.150962670096645</v>
      </c>
      <c r="H698" s="42">
        <v>0.32786841147014334</v>
      </c>
      <c r="I698" s="43">
        <v>3.2012864016970637</v>
      </c>
      <c r="J698" s="42">
        <v>0.63973828621196482</v>
      </c>
      <c r="K698" s="43">
        <v>1.3042222308204252</v>
      </c>
      <c r="L698" s="43">
        <v>2013.3335840526397</v>
      </c>
      <c r="M698" s="44">
        <v>2667.2474137850327</v>
      </c>
      <c r="N698" s="44">
        <v>4790.3150391254176</v>
      </c>
      <c r="O698" s="45" t="s">
        <v>5074</v>
      </c>
      <c r="P698" s="46">
        <v>2</v>
      </c>
      <c r="Q698" s="43">
        <v>2013.3335840526397</v>
      </c>
      <c r="R698" s="43">
        <v>2023.4845467227362</v>
      </c>
      <c r="S698" s="47">
        <v>0</v>
      </c>
      <c r="T698" s="48">
        <v>2020.4466815747971</v>
      </c>
      <c r="U698" s="48">
        <v>2023.4845467227362</v>
      </c>
      <c r="V698" s="48">
        <v>2020.1404323979425</v>
      </c>
      <c r="W698" s="48">
        <v>2015.8205508189908</v>
      </c>
    </row>
    <row r="699" spans="1:23" ht="13.2" x14ac:dyDescent="0.25">
      <c r="A699" s="41">
        <v>697</v>
      </c>
      <c r="B699" s="42">
        <v>0.84299291663011211</v>
      </c>
      <c r="C699" s="14" t="s">
        <v>5081</v>
      </c>
      <c r="D699" s="42">
        <v>0.25668968318807411</v>
      </c>
      <c r="E699" s="43">
        <v>270.26758732752296</v>
      </c>
      <c r="F699" s="42">
        <v>0.86704457498483578</v>
      </c>
      <c r="G699" s="43">
        <v>9.0483741292349862</v>
      </c>
      <c r="H699" s="42">
        <v>0.84331257959982031</v>
      </c>
      <c r="I699" s="43">
        <v>4.4402010710975244</v>
      </c>
      <c r="J699" s="42">
        <v>0.34369433687240553</v>
      </c>
      <c r="K699" s="43">
        <v>3.1182556852897649</v>
      </c>
      <c r="L699" s="43">
        <v>2016.4518397379295</v>
      </c>
      <c r="M699" s="44">
        <v>1881.0624077995599</v>
      </c>
      <c r="N699" s="44">
        <v>3378.344841594037</v>
      </c>
      <c r="O699" s="45" t="s">
        <v>5074</v>
      </c>
      <c r="P699" s="46">
        <v>4</v>
      </c>
      <c r="Q699" s="43">
        <v>2016.4518397379295</v>
      </c>
      <c r="R699" s="43">
        <v>2025.5002138671646</v>
      </c>
      <c r="S699" s="47">
        <v>0</v>
      </c>
      <c r="T699" s="48">
        <v>2020.4466815747971</v>
      </c>
      <c r="U699" s="48">
        <v>2023.4845467227362</v>
      </c>
      <c r="V699" s="48">
        <v>2020.1404323979425</v>
      </c>
      <c r="W699" s="48">
        <v>2025.5002138671646</v>
      </c>
    </row>
    <row r="700" spans="1:23" ht="13.2" x14ac:dyDescent="0.25">
      <c r="A700" s="41">
        <v>698</v>
      </c>
      <c r="B700" s="42">
        <v>0.28821848672266048</v>
      </c>
      <c r="C700" s="14" t="s">
        <v>5077</v>
      </c>
      <c r="D700" s="42">
        <v>0.34874798234028181</v>
      </c>
      <c r="E700" s="43">
        <v>43.138731841062537</v>
      </c>
      <c r="F700" s="42">
        <v>0.20744090350691272</v>
      </c>
      <c r="G700" s="43">
        <v>3.219571633683318</v>
      </c>
      <c r="H700" s="42">
        <v>4.2045789790361089E-2</v>
      </c>
      <c r="I700" s="43">
        <v>0.92303042032168303</v>
      </c>
      <c r="J700" s="42">
        <v>0.74038674670289584</v>
      </c>
      <c r="K700" s="43">
        <v>0.87761342665162234</v>
      </c>
      <c r="L700" s="43">
        <v>2017.3294531645811</v>
      </c>
      <c r="M700" s="44">
        <v>302.84019295708038</v>
      </c>
      <c r="N700" s="44">
        <v>539.2341480132817</v>
      </c>
      <c r="O700" s="45" t="s">
        <v>5074</v>
      </c>
      <c r="P700" s="46">
        <v>3</v>
      </c>
      <c r="Q700" s="43">
        <v>2020.1404323979425</v>
      </c>
      <c r="R700" s="43">
        <v>2023.3600040316257</v>
      </c>
      <c r="S700" s="43">
        <v>2.8109792333614223</v>
      </c>
      <c r="T700" s="48">
        <v>2020.4466815747971</v>
      </c>
      <c r="U700" s="48">
        <v>2023.4845467227362</v>
      </c>
      <c r="V700" s="48">
        <v>2023.3600040316257</v>
      </c>
      <c r="W700" s="48">
        <v>2025.5002138671646</v>
      </c>
    </row>
    <row r="701" spans="1:23" ht="13.2" x14ac:dyDescent="0.25">
      <c r="A701" s="41">
        <v>699</v>
      </c>
      <c r="B701" s="42">
        <v>0.72169158361930941</v>
      </c>
      <c r="C701" s="14" t="s">
        <v>5079</v>
      </c>
      <c r="D701" s="42">
        <v>0.15535987688012415</v>
      </c>
      <c r="E701" s="43">
        <v>7.4660796306403725</v>
      </c>
      <c r="F701" s="42">
        <v>0.87119983456619077</v>
      </c>
      <c r="G701" s="43">
        <v>1.535831981802281</v>
      </c>
      <c r="H701" s="42">
        <v>0.37676723458653655</v>
      </c>
      <c r="I701" s="43">
        <v>0.39410492899113525</v>
      </c>
      <c r="J701" s="42">
        <v>0.95328610062286545</v>
      </c>
      <c r="K701" s="43">
        <v>0.13967944486108835</v>
      </c>
      <c r="L701" s="43">
        <v>2017.4691326094421</v>
      </c>
      <c r="M701" s="44">
        <v>53.13738095281586</v>
      </c>
      <c r="N701" s="44">
        <v>93.325995383004653</v>
      </c>
      <c r="O701" s="45" t="s">
        <v>5074</v>
      </c>
      <c r="P701" s="46">
        <v>1</v>
      </c>
      <c r="Q701" s="43">
        <v>2020.4466815747971</v>
      </c>
      <c r="R701" s="43">
        <v>2021.9825135565993</v>
      </c>
      <c r="S701" s="43">
        <v>2.9775489653550267</v>
      </c>
      <c r="T701" s="48">
        <v>2021.9825135565993</v>
      </c>
      <c r="U701" s="48">
        <v>2023.4845467227362</v>
      </c>
      <c r="V701" s="48">
        <v>2023.3600040316257</v>
      </c>
      <c r="W701" s="48">
        <v>2025.5002138671646</v>
      </c>
    </row>
    <row r="702" spans="1:23" ht="13.2" x14ac:dyDescent="0.25">
      <c r="A702" s="41">
        <v>700</v>
      </c>
      <c r="B702" s="42">
        <v>1.8775220969121542E-2</v>
      </c>
      <c r="C702" s="14" t="s">
        <v>5073</v>
      </c>
      <c r="D702" s="42">
        <v>0.29681957294085043</v>
      </c>
      <c r="E702" s="43">
        <v>315.61834875290208</v>
      </c>
      <c r="F702" s="42">
        <v>7.178531497334377E-2</v>
      </c>
      <c r="G702" s="43">
        <v>8.6046880358665661</v>
      </c>
      <c r="H702" s="42">
        <v>0.92354195095763636</v>
      </c>
      <c r="I702" s="43">
        <v>3.7605348944380985</v>
      </c>
      <c r="J702" s="42">
        <v>0.13805370551443366</v>
      </c>
      <c r="K702" s="43">
        <v>5.7813503624456706</v>
      </c>
      <c r="L702" s="43">
        <v>2023.2504829718878</v>
      </c>
      <c r="M702" s="44">
        <v>2196.7037073201986</v>
      </c>
      <c r="N702" s="44">
        <v>3945.2293594112762</v>
      </c>
      <c r="O702" s="45" t="s">
        <v>5074</v>
      </c>
      <c r="P702" s="46">
        <v>1</v>
      </c>
      <c r="Q702" s="43">
        <v>2023.2504829718878</v>
      </c>
      <c r="R702" s="43">
        <v>2031.8551710077543</v>
      </c>
      <c r="S702" s="47">
        <v>0</v>
      </c>
      <c r="T702" s="48">
        <v>2031.8551710077543</v>
      </c>
      <c r="U702" s="48">
        <v>2023.4845467227362</v>
      </c>
      <c r="V702" s="48">
        <v>2023.3600040316257</v>
      </c>
      <c r="W702" s="48">
        <v>2025.5002138671646</v>
      </c>
    </row>
    <row r="703" spans="1:23" ht="13.2" x14ac:dyDescent="0.25">
      <c r="A703" s="41">
        <v>701</v>
      </c>
      <c r="B703" s="42">
        <v>0.3163073585910291</v>
      </c>
      <c r="C703" s="14" t="s">
        <v>5077</v>
      </c>
      <c r="D703" s="42">
        <v>0.97819467865777887</v>
      </c>
      <c r="E703" s="43">
        <v>48.803752107920012</v>
      </c>
      <c r="F703" s="42">
        <v>0.96962878525705487</v>
      </c>
      <c r="G703" s="43">
        <v>3.5854218169233865</v>
      </c>
      <c r="H703" s="42">
        <v>0.82591594514712507</v>
      </c>
      <c r="I703" s="43">
        <v>1.4201110493717308</v>
      </c>
      <c r="J703" s="42">
        <v>0.2107319641908314</v>
      </c>
      <c r="K703" s="43">
        <v>4.5464766859210659</v>
      </c>
      <c r="L703" s="43">
        <v>2027.7969596578089</v>
      </c>
      <c r="M703" s="44">
        <v>339.67411467112328</v>
      </c>
      <c r="N703" s="44">
        <v>610.04690134900011</v>
      </c>
      <c r="O703" s="45" t="s">
        <v>5074</v>
      </c>
      <c r="P703" s="46">
        <v>3</v>
      </c>
      <c r="Q703" s="43">
        <v>2027.7969596578089</v>
      </c>
      <c r="R703" s="43">
        <v>2031.3823814747323</v>
      </c>
      <c r="S703" s="47">
        <v>0</v>
      </c>
      <c r="T703" s="48">
        <v>2031.8551710077543</v>
      </c>
      <c r="U703" s="48">
        <v>2023.4845467227362</v>
      </c>
      <c r="V703" s="48">
        <v>2031.3823814747323</v>
      </c>
      <c r="W703" s="48">
        <v>2025.5002138671646</v>
      </c>
    </row>
    <row r="704" spans="1:23" ht="13.2" x14ac:dyDescent="0.25">
      <c r="A704" s="41">
        <v>702</v>
      </c>
      <c r="B704" s="42">
        <v>9.4830689530275153E-2</v>
      </c>
      <c r="C704" s="14" t="s">
        <v>5073</v>
      </c>
      <c r="D704" s="42">
        <v>0.52562632715591528</v>
      </c>
      <c r="E704" s="43">
        <v>343.07515925870985</v>
      </c>
      <c r="F704" s="42">
        <v>0.6343451457258058</v>
      </c>
      <c r="G704" s="43">
        <v>10.365500306121772</v>
      </c>
      <c r="H704" s="42">
        <v>0.82582519288446066</v>
      </c>
      <c r="I704" s="43">
        <v>3.638570746429326</v>
      </c>
      <c r="J704" s="42">
        <v>0.15132195276735441</v>
      </c>
      <c r="K704" s="43">
        <v>5.5134177355169154</v>
      </c>
      <c r="L704" s="43">
        <v>2033.3103773933258</v>
      </c>
      <c r="M704" s="44">
        <v>2387.8031084406207</v>
      </c>
      <c r="N704" s="44">
        <v>4288.4394907338728</v>
      </c>
      <c r="O704" s="45" t="s">
        <v>5074</v>
      </c>
      <c r="P704" s="46">
        <v>2</v>
      </c>
      <c r="Q704" s="43">
        <v>2033.3103773933258</v>
      </c>
      <c r="R704" s="43">
        <v>2043.6758776994475</v>
      </c>
      <c r="S704" s="47">
        <v>0</v>
      </c>
      <c r="T704" s="48">
        <v>2031.8551710077543</v>
      </c>
      <c r="U704" s="48">
        <v>2043.6758776994475</v>
      </c>
      <c r="V704" s="48">
        <v>2031.3823814747323</v>
      </c>
      <c r="W704" s="48">
        <v>2025.5002138671646</v>
      </c>
    </row>
    <row r="705" spans="1:23" ht="13.2" x14ac:dyDescent="0.25">
      <c r="A705" s="41">
        <v>703</v>
      </c>
      <c r="B705" s="42">
        <v>0.64556602651512529</v>
      </c>
      <c r="C705" s="14" t="s">
        <v>5079</v>
      </c>
      <c r="D705" s="42">
        <v>0.26242103486434604</v>
      </c>
      <c r="E705" s="43">
        <v>7.7872631045930376</v>
      </c>
      <c r="F705" s="42">
        <v>0.84519352151322813</v>
      </c>
      <c r="G705" s="43">
        <v>1.5329712873664552</v>
      </c>
      <c r="H705" s="42">
        <v>0.21853275188176555</v>
      </c>
      <c r="I705" s="43">
        <v>0.34782853306509054</v>
      </c>
      <c r="J705" s="42">
        <v>0.70096194171391513</v>
      </c>
      <c r="K705" s="43">
        <v>1.0373771820213955</v>
      </c>
      <c r="L705" s="43">
        <v>2034.3477545753472</v>
      </c>
      <c r="M705" s="44">
        <v>54.199351207967538</v>
      </c>
      <c r="N705" s="44">
        <v>97.340788807412963</v>
      </c>
      <c r="O705" s="45" t="s">
        <v>5074</v>
      </c>
      <c r="P705" s="46">
        <v>4</v>
      </c>
      <c r="Q705" s="43">
        <v>2034.3477545753472</v>
      </c>
      <c r="R705" s="43">
        <v>2035.8807258627137</v>
      </c>
      <c r="S705" s="47">
        <v>0</v>
      </c>
      <c r="T705" s="48">
        <v>2031.8551710077543</v>
      </c>
      <c r="U705" s="48">
        <v>2043.6758776994475</v>
      </c>
      <c r="V705" s="48">
        <v>2031.3823814747323</v>
      </c>
      <c r="W705" s="48">
        <v>2035.8807258627137</v>
      </c>
    </row>
    <row r="706" spans="1:23" ht="13.2" x14ac:dyDescent="0.25">
      <c r="A706" s="41">
        <v>704</v>
      </c>
      <c r="B706" s="42">
        <v>0.14816730057269675</v>
      </c>
      <c r="C706" s="14" t="s">
        <v>5073</v>
      </c>
      <c r="D706" s="42">
        <v>0.64812171396246254</v>
      </c>
      <c r="E706" s="43">
        <v>357.77460567549554</v>
      </c>
      <c r="F706" s="42">
        <v>0.26806931396390743</v>
      </c>
      <c r="G706" s="43">
        <v>9.2190569527070316</v>
      </c>
      <c r="H706" s="42">
        <v>0.54696171895925039</v>
      </c>
      <c r="I706" s="43">
        <v>3.4057828539108455</v>
      </c>
      <c r="J706" s="42">
        <v>0.92738659210847063</v>
      </c>
      <c r="K706" s="43">
        <v>0.22010150258624445</v>
      </c>
      <c r="L706" s="43">
        <v>2034.5678560779334</v>
      </c>
      <c r="M706" s="44">
        <v>2490.1112555014488</v>
      </c>
      <c r="N706" s="44">
        <v>4472.1825709436944</v>
      </c>
      <c r="O706" s="45" t="s">
        <v>5074</v>
      </c>
      <c r="P706" s="46">
        <v>3</v>
      </c>
      <c r="Q706" s="43">
        <v>2034.5678560779334</v>
      </c>
      <c r="R706" s="43">
        <v>2043.7869130306403</v>
      </c>
      <c r="S706" s="47">
        <v>0</v>
      </c>
      <c r="T706" s="48">
        <v>2031.8551710077543</v>
      </c>
      <c r="U706" s="48">
        <v>2043.6758776994475</v>
      </c>
      <c r="V706" s="48">
        <v>2043.7869130306403</v>
      </c>
      <c r="W706" s="48">
        <v>2035.8807258627137</v>
      </c>
    </row>
    <row r="707" spans="1:23" ht="13.2" x14ac:dyDescent="0.25">
      <c r="A707" s="41">
        <v>705</v>
      </c>
      <c r="B707" s="42">
        <v>0.6393652980399156</v>
      </c>
      <c r="C707" s="14" t="s">
        <v>5079</v>
      </c>
      <c r="D707" s="42">
        <v>0.99485583649708698</v>
      </c>
      <c r="E707" s="43">
        <v>9.98456750949126</v>
      </c>
      <c r="F707" s="42">
        <v>0.88338125957333546</v>
      </c>
      <c r="G707" s="43">
        <v>1.5371719385530669</v>
      </c>
      <c r="H707" s="42">
        <v>0.66322725203969857</v>
      </c>
      <c r="I707" s="43">
        <v>0.47524254807894528</v>
      </c>
      <c r="J707" s="42">
        <v>0.81383732511374973</v>
      </c>
      <c r="K707" s="43">
        <v>0.60144461094637591</v>
      </c>
      <c r="L707" s="43">
        <v>2035.1693006888797</v>
      </c>
      <c r="M707" s="44">
        <v>69.492589866059163</v>
      </c>
      <c r="N707" s="44">
        <v>124.80709386864075</v>
      </c>
      <c r="O707" s="45" t="s">
        <v>5074</v>
      </c>
      <c r="P707" s="46">
        <v>1</v>
      </c>
      <c r="Q707" s="43">
        <v>2035.1693006888797</v>
      </c>
      <c r="R707" s="43">
        <v>2036.7064726274327</v>
      </c>
      <c r="S707" s="47">
        <v>0</v>
      </c>
      <c r="T707" s="48">
        <v>2036.7064726274327</v>
      </c>
      <c r="U707" s="48">
        <v>2043.6758776994475</v>
      </c>
      <c r="V707" s="48">
        <v>2043.7869130306403</v>
      </c>
      <c r="W707" s="48">
        <v>2035.8807258627137</v>
      </c>
    </row>
    <row r="708" spans="1:23" ht="13.2" x14ac:dyDescent="0.25">
      <c r="A708" s="41">
        <v>706</v>
      </c>
      <c r="B708" s="42">
        <v>4.5720910209101115E-2</v>
      </c>
      <c r="C708" s="14" t="s">
        <v>5073</v>
      </c>
      <c r="D708" s="42">
        <v>7.0201749946084691E-2</v>
      </c>
      <c r="E708" s="43">
        <v>288.42420999353016</v>
      </c>
      <c r="F708" s="42">
        <v>3.9964952524735108E-2</v>
      </c>
      <c r="G708" s="43">
        <v>8.5050903014024222</v>
      </c>
      <c r="H708" s="42">
        <v>0.13473718060866799</v>
      </c>
      <c r="I708" s="43">
        <v>2.9495617542818806</v>
      </c>
      <c r="J708" s="42">
        <v>0.87768858898323432</v>
      </c>
      <c r="K708" s="43">
        <v>0.3809151255856601</v>
      </c>
      <c r="L708" s="43">
        <v>2035.5502158144654</v>
      </c>
      <c r="M708" s="44">
        <v>2008.4073613526887</v>
      </c>
      <c r="N708" s="44">
        <v>3605.3026249191271</v>
      </c>
      <c r="O708" s="45" t="s">
        <v>5074</v>
      </c>
      <c r="P708" s="46">
        <v>4</v>
      </c>
      <c r="Q708" s="43">
        <v>2035.8807258627137</v>
      </c>
      <c r="R708" s="43">
        <v>2044.385816164116</v>
      </c>
      <c r="S708" s="43">
        <v>0.33051004824824304</v>
      </c>
      <c r="T708" s="48">
        <v>2036.7064726274327</v>
      </c>
      <c r="U708" s="48">
        <v>2043.6758776994475</v>
      </c>
      <c r="V708" s="48">
        <v>2043.7869130306403</v>
      </c>
      <c r="W708" s="48">
        <v>2044.385816164116</v>
      </c>
    </row>
    <row r="709" spans="1:23" ht="13.2" x14ac:dyDescent="0.25">
      <c r="A709" s="41">
        <v>707</v>
      </c>
      <c r="B709" s="42">
        <v>7.0713263969269233E-2</v>
      </c>
      <c r="C709" s="14" t="s">
        <v>5073</v>
      </c>
      <c r="D709" s="42">
        <v>0.4678443937878331</v>
      </c>
      <c r="E709" s="43">
        <v>336.14132725453999</v>
      </c>
      <c r="F709" s="42">
        <v>0.16170563882296235</v>
      </c>
      <c r="G709" s="43">
        <v>8.886138649515873</v>
      </c>
      <c r="H709" s="42">
        <v>0.55059773733401562</v>
      </c>
      <c r="I709" s="43">
        <v>3.4087885375603193</v>
      </c>
      <c r="J709" s="42">
        <v>0.17087184832006314</v>
      </c>
      <c r="K709" s="43">
        <v>5.1586611050150815</v>
      </c>
      <c r="L709" s="43">
        <v>2040.7088769194804</v>
      </c>
      <c r="M709" s="44">
        <v>2339.5436376915982</v>
      </c>
      <c r="N709" s="44">
        <v>4201.7665906817501</v>
      </c>
      <c r="O709" s="45" t="s">
        <v>5074</v>
      </c>
      <c r="P709" s="46">
        <v>1</v>
      </c>
      <c r="Q709" s="43">
        <v>2040.7088769194804</v>
      </c>
      <c r="R709" s="43">
        <v>2049.5950155689961</v>
      </c>
      <c r="S709" s="47">
        <v>0</v>
      </c>
      <c r="T709" s="48">
        <v>2049.5950155689961</v>
      </c>
      <c r="U709" s="48">
        <v>2043.6758776994475</v>
      </c>
      <c r="V709" s="48">
        <v>2043.7869130306403</v>
      </c>
      <c r="W709" s="48">
        <v>2044.385816164116</v>
      </c>
    </row>
    <row r="710" spans="1:23" ht="13.2" x14ac:dyDescent="0.25">
      <c r="A710" s="41">
        <v>708</v>
      </c>
      <c r="B710" s="42">
        <v>0.93546089899514839</v>
      </c>
      <c r="C710" s="14" t="s">
        <v>5075</v>
      </c>
      <c r="D710" s="42">
        <v>0.5250358453602697</v>
      </c>
      <c r="E710" s="43">
        <v>316.75250917521885</v>
      </c>
      <c r="F710" s="42">
        <v>0.76263424882787945</v>
      </c>
      <c r="G710" s="43">
        <v>9.8676421551674807</v>
      </c>
      <c r="H710" s="42">
        <v>0.24516617192196016</v>
      </c>
      <c r="I710" s="43">
        <v>2.2002373482212443</v>
      </c>
      <c r="J710" s="42">
        <v>0.69445434664117844</v>
      </c>
      <c r="K710" s="43">
        <v>1.0646097942372941</v>
      </c>
      <c r="L710" s="43">
        <v>2041.7734867137176</v>
      </c>
      <c r="M710" s="44">
        <v>2208.7831755572452</v>
      </c>
      <c r="N710" s="44">
        <v>3959.4063646902355</v>
      </c>
      <c r="O710" s="45" t="s">
        <v>5074</v>
      </c>
      <c r="P710" s="46">
        <v>2</v>
      </c>
      <c r="Q710" s="43">
        <v>2043.6758776994475</v>
      </c>
      <c r="R710" s="43">
        <v>2053.5435198546152</v>
      </c>
      <c r="S710" s="43">
        <v>1.9023909857298804</v>
      </c>
      <c r="T710" s="48">
        <v>2049.5950155689961</v>
      </c>
      <c r="U710" s="48">
        <v>2053.5435198546152</v>
      </c>
      <c r="V710" s="48">
        <v>2043.7869130306403</v>
      </c>
      <c r="W710" s="48">
        <v>2044.385816164116</v>
      </c>
    </row>
    <row r="711" spans="1:23" ht="13.2" x14ac:dyDescent="0.25">
      <c r="A711" s="41">
        <v>709</v>
      </c>
      <c r="B711" s="42">
        <v>9.3478853392172073E-2</v>
      </c>
      <c r="C711" s="14" t="s">
        <v>5073</v>
      </c>
      <c r="D711" s="42">
        <v>0.36057855112505077</v>
      </c>
      <c r="E711" s="43">
        <v>323.26942613500609</v>
      </c>
      <c r="F711" s="42">
        <v>0.48494737105674451</v>
      </c>
      <c r="G711" s="43">
        <v>9.8978852714076098</v>
      </c>
      <c r="H711" s="42">
        <v>0.49494417360748361</v>
      </c>
      <c r="I711" s="43">
        <v>3.3616358049728583</v>
      </c>
      <c r="J711" s="42">
        <v>0.42270994252651461</v>
      </c>
      <c r="K711" s="43">
        <v>2.5140702196008995</v>
      </c>
      <c r="L711" s="43">
        <v>2044.2875569333185</v>
      </c>
      <c r="M711" s="44">
        <v>2249.9552058996424</v>
      </c>
      <c r="N711" s="44">
        <v>4040.8678266875759</v>
      </c>
      <c r="O711" s="45" t="s">
        <v>5074</v>
      </c>
      <c r="P711" s="46">
        <v>3</v>
      </c>
      <c r="Q711" s="43">
        <v>2044.2875569333185</v>
      </c>
      <c r="R711" s="43">
        <v>2054.1854422047259</v>
      </c>
      <c r="S711" s="47">
        <v>0</v>
      </c>
      <c r="T711" s="48">
        <v>2049.5950155689961</v>
      </c>
      <c r="U711" s="48">
        <v>2053.5435198546152</v>
      </c>
      <c r="V711" s="48">
        <v>2054.1854422047259</v>
      </c>
      <c r="W711" s="48">
        <v>2044.385816164116</v>
      </c>
    </row>
    <row r="712" spans="1:23" ht="13.2" x14ac:dyDescent="0.25">
      <c r="A712" s="41">
        <v>710</v>
      </c>
      <c r="B712" s="42">
        <v>0.73921989264861676</v>
      </c>
      <c r="C712" s="14" t="s">
        <v>5079</v>
      </c>
      <c r="D712" s="42">
        <v>0.46394688471404227</v>
      </c>
      <c r="E712" s="43">
        <v>8.3918406541421273</v>
      </c>
      <c r="F712" s="42">
        <v>0.66041458708253442</v>
      </c>
      <c r="G712" s="43">
        <v>1.5126456045790788</v>
      </c>
      <c r="H712" s="42">
        <v>6.2699501431872834E-2</v>
      </c>
      <c r="I712" s="43">
        <v>0.27918301675982854</v>
      </c>
      <c r="J712" s="42">
        <v>0.359756834041214</v>
      </c>
      <c r="K712" s="43">
        <v>2.9848961657085136</v>
      </c>
      <c r="L712" s="43">
        <v>2047.272453099027</v>
      </c>
      <c r="M712" s="44">
        <v>58.407210952829203</v>
      </c>
      <c r="N712" s="44">
        <v>104.89800817677659</v>
      </c>
      <c r="O712" s="45" t="s">
        <v>5074</v>
      </c>
      <c r="P712" s="46">
        <v>4</v>
      </c>
      <c r="Q712" s="43">
        <v>2047.272453099027</v>
      </c>
      <c r="R712" s="43">
        <v>2048.7850987036059</v>
      </c>
      <c r="S712" s="47">
        <v>0</v>
      </c>
      <c r="T712" s="48">
        <v>2049.5950155689961</v>
      </c>
      <c r="U712" s="48">
        <v>2053.5435198546152</v>
      </c>
      <c r="V712" s="48">
        <v>2054.1854422047259</v>
      </c>
      <c r="W712" s="48">
        <v>2048.7850987036059</v>
      </c>
    </row>
    <row r="713" spans="1:23" ht="13.2" x14ac:dyDescent="0.25">
      <c r="A713" s="41">
        <v>711</v>
      </c>
      <c r="B713" s="42">
        <v>0.71631839765064342</v>
      </c>
      <c r="C713" s="14" t="s">
        <v>5079</v>
      </c>
      <c r="D713" s="42">
        <v>0.35298538317577233</v>
      </c>
      <c r="E713" s="43">
        <v>8.058956149527317</v>
      </c>
      <c r="F713" s="42">
        <v>0.46706659834229697</v>
      </c>
      <c r="G713" s="43">
        <v>1.4913773258176526</v>
      </c>
      <c r="H713" s="42">
        <v>0.50174165773286561</v>
      </c>
      <c r="I713" s="43">
        <v>0.42661610994780591</v>
      </c>
      <c r="J713" s="42">
        <v>4.973744044533812E-3</v>
      </c>
      <c r="K713" s="43">
        <v>15.48491209811192</v>
      </c>
      <c r="L713" s="43">
        <v>2062.7573651971388</v>
      </c>
      <c r="M713" s="44">
        <v>56.090334800710124</v>
      </c>
      <c r="N713" s="44">
        <v>100.73695186909146</v>
      </c>
      <c r="O713" s="45" t="s">
        <v>5074</v>
      </c>
      <c r="P713" s="46">
        <v>4</v>
      </c>
      <c r="Q713" s="43">
        <v>2062.7573651971388</v>
      </c>
      <c r="R713" s="43">
        <v>2064.2487425229565</v>
      </c>
      <c r="S713" s="47">
        <v>0</v>
      </c>
      <c r="T713" s="48">
        <v>2049.5950155689961</v>
      </c>
      <c r="U713" s="48">
        <v>2053.5435198546152</v>
      </c>
      <c r="V713" s="48">
        <v>2054.1854422047259</v>
      </c>
      <c r="W713" s="48">
        <v>2064.2487425229565</v>
      </c>
    </row>
    <row r="714" spans="1:23" ht="13.2" x14ac:dyDescent="0.25">
      <c r="A714" s="41">
        <v>712</v>
      </c>
      <c r="B714" s="42">
        <v>0.39344167355142612</v>
      </c>
      <c r="C714" s="14" t="s">
        <v>5077</v>
      </c>
      <c r="D714" s="42">
        <v>0.97380413346635375</v>
      </c>
      <c r="E714" s="43">
        <v>48.764237201197183</v>
      </c>
      <c r="F714" s="42">
        <v>0.79739402830479389</v>
      </c>
      <c r="G714" s="43">
        <v>3.5027491335863012</v>
      </c>
      <c r="H714" s="42">
        <v>0.76709998295041737</v>
      </c>
      <c r="I714" s="43">
        <v>1.376263984591902</v>
      </c>
      <c r="J714" s="42">
        <v>0.57125648929330353</v>
      </c>
      <c r="K714" s="43">
        <v>1.6347940935037137</v>
      </c>
      <c r="L714" s="43">
        <v>2064.3921592906427</v>
      </c>
      <c r="M714" s="44">
        <v>339.39909092033241</v>
      </c>
      <c r="N714" s="44">
        <v>609.5529650149648</v>
      </c>
      <c r="O714" s="45" t="s">
        <v>5074</v>
      </c>
      <c r="P714" s="46">
        <v>1</v>
      </c>
      <c r="Q714" s="43">
        <v>2064.3921592906427</v>
      </c>
      <c r="R714" s="43">
        <v>2067.894908424229</v>
      </c>
      <c r="S714" s="47">
        <v>0</v>
      </c>
      <c r="T714" s="48">
        <v>2067.894908424229</v>
      </c>
      <c r="U714" s="48">
        <v>2053.5435198546152</v>
      </c>
      <c r="V714" s="48">
        <v>2054.1854422047259</v>
      </c>
      <c r="W714" s="48">
        <v>2064.2487425229565</v>
      </c>
    </row>
    <row r="715" spans="1:23" ht="13.2" x14ac:dyDescent="0.25">
      <c r="A715" s="41">
        <v>713</v>
      </c>
      <c r="B715" s="42">
        <v>0.17997688203117665</v>
      </c>
      <c r="C715" s="14" t="s">
        <v>5073</v>
      </c>
      <c r="D715" s="42">
        <v>0.49169889022209629</v>
      </c>
      <c r="E715" s="43">
        <v>339.00386682665157</v>
      </c>
      <c r="F715" s="42">
        <v>0.56738288075075616</v>
      </c>
      <c r="G715" s="43">
        <v>10.155908416749867</v>
      </c>
      <c r="H715" s="42">
        <v>0.46171759835524373</v>
      </c>
      <c r="I715" s="43">
        <v>3.3322117504174438</v>
      </c>
      <c r="J715" s="42">
        <v>0.95753820797313849</v>
      </c>
      <c r="K715" s="43">
        <v>0.12668512360607206</v>
      </c>
      <c r="L715" s="43">
        <v>2064.5188444142486</v>
      </c>
      <c r="M715" s="44">
        <v>2359.4669131134951</v>
      </c>
      <c r="N715" s="44">
        <v>4237.5483353331447</v>
      </c>
      <c r="O715" s="45" t="s">
        <v>5074</v>
      </c>
      <c r="P715" s="46">
        <v>2</v>
      </c>
      <c r="Q715" s="43">
        <v>2064.5188444142486</v>
      </c>
      <c r="R715" s="43">
        <v>2074.6747528309984</v>
      </c>
      <c r="S715" s="47">
        <v>0</v>
      </c>
      <c r="T715" s="48">
        <v>2067.894908424229</v>
      </c>
      <c r="U715" s="48">
        <v>2074.6747528309984</v>
      </c>
      <c r="V715" s="48">
        <v>2054.1854422047259</v>
      </c>
      <c r="W715" s="48">
        <v>2064.2487425229565</v>
      </c>
    </row>
    <row r="716" spans="1:23" ht="13.2" x14ac:dyDescent="0.25">
      <c r="A716" s="41">
        <v>714</v>
      </c>
      <c r="B716" s="42">
        <v>0.75776243431389445</v>
      </c>
      <c r="C716" s="14" t="s">
        <v>5079</v>
      </c>
      <c r="D716" s="42">
        <v>0.98811228107107441</v>
      </c>
      <c r="E716" s="43">
        <v>9.9643368432132231</v>
      </c>
      <c r="F716" s="42">
        <v>6.6785776087448831E-2</v>
      </c>
      <c r="G716" s="43">
        <v>1.4473464353696193</v>
      </c>
      <c r="H716" s="42">
        <v>6.6077906669153794E-2</v>
      </c>
      <c r="I716" s="43">
        <v>0.28128831814544686</v>
      </c>
      <c r="J716" s="42">
        <v>0.7997344191184893</v>
      </c>
      <c r="K716" s="43">
        <v>0.65248345264923435</v>
      </c>
      <c r="L716" s="43">
        <v>2065.1713278668981</v>
      </c>
      <c r="M716" s="44">
        <v>69.351784428764034</v>
      </c>
      <c r="N716" s="44">
        <v>124.55421054016529</v>
      </c>
      <c r="O716" s="45" t="s">
        <v>5074</v>
      </c>
      <c r="P716" s="46">
        <v>3</v>
      </c>
      <c r="Q716" s="43">
        <v>2065.1713278668981</v>
      </c>
      <c r="R716" s="43">
        <v>2066.6186743022677</v>
      </c>
      <c r="S716" s="47">
        <v>0</v>
      </c>
      <c r="T716" s="48">
        <v>2067.894908424229</v>
      </c>
      <c r="U716" s="48">
        <v>2074.6747528309984</v>
      </c>
      <c r="V716" s="48">
        <v>2066.6186743022677</v>
      </c>
      <c r="W716" s="48">
        <v>2064.2487425229565</v>
      </c>
    </row>
    <row r="717" spans="1:23" ht="13.2" x14ac:dyDescent="0.25">
      <c r="A717" s="41">
        <v>715</v>
      </c>
      <c r="B717" s="42">
        <v>0.40611914936738047</v>
      </c>
      <c r="C717" s="14" t="s">
        <v>5077</v>
      </c>
      <c r="D717" s="42">
        <v>0.94923668492084212</v>
      </c>
      <c r="E717" s="43">
        <v>48.543130164287575</v>
      </c>
      <c r="F717" s="42">
        <v>0.66510381068340685</v>
      </c>
      <c r="G717" s="43">
        <v>3.4392498291280353</v>
      </c>
      <c r="H717" s="42">
        <v>0.3926137436146912</v>
      </c>
      <c r="I717" s="43">
        <v>1.1759533850110793</v>
      </c>
      <c r="J717" s="42">
        <v>0.86372618976222637</v>
      </c>
      <c r="K717" s="43">
        <v>0.42773568000610118</v>
      </c>
      <c r="L717" s="43">
        <v>2065.5990635469043</v>
      </c>
      <c r="M717" s="44">
        <v>337.86018594344154</v>
      </c>
      <c r="N717" s="44">
        <v>606.78912705359471</v>
      </c>
      <c r="O717" s="45" t="s">
        <v>5074</v>
      </c>
      <c r="P717" s="46">
        <v>4</v>
      </c>
      <c r="Q717" s="43">
        <v>2065.5990635469043</v>
      </c>
      <c r="R717" s="43">
        <v>2069.0383133760324</v>
      </c>
      <c r="S717" s="47">
        <v>0</v>
      </c>
      <c r="T717" s="48">
        <v>2067.894908424229</v>
      </c>
      <c r="U717" s="48">
        <v>2074.6747528309984</v>
      </c>
      <c r="V717" s="48">
        <v>2066.6186743022677</v>
      </c>
      <c r="W717" s="48">
        <v>2069.0383133760324</v>
      </c>
    </row>
    <row r="718" spans="1:23" ht="13.2" x14ac:dyDescent="0.25">
      <c r="A718" s="41">
        <v>716</v>
      </c>
      <c r="B718" s="42">
        <v>0.30814991579770573</v>
      </c>
      <c r="C718" s="14" t="s">
        <v>5077</v>
      </c>
      <c r="D718" s="42">
        <v>0.71072912202716299</v>
      </c>
      <c r="E718" s="43">
        <v>46.396562098244466</v>
      </c>
      <c r="F718" s="42">
        <v>0.86397820937632497</v>
      </c>
      <c r="G718" s="43">
        <v>3.5347095405006361</v>
      </c>
      <c r="H718" s="42">
        <v>0.80109807327440852</v>
      </c>
      <c r="I718" s="43">
        <v>1.4008246884742723</v>
      </c>
      <c r="J718" s="42">
        <v>0.24255303071930681</v>
      </c>
      <c r="K718" s="43">
        <v>4.1358683478357339</v>
      </c>
      <c r="L718" s="43">
        <v>2069.7349318947399</v>
      </c>
      <c r="M718" s="44">
        <v>322.9200722037815</v>
      </c>
      <c r="N718" s="44">
        <v>579.95702622805584</v>
      </c>
      <c r="O718" s="45" t="s">
        <v>5074</v>
      </c>
      <c r="P718" s="46">
        <v>3</v>
      </c>
      <c r="Q718" s="43">
        <v>2069.7349318947399</v>
      </c>
      <c r="R718" s="43">
        <v>2073.2696414352404</v>
      </c>
      <c r="S718" s="47">
        <v>0</v>
      </c>
      <c r="T718" s="48">
        <v>2067.894908424229</v>
      </c>
      <c r="U718" s="48">
        <v>2074.6747528309984</v>
      </c>
      <c r="V718" s="48">
        <v>2073.2696414352404</v>
      </c>
      <c r="W718" s="48">
        <v>2069.0383133760324</v>
      </c>
    </row>
    <row r="719" spans="1:23" ht="13.2" x14ac:dyDescent="0.25">
      <c r="A719" s="41">
        <v>717</v>
      </c>
      <c r="B719" s="42">
        <v>5.5594000059922224E-2</v>
      </c>
      <c r="C719" s="14" t="s">
        <v>5073</v>
      </c>
      <c r="D719" s="42">
        <v>7.5085687951690377E-2</v>
      </c>
      <c r="E719" s="43">
        <v>289.01028255420283</v>
      </c>
      <c r="F719" s="42">
        <v>0.47687373332533695</v>
      </c>
      <c r="G719" s="43">
        <v>9.8726147853083042</v>
      </c>
      <c r="H719" s="42">
        <v>0.72309930237154441</v>
      </c>
      <c r="I719" s="43">
        <v>3.5442857000034542</v>
      </c>
      <c r="J719" s="42">
        <v>0.33841594091542809</v>
      </c>
      <c r="K719" s="43">
        <v>3.1634439288627076</v>
      </c>
      <c r="L719" s="43">
        <v>2072.8983758236027</v>
      </c>
      <c r="M719" s="44">
        <v>2011.5115665772516</v>
      </c>
      <c r="N719" s="44">
        <v>3612.6285319275353</v>
      </c>
      <c r="O719" s="45" t="s">
        <v>5074</v>
      </c>
      <c r="P719" s="46">
        <v>1</v>
      </c>
      <c r="Q719" s="43">
        <v>2072.8983758236027</v>
      </c>
      <c r="R719" s="43">
        <v>2082.7709906089108</v>
      </c>
      <c r="S719" s="47">
        <v>0</v>
      </c>
      <c r="T719" s="48">
        <v>2082.7709906089108</v>
      </c>
      <c r="U719" s="48">
        <v>2074.6747528309984</v>
      </c>
      <c r="V719" s="48">
        <v>2073.2696414352404</v>
      </c>
      <c r="W719" s="48">
        <v>2069.0383133760324</v>
      </c>
    </row>
    <row r="720" spans="1:23" ht="13.2" x14ac:dyDescent="0.25">
      <c r="A720" s="41">
        <v>718</v>
      </c>
      <c r="B720" s="42">
        <v>0.26618819882450073</v>
      </c>
      <c r="C720" s="14" t="s">
        <v>5077</v>
      </c>
      <c r="D720" s="42">
        <v>0.38378429803242176</v>
      </c>
      <c r="E720" s="43">
        <v>43.454058682291794</v>
      </c>
      <c r="F720" s="42">
        <v>3.0818362734661608E-2</v>
      </c>
      <c r="G720" s="43">
        <v>3.1347928141126378</v>
      </c>
      <c r="H720" s="42">
        <v>0.40736685851931892</v>
      </c>
      <c r="I720" s="43">
        <v>1.1829517842587429</v>
      </c>
      <c r="J720" s="42">
        <v>0.79231281522303487</v>
      </c>
      <c r="K720" s="43">
        <v>0.67970509906969057</v>
      </c>
      <c r="L720" s="43">
        <v>2073.5780809226726</v>
      </c>
      <c r="M720" s="44">
        <v>302.44024842875086</v>
      </c>
      <c r="N720" s="44">
        <v>543.17573352864747</v>
      </c>
      <c r="O720" s="45" t="s">
        <v>5074</v>
      </c>
      <c r="P720" s="46">
        <v>4</v>
      </c>
      <c r="Q720" s="43">
        <v>2073.5780809226726</v>
      </c>
      <c r="R720" s="43">
        <v>2076.7128737367852</v>
      </c>
      <c r="S720" s="47">
        <v>0</v>
      </c>
      <c r="T720" s="48">
        <v>2082.7709906089108</v>
      </c>
      <c r="U720" s="48">
        <v>2074.6747528309984</v>
      </c>
      <c r="V720" s="48">
        <v>2073.2696414352404</v>
      </c>
      <c r="W720" s="48">
        <v>2076.7128737367852</v>
      </c>
    </row>
    <row r="721" spans="1:23" ht="13.2" x14ac:dyDescent="0.25">
      <c r="A721" s="41">
        <v>719</v>
      </c>
      <c r="B721" s="42">
        <v>0.96089506799396829</v>
      </c>
      <c r="C721" s="14" t="s">
        <v>5080</v>
      </c>
      <c r="D721" s="42">
        <v>0.33518860597870714</v>
      </c>
      <c r="E721" s="43">
        <v>93.379715149467671</v>
      </c>
      <c r="F721" s="42">
        <v>0.28650265340064773</v>
      </c>
      <c r="G721" s="43">
        <v>4.3647114328363497</v>
      </c>
      <c r="H721" s="42">
        <v>0.3012876591185516</v>
      </c>
      <c r="I721" s="43">
        <v>1.8586761185368075</v>
      </c>
      <c r="J721" s="42">
        <v>0.31293025301440164</v>
      </c>
      <c r="K721" s="43">
        <v>3.3920436411472452</v>
      </c>
      <c r="L721" s="43">
        <v>2076.9701245638198</v>
      </c>
      <c r="M721" s="44">
        <v>649.92281744029503</v>
      </c>
      <c r="N721" s="44">
        <v>1167.2464393683458</v>
      </c>
      <c r="O721" s="45" t="s">
        <v>5074</v>
      </c>
      <c r="P721" s="46">
        <v>3</v>
      </c>
      <c r="Q721" s="43">
        <v>2076.9701245638198</v>
      </c>
      <c r="R721" s="43">
        <v>2081.3348359966562</v>
      </c>
      <c r="S721" s="47">
        <v>0</v>
      </c>
      <c r="T721" s="48">
        <v>2082.7709906089108</v>
      </c>
      <c r="U721" s="48">
        <v>2074.6747528309984</v>
      </c>
      <c r="V721" s="48">
        <v>2081.3348359966562</v>
      </c>
      <c r="W721" s="48">
        <v>2076.7128737367852</v>
      </c>
    </row>
    <row r="722" spans="1:23" ht="13.2" x14ac:dyDescent="0.25">
      <c r="A722" s="41">
        <v>720</v>
      </c>
      <c r="B722" s="42">
        <v>0.7015347428161347</v>
      </c>
      <c r="C722" s="14" t="s">
        <v>5079</v>
      </c>
      <c r="D722" s="42">
        <v>0.58992197252340706</v>
      </c>
      <c r="E722" s="43">
        <v>8.7697659175702221</v>
      </c>
      <c r="F722" s="42">
        <v>0.34345047005612889</v>
      </c>
      <c r="G722" s="43">
        <v>1.4777795517061743</v>
      </c>
      <c r="H722" s="42">
        <v>0.36580612387778522</v>
      </c>
      <c r="I722" s="43">
        <v>0.39126058764883714</v>
      </c>
      <c r="J722" s="42">
        <v>0.91048361636255104</v>
      </c>
      <c r="K722" s="43">
        <v>0.27380839149399477</v>
      </c>
      <c r="L722" s="43">
        <v>2077.243932955314</v>
      </c>
      <c r="M722" s="44">
        <v>61.037570786288747</v>
      </c>
      <c r="N722" s="44">
        <v>109.62207396962778</v>
      </c>
      <c r="O722" s="45" t="s">
        <v>5074</v>
      </c>
      <c r="P722" s="46">
        <v>2</v>
      </c>
      <c r="Q722" s="43">
        <v>2077.243932955314</v>
      </c>
      <c r="R722" s="43">
        <v>2078.7217125070201</v>
      </c>
      <c r="S722" s="47">
        <v>0</v>
      </c>
      <c r="T722" s="48">
        <v>2082.7709906089108</v>
      </c>
      <c r="U722" s="48">
        <v>2078.7217125070201</v>
      </c>
      <c r="V722" s="48">
        <v>2081.3348359966562</v>
      </c>
      <c r="W722" s="48">
        <v>2076.7128737367852</v>
      </c>
    </row>
    <row r="723" spans="1:23" ht="13.2" x14ac:dyDescent="0.25">
      <c r="A723" s="41">
        <v>721</v>
      </c>
      <c r="B723" s="42">
        <v>0.21366182119290431</v>
      </c>
      <c r="C723" s="14" t="s">
        <v>5073</v>
      </c>
      <c r="D723" s="42">
        <v>0.91505706492581274</v>
      </c>
      <c r="E723" s="43">
        <v>389.80684779109754</v>
      </c>
      <c r="F723" s="42">
        <v>0.83313158426113965</v>
      </c>
      <c r="G723" s="43">
        <v>10.987701858737367</v>
      </c>
      <c r="H723" s="42">
        <v>0.82242821940333966</v>
      </c>
      <c r="I723" s="43">
        <v>3.6350632445923057</v>
      </c>
      <c r="J723" s="42">
        <v>0.80403828984314496</v>
      </c>
      <c r="K723" s="43">
        <v>0.63681280804131368</v>
      </c>
      <c r="L723" s="43">
        <v>2077.8807457633552</v>
      </c>
      <c r="M723" s="44">
        <v>2713.0556606260388</v>
      </c>
      <c r="N723" s="44">
        <v>4872.5855973887192</v>
      </c>
      <c r="O723" s="45" t="s">
        <v>5074</v>
      </c>
      <c r="P723" s="46">
        <v>4</v>
      </c>
      <c r="Q723" s="43">
        <v>2077.8807457633552</v>
      </c>
      <c r="R723" s="43">
        <v>2088.8684476220924</v>
      </c>
      <c r="S723" s="47">
        <v>0</v>
      </c>
      <c r="T723" s="48">
        <v>2082.7709906089108</v>
      </c>
      <c r="U723" s="48">
        <v>2078.7217125070201</v>
      </c>
      <c r="V723" s="48">
        <v>2081.3348359966562</v>
      </c>
      <c r="W723" s="48">
        <v>2088.8684476220924</v>
      </c>
    </row>
    <row r="724" spans="1:23" ht="13.2" x14ac:dyDescent="0.25">
      <c r="A724" s="41">
        <v>722</v>
      </c>
      <c r="B724" s="42">
        <v>0.30653710677592882</v>
      </c>
      <c r="C724" s="14" t="s">
        <v>5077</v>
      </c>
      <c r="D724" s="42">
        <v>0.14979214880140132</v>
      </c>
      <c r="E724" s="43">
        <v>41.348129339212612</v>
      </c>
      <c r="F724" s="42">
        <v>0.24861959845229034</v>
      </c>
      <c r="G724" s="43">
        <v>3.2393374072570995</v>
      </c>
      <c r="H724" s="42">
        <v>9.2497444754698049E-3</v>
      </c>
      <c r="I724" s="43">
        <v>0.85770535513424329</v>
      </c>
      <c r="J724" s="42">
        <v>0.90305897728682449</v>
      </c>
      <c r="K724" s="43">
        <v>0.2977150805487106</v>
      </c>
      <c r="L724" s="43">
        <v>2078.1784608439038</v>
      </c>
      <c r="M724" s="44">
        <v>288.2489300615602</v>
      </c>
      <c r="N724" s="44">
        <v>516.85161674015762</v>
      </c>
      <c r="O724" s="45" t="s">
        <v>5074</v>
      </c>
      <c r="P724" s="46">
        <v>2</v>
      </c>
      <c r="Q724" s="43">
        <v>2078.7217125070201</v>
      </c>
      <c r="R724" s="43">
        <v>2081.9610499142773</v>
      </c>
      <c r="S724" s="43">
        <v>0.54325166311627981</v>
      </c>
      <c r="T724" s="48">
        <v>2082.7709906089108</v>
      </c>
      <c r="U724" s="48">
        <v>2081.9610499142773</v>
      </c>
      <c r="V724" s="48">
        <v>2081.3348359966562</v>
      </c>
      <c r="W724" s="48">
        <v>2088.8684476220924</v>
      </c>
    </row>
    <row r="725" spans="1:23" ht="13.2" x14ac:dyDescent="0.25">
      <c r="A725" s="41">
        <v>723</v>
      </c>
      <c r="B725" s="42">
        <v>0.71630429742685719</v>
      </c>
      <c r="C725" s="14" t="s">
        <v>5079</v>
      </c>
      <c r="D725" s="42">
        <v>0.88281038537752365</v>
      </c>
      <c r="E725" s="43">
        <v>9.6484311561325704</v>
      </c>
      <c r="F725" s="42">
        <v>0.42885646849351772</v>
      </c>
      <c r="G725" s="43">
        <v>1.487174211534287</v>
      </c>
      <c r="H725" s="42">
        <v>0.78535511846903483</v>
      </c>
      <c r="I725" s="43">
        <v>0.52056552106787057</v>
      </c>
      <c r="J725" s="42">
        <v>0.7007056161298908</v>
      </c>
      <c r="K725" s="43">
        <v>1.0384450470367752</v>
      </c>
      <c r="L725" s="43">
        <v>2079.2169058909408</v>
      </c>
      <c r="M725" s="44">
        <v>68.255602235749777</v>
      </c>
      <c r="N725" s="44">
        <v>120.60538945165713</v>
      </c>
      <c r="O725" s="45" t="s">
        <v>5074</v>
      </c>
      <c r="P725" s="46">
        <v>3</v>
      </c>
      <c r="Q725" s="43">
        <v>2081.3348359966562</v>
      </c>
      <c r="R725" s="43">
        <v>2082.8220102081905</v>
      </c>
      <c r="S725" s="43">
        <v>2.1179301057154589</v>
      </c>
      <c r="T725" s="48">
        <v>2082.7709906089108</v>
      </c>
      <c r="U725" s="48">
        <v>2081.9610499142773</v>
      </c>
      <c r="V725" s="48">
        <v>2082.8220102081905</v>
      </c>
      <c r="W725" s="48">
        <v>2088.8684476220924</v>
      </c>
    </row>
    <row r="726" spans="1:23" ht="13.2" x14ac:dyDescent="0.25">
      <c r="A726" s="41">
        <v>724</v>
      </c>
      <c r="B726" s="42">
        <v>0.48782455245397266</v>
      </c>
      <c r="C726" s="14" t="s">
        <v>5077</v>
      </c>
      <c r="D726" s="42">
        <v>0.63530939474483461</v>
      </c>
      <c r="E726" s="43">
        <v>45.717784552703513</v>
      </c>
      <c r="F726" s="42">
        <v>0.84242359168940395</v>
      </c>
      <c r="G726" s="43">
        <v>3.5243633240109142</v>
      </c>
      <c r="H726" s="42">
        <v>0.60109275095215664</v>
      </c>
      <c r="I726" s="43">
        <v>1.2763158463294508</v>
      </c>
      <c r="J726" s="42">
        <v>0.38341458439054649</v>
      </c>
      <c r="K726" s="43">
        <v>2.7989442612363762</v>
      </c>
      <c r="L726" s="43">
        <v>2082.0158501521773</v>
      </c>
      <c r="M726" s="44">
        <v>318.19578048681643</v>
      </c>
      <c r="N726" s="44">
        <v>571.47230690879394</v>
      </c>
      <c r="O726" s="45" t="s">
        <v>5074</v>
      </c>
      <c r="P726" s="46">
        <v>2</v>
      </c>
      <c r="Q726" s="43">
        <v>2082.0158501521773</v>
      </c>
      <c r="R726" s="43">
        <v>2085.5402134761885</v>
      </c>
      <c r="S726" s="47">
        <v>0</v>
      </c>
      <c r="T726" s="48">
        <v>2082.7709906089108</v>
      </c>
      <c r="U726" s="48">
        <v>2085.5402134761885</v>
      </c>
      <c r="V726" s="48">
        <v>2082.8220102081905</v>
      </c>
      <c r="W726" s="48">
        <v>2088.8684476220924</v>
      </c>
    </row>
    <row r="727" spans="1:23" ht="13.2" x14ac:dyDescent="0.25">
      <c r="A727" s="41">
        <v>725</v>
      </c>
      <c r="B727" s="42">
        <v>0.63321862026733278</v>
      </c>
      <c r="C727" s="14" t="s">
        <v>5076</v>
      </c>
      <c r="D727" s="42">
        <v>0.6960364280715754</v>
      </c>
      <c r="E727" s="43">
        <v>41.960364280715751</v>
      </c>
      <c r="F727" s="42">
        <v>0.50757178501578593</v>
      </c>
      <c r="G727" s="43">
        <v>3.2734830211072614</v>
      </c>
      <c r="H727" s="42">
        <v>0.39758934704474608</v>
      </c>
      <c r="I727" s="43">
        <v>0.78895287311151052</v>
      </c>
      <c r="J727" s="42">
        <v>0.88002560188995005</v>
      </c>
      <c r="K727" s="43">
        <v>0.37315117920092916</v>
      </c>
      <c r="L727" s="43">
        <v>2082.389001331378</v>
      </c>
      <c r="M727" s="44">
        <v>292.34550693178886</v>
      </c>
      <c r="N727" s="44">
        <v>524.50455350894686</v>
      </c>
      <c r="O727" s="45" t="s">
        <v>5074</v>
      </c>
      <c r="P727" s="46">
        <v>1</v>
      </c>
      <c r="Q727" s="43">
        <v>2082.7709906089108</v>
      </c>
      <c r="R727" s="43">
        <v>2086.0444736300178</v>
      </c>
      <c r="S727" s="43">
        <v>0.38198927753273892</v>
      </c>
      <c r="T727" s="48">
        <v>2086.0444736300178</v>
      </c>
      <c r="U727" s="48">
        <v>2085.5402134761885</v>
      </c>
      <c r="V727" s="48">
        <v>2082.8220102081905</v>
      </c>
      <c r="W727" s="48">
        <v>2088.8684476220924</v>
      </c>
    </row>
    <row r="728" spans="1:23" ht="13.2" x14ac:dyDescent="0.25">
      <c r="A728" s="41">
        <v>726</v>
      </c>
      <c r="B728" s="42">
        <v>8.7121814995595168E-2</v>
      </c>
      <c r="C728" s="14" t="s">
        <v>5073</v>
      </c>
      <c r="D728" s="42">
        <v>0.91124148895556178</v>
      </c>
      <c r="E728" s="43">
        <v>389.34897867466742</v>
      </c>
      <c r="F728" s="42">
        <v>0.71153970235564734</v>
      </c>
      <c r="G728" s="43">
        <v>10.607119268373175</v>
      </c>
      <c r="H728" s="42">
        <v>9.5199479765817274E-2</v>
      </c>
      <c r="I728" s="43">
        <v>2.8778878400381864</v>
      </c>
      <c r="J728" s="42">
        <v>0.38619314291802848</v>
      </c>
      <c r="K728" s="43">
        <v>2.7778617938884622</v>
      </c>
      <c r="L728" s="43">
        <v>2085.1668631252664</v>
      </c>
      <c r="M728" s="44">
        <v>2709.8688915756852</v>
      </c>
      <c r="N728" s="44">
        <v>4866.8622334333431</v>
      </c>
      <c r="O728" s="45" t="s">
        <v>5074</v>
      </c>
      <c r="P728" s="46">
        <v>3</v>
      </c>
      <c r="Q728" s="43">
        <v>2085.1668631252664</v>
      </c>
      <c r="R728" s="43">
        <v>2095.7739823936395</v>
      </c>
      <c r="S728" s="47">
        <v>0</v>
      </c>
      <c r="T728" s="48">
        <v>2086.0444736300178</v>
      </c>
      <c r="U728" s="48">
        <v>2085.5402134761885</v>
      </c>
      <c r="V728" s="48">
        <v>2095.7739823936395</v>
      </c>
      <c r="W728" s="48">
        <v>2088.8684476220924</v>
      </c>
    </row>
    <row r="729" spans="1:23" ht="13.2" x14ac:dyDescent="0.25">
      <c r="A729" s="41">
        <v>727</v>
      </c>
      <c r="B729" s="42">
        <v>0.61335157724719103</v>
      </c>
      <c r="C729" s="14" t="s">
        <v>5076</v>
      </c>
      <c r="D729" s="42">
        <v>0.50625332654745003</v>
      </c>
      <c r="E729" s="43">
        <v>40.062533265474499</v>
      </c>
      <c r="F729" s="42">
        <v>0.79050734024052849</v>
      </c>
      <c r="G729" s="43">
        <v>3.4036333765106432</v>
      </c>
      <c r="H729" s="42">
        <v>0.70264981160995077</v>
      </c>
      <c r="I729" s="43">
        <v>0.91145528466247416</v>
      </c>
      <c r="J729" s="42">
        <v>0.64980599919790683</v>
      </c>
      <c r="K729" s="43">
        <v>1.2586318931789282</v>
      </c>
      <c r="L729" s="43">
        <v>2086.4254950184454</v>
      </c>
      <c r="M729" s="44">
        <v>278.83523152770249</v>
      </c>
      <c r="N729" s="44">
        <v>500.78166581843124</v>
      </c>
      <c r="O729" s="45" t="s">
        <v>5074</v>
      </c>
      <c r="P729" s="46">
        <v>2</v>
      </c>
      <c r="Q729" s="43">
        <v>2086.4254950184454</v>
      </c>
      <c r="R729" s="43">
        <v>2089.8291283949561</v>
      </c>
      <c r="S729" s="47">
        <v>0</v>
      </c>
      <c r="T729" s="48">
        <v>2086.0444736300178</v>
      </c>
      <c r="U729" s="48">
        <v>2089.8291283949561</v>
      </c>
      <c r="V729" s="48">
        <v>2095.7739823936395</v>
      </c>
      <c r="W729" s="48">
        <v>2088.8684476220924</v>
      </c>
    </row>
    <row r="730" spans="1:23" ht="13.2" x14ac:dyDescent="0.25">
      <c r="A730" s="41">
        <v>728</v>
      </c>
      <c r="B730" s="42">
        <v>0.80295084174859843</v>
      </c>
      <c r="C730" s="14" t="s">
        <v>5078</v>
      </c>
      <c r="D730" s="42">
        <v>0.22199753169994688</v>
      </c>
      <c r="E730" s="43">
        <v>178.87990126799787</v>
      </c>
      <c r="F730" s="42">
        <v>0.9135887999616511</v>
      </c>
      <c r="G730" s="43">
        <v>6.2513658079651027</v>
      </c>
      <c r="H730" s="42">
        <v>0.86939211323363341</v>
      </c>
      <c r="I730" s="43">
        <v>3.8001574638721403</v>
      </c>
      <c r="J730" s="42">
        <v>0.37941615953082969</v>
      </c>
      <c r="K730" s="43">
        <v>2.8295522045432677</v>
      </c>
      <c r="L730" s="43">
        <v>2089.2550472229887</v>
      </c>
      <c r="M730" s="44">
        <v>1245.0041128252651</v>
      </c>
      <c r="N730" s="44">
        <v>2235.9987658499731</v>
      </c>
      <c r="O730" s="45" t="s">
        <v>5074</v>
      </c>
      <c r="P730" s="46">
        <v>1</v>
      </c>
      <c r="Q730" s="43">
        <v>2089.2550472229887</v>
      </c>
      <c r="R730" s="43">
        <v>2095.5064130309538</v>
      </c>
      <c r="S730" s="47">
        <v>0</v>
      </c>
      <c r="T730" s="48">
        <v>2095.5064130309538</v>
      </c>
      <c r="U730" s="48">
        <v>2089.8291283949561</v>
      </c>
      <c r="V730" s="48">
        <v>2095.7739823936395</v>
      </c>
      <c r="W730" s="48">
        <v>2088.8684476220924</v>
      </c>
    </row>
    <row r="731" spans="1:23" ht="13.2" x14ac:dyDescent="0.25">
      <c r="A731" s="41">
        <v>729</v>
      </c>
      <c r="B731" s="42">
        <v>0.15507900023603766</v>
      </c>
      <c r="C731" s="14" t="s">
        <v>5073</v>
      </c>
      <c r="D731" s="42">
        <v>0.34500383648323074</v>
      </c>
      <c r="E731" s="43">
        <v>321.40046037798771</v>
      </c>
      <c r="F731" s="42">
        <v>0.98305819555328144</v>
      </c>
      <c r="G731" s="43">
        <v>11.456972152081772</v>
      </c>
      <c r="H731" s="42">
        <v>0.41508927169027238</v>
      </c>
      <c r="I731" s="43">
        <v>3.289071547792346</v>
      </c>
      <c r="J731" s="42">
        <v>0.94209619655371468</v>
      </c>
      <c r="K731" s="43">
        <v>0.17415442375427728</v>
      </c>
      <c r="L731" s="43">
        <v>2089.429201646743</v>
      </c>
      <c r="M731" s="44">
        <v>2236.9472042307943</v>
      </c>
      <c r="N731" s="44">
        <v>4017.5057547248466</v>
      </c>
      <c r="O731" s="45" t="s">
        <v>5074</v>
      </c>
      <c r="P731" s="46">
        <v>4</v>
      </c>
      <c r="Q731" s="43">
        <v>2089.429201646743</v>
      </c>
      <c r="R731" s="43">
        <v>2100.8861737988245</v>
      </c>
      <c r="S731" s="47">
        <v>0</v>
      </c>
      <c r="T731" s="48">
        <v>2095.5064130309538</v>
      </c>
      <c r="U731" s="48">
        <v>2089.8291283949561</v>
      </c>
      <c r="V731" s="48">
        <v>2095.7739823936395</v>
      </c>
      <c r="W731" s="48">
        <v>2100.8861737988245</v>
      </c>
    </row>
    <row r="732" spans="1:23" ht="13.2" x14ac:dyDescent="0.25">
      <c r="A732" s="41">
        <v>730</v>
      </c>
      <c r="B732" s="42">
        <v>0.1437045178113992</v>
      </c>
      <c r="C732" s="14" t="s">
        <v>5073</v>
      </c>
      <c r="D732" s="42">
        <v>0.2346459651527209</v>
      </c>
      <c r="E732" s="43">
        <v>308.15751581832649</v>
      </c>
      <c r="F732" s="42">
        <v>0.5472817786723756</v>
      </c>
      <c r="G732" s="43">
        <v>10.092991967244537</v>
      </c>
      <c r="H732" s="42">
        <v>0.67478058192635915</v>
      </c>
      <c r="I732" s="43">
        <v>3.5061229266758471</v>
      </c>
      <c r="J732" s="42">
        <v>0.62026691884746166</v>
      </c>
      <c r="K732" s="43">
        <v>1.3944682607812549</v>
      </c>
      <c r="L732" s="43">
        <v>2090.8236699075242</v>
      </c>
      <c r="M732" s="44">
        <v>2144.7763100955522</v>
      </c>
      <c r="N732" s="44">
        <v>3851.9689477290813</v>
      </c>
      <c r="O732" s="45" t="s">
        <v>5074</v>
      </c>
      <c r="P732" s="46">
        <v>2</v>
      </c>
      <c r="Q732" s="43">
        <v>2090.8236699075242</v>
      </c>
      <c r="R732" s="43">
        <v>2100.9166618747686</v>
      </c>
      <c r="S732" s="47">
        <v>0</v>
      </c>
      <c r="T732" s="48">
        <v>2095.5064130309538</v>
      </c>
      <c r="U732" s="48">
        <v>2100.9166618747686</v>
      </c>
      <c r="V732" s="48">
        <v>2095.7739823936395</v>
      </c>
      <c r="W732" s="48">
        <v>2100.8861737988245</v>
      </c>
    </row>
    <row r="733" spans="1:23" ht="13.2" x14ac:dyDescent="0.25">
      <c r="A733" s="41">
        <v>731</v>
      </c>
      <c r="B733" s="42">
        <v>0.26523051702660999</v>
      </c>
      <c r="C733" s="14" t="s">
        <v>5077</v>
      </c>
      <c r="D733" s="42">
        <v>0.29848966388892834</v>
      </c>
      <c r="E733" s="43">
        <v>42.686406975000352</v>
      </c>
      <c r="F733" s="42">
        <v>0.97992066432718217</v>
      </c>
      <c r="G733" s="43">
        <v>3.5903619188770475</v>
      </c>
      <c r="H733" s="42">
        <v>0.91592514883537091</v>
      </c>
      <c r="I733" s="43">
        <v>1.5054911749454973</v>
      </c>
      <c r="J733" s="42">
        <v>0.78050114157632977</v>
      </c>
      <c r="K733" s="43">
        <v>0.72355934717051351</v>
      </c>
      <c r="L733" s="43">
        <v>2091.5472292546947</v>
      </c>
      <c r="M733" s="44">
        <v>303.05790878114794</v>
      </c>
      <c r="N733" s="44">
        <v>533.58008718750443</v>
      </c>
      <c r="O733" s="45" t="s">
        <v>5074</v>
      </c>
      <c r="P733" s="46">
        <v>1</v>
      </c>
      <c r="Q733" s="43">
        <v>2095.5064130309538</v>
      </c>
      <c r="R733" s="43">
        <v>2099.0967749498309</v>
      </c>
      <c r="S733" s="43">
        <v>3.959183776259124</v>
      </c>
      <c r="T733" s="48">
        <v>2099.0967749498309</v>
      </c>
      <c r="U733" s="48">
        <v>2100.9166618747686</v>
      </c>
      <c r="V733" s="48">
        <v>2095.7739823936395</v>
      </c>
      <c r="W733" s="48">
        <v>2100.8861737988245</v>
      </c>
    </row>
    <row r="734" spans="1:23" ht="13.2" x14ac:dyDescent="0.25">
      <c r="A734" s="41">
        <v>732</v>
      </c>
      <c r="B734" s="42">
        <v>0.13481828623210002</v>
      </c>
      <c r="C734" s="14" t="s">
        <v>5073</v>
      </c>
      <c r="D734" s="42">
        <v>0.88002643216402565</v>
      </c>
      <c r="E734" s="43">
        <v>385.60317185968307</v>
      </c>
      <c r="F734" s="42">
        <v>0.46913377077744051</v>
      </c>
      <c r="G734" s="43">
        <v>9.8483887025333896</v>
      </c>
      <c r="H734" s="42">
        <v>0.36193926509560054</v>
      </c>
      <c r="I734" s="43">
        <v>3.2368235186551804</v>
      </c>
      <c r="J734" s="42">
        <v>0.42736920035787357</v>
      </c>
      <c r="K734" s="43">
        <v>2.4820642379475299</v>
      </c>
      <c r="L734" s="43">
        <v>2094.0292934926424</v>
      </c>
      <c r="M734" s="44">
        <v>2689.4453262108782</v>
      </c>
      <c r="N734" s="44">
        <v>4820.0396482460383</v>
      </c>
      <c r="O734" s="45" t="s">
        <v>5074</v>
      </c>
      <c r="P734" s="46">
        <v>3</v>
      </c>
      <c r="Q734" s="43">
        <v>2095.7739823936395</v>
      </c>
      <c r="R734" s="43">
        <v>2105.6223710961731</v>
      </c>
      <c r="S734" s="43">
        <v>1.7446889009970619</v>
      </c>
      <c r="T734" s="48">
        <v>2099.0967749498309</v>
      </c>
      <c r="U734" s="48">
        <v>2100.9166618747686</v>
      </c>
      <c r="V734" s="48">
        <v>2105.6223710961731</v>
      </c>
      <c r="W734" s="48">
        <v>2100.8861737988245</v>
      </c>
    </row>
    <row r="735" spans="1:23" ht="13.2" x14ac:dyDescent="0.25">
      <c r="A735" s="41">
        <v>733</v>
      </c>
      <c r="B735" s="42">
        <v>0.1903616353824556</v>
      </c>
      <c r="C735" s="14" t="s">
        <v>5073</v>
      </c>
      <c r="D735" s="42">
        <v>0.17327092782280917</v>
      </c>
      <c r="E735" s="43">
        <v>300.79251133873709</v>
      </c>
      <c r="F735" s="42">
        <v>0.26327020733769529</v>
      </c>
      <c r="G735" s="43">
        <v>9.2040357489669873</v>
      </c>
      <c r="H735" s="42">
        <v>0.3140047231288649</v>
      </c>
      <c r="I735" s="43">
        <v>3.1862995590070691</v>
      </c>
      <c r="J735" s="42">
        <v>0.18390201972047893</v>
      </c>
      <c r="K735" s="43">
        <v>4.9440939115958349</v>
      </c>
      <c r="L735" s="43">
        <v>2098.9733874042381</v>
      </c>
      <c r="M735" s="44">
        <v>2093.9090285997195</v>
      </c>
      <c r="N735" s="44">
        <v>3759.9063917342137</v>
      </c>
      <c r="O735" s="45" t="s">
        <v>5074</v>
      </c>
      <c r="P735" s="46">
        <v>1</v>
      </c>
      <c r="Q735" s="43">
        <v>2099.0967749498309</v>
      </c>
      <c r="R735" s="43">
        <v>2108.3008106987977</v>
      </c>
      <c r="S735" s="43">
        <v>0.12338754559277731</v>
      </c>
      <c r="T735" s="48">
        <v>2108.3008106987977</v>
      </c>
      <c r="U735" s="48">
        <v>2100.9166618747686</v>
      </c>
      <c r="V735" s="48">
        <v>2105.6223710961731</v>
      </c>
      <c r="W735" s="48">
        <v>2100.8861737988245</v>
      </c>
    </row>
    <row r="736" spans="1:23" ht="13.2" x14ac:dyDescent="0.25">
      <c r="A736" s="41">
        <v>734</v>
      </c>
      <c r="B736" s="42">
        <v>0.98151117608952854</v>
      </c>
      <c r="C736" s="14" t="s">
        <v>5080</v>
      </c>
      <c r="D736" s="42">
        <v>0.36251636844245549</v>
      </c>
      <c r="E736" s="43">
        <v>94.062909211061395</v>
      </c>
      <c r="F736" s="42">
        <v>3.0317624113670377E-2</v>
      </c>
      <c r="G736" s="43">
        <v>4.2263715170213816</v>
      </c>
      <c r="H736" s="42">
        <v>0.91541375309015338</v>
      </c>
      <c r="I736" s="43">
        <v>2.6098010194301837</v>
      </c>
      <c r="J736" s="42">
        <v>0.54949833338591192</v>
      </c>
      <c r="K736" s="43">
        <v>1.7481738338911939</v>
      </c>
      <c r="L736" s="43">
        <v>2100.7215612381292</v>
      </c>
      <c r="M736" s="44">
        <v>655.10745413770098</v>
      </c>
      <c r="N736" s="44">
        <v>1175.7863651382675</v>
      </c>
      <c r="O736" s="45" t="s">
        <v>5074</v>
      </c>
      <c r="P736" s="46">
        <v>4</v>
      </c>
      <c r="Q736" s="43">
        <v>2100.8861737988245</v>
      </c>
      <c r="R736" s="43">
        <v>2105.1125453158461</v>
      </c>
      <c r="S736" s="43">
        <v>0.16461256069533192</v>
      </c>
      <c r="T736" s="48">
        <v>2108.3008106987977</v>
      </c>
      <c r="U736" s="48">
        <v>2100.9166618747686</v>
      </c>
      <c r="V736" s="48">
        <v>2105.6223710961731</v>
      </c>
      <c r="W736" s="48">
        <v>2105.1125453158461</v>
      </c>
    </row>
    <row r="737" spans="1:23" ht="13.2" x14ac:dyDescent="0.25">
      <c r="A737" s="41">
        <v>735</v>
      </c>
      <c r="B737" s="42">
        <v>0.18551513095643143</v>
      </c>
      <c r="C737" s="14" t="s">
        <v>5073</v>
      </c>
      <c r="D737" s="42">
        <v>4.5491199961626531E-2</v>
      </c>
      <c r="E737" s="43">
        <v>285.4589439953952</v>
      </c>
      <c r="F737" s="42">
        <v>0.71175207230809712</v>
      </c>
      <c r="G737" s="43">
        <v>10.607783986324344</v>
      </c>
      <c r="H737" s="42">
        <v>0.59029458118150691</v>
      </c>
      <c r="I737" s="43">
        <v>3.44097920900106</v>
      </c>
      <c r="J737" s="42">
        <v>0.55987709367642047</v>
      </c>
      <c r="K737" s="43">
        <v>1.6935415910045313</v>
      </c>
      <c r="L737" s="43">
        <v>2102.4151028291335</v>
      </c>
      <c r="M737" s="44">
        <v>1986.7942502079507</v>
      </c>
      <c r="N737" s="44">
        <v>3568.23679994244</v>
      </c>
      <c r="O737" s="45" t="s">
        <v>5074</v>
      </c>
      <c r="P737" s="46">
        <v>2</v>
      </c>
      <c r="Q737" s="43">
        <v>2102.4151028291335</v>
      </c>
      <c r="R737" s="43">
        <v>2113.0228868154577</v>
      </c>
      <c r="S737" s="47">
        <v>0</v>
      </c>
      <c r="T737" s="48">
        <v>2108.3008106987977</v>
      </c>
      <c r="U737" s="48">
        <v>2113.0228868154577</v>
      </c>
      <c r="V737" s="48">
        <v>2105.6223710961731</v>
      </c>
      <c r="W737" s="48">
        <v>2105.1125453158461</v>
      </c>
    </row>
    <row r="738" spans="1:23" ht="13.2" x14ac:dyDescent="0.25">
      <c r="A738" s="41">
        <v>736</v>
      </c>
      <c r="B738" s="42">
        <v>0.89148768963827174</v>
      </c>
      <c r="C738" s="14" t="s">
        <v>5075</v>
      </c>
      <c r="D738" s="42">
        <v>1.8731090248902835E-2</v>
      </c>
      <c r="E738" s="43">
        <v>281.31117631742319</v>
      </c>
      <c r="F738" s="42">
        <v>0.84013250090187996</v>
      </c>
      <c r="G738" s="43">
        <v>10.021863676794741</v>
      </c>
      <c r="H738" s="42">
        <v>2.3199647675826982E-2</v>
      </c>
      <c r="I738" s="43">
        <v>1.7154049566552589</v>
      </c>
      <c r="J738" s="42">
        <v>0.86568355181519108</v>
      </c>
      <c r="K738" s="43">
        <v>0.42112657170174461</v>
      </c>
      <c r="L738" s="43">
        <v>2102.8362294008352</v>
      </c>
      <c r="M738" s="44">
        <v>1961.8305907727881</v>
      </c>
      <c r="N738" s="44">
        <v>3516.38970396779</v>
      </c>
      <c r="O738" s="45" t="s">
        <v>5074</v>
      </c>
      <c r="P738" s="46">
        <v>4</v>
      </c>
      <c r="Q738" s="43">
        <v>2105.1125453158461</v>
      </c>
      <c r="R738" s="43">
        <v>2115.1344089926411</v>
      </c>
      <c r="S738" s="43">
        <v>2.276315915010855</v>
      </c>
      <c r="T738" s="48">
        <v>2108.3008106987977</v>
      </c>
      <c r="U738" s="48">
        <v>2113.0228868154577</v>
      </c>
      <c r="V738" s="48">
        <v>2105.6223710961731</v>
      </c>
      <c r="W738" s="48">
        <v>2115.1344089926411</v>
      </c>
    </row>
    <row r="739" spans="1:23" ht="13.2" x14ac:dyDescent="0.25">
      <c r="A739" s="41">
        <v>737</v>
      </c>
      <c r="B739" s="42">
        <v>0.38622112683310228</v>
      </c>
      <c r="C739" s="14" t="s">
        <v>5077</v>
      </c>
      <c r="D739" s="42">
        <v>0.19327781544685263</v>
      </c>
      <c r="E739" s="43">
        <v>41.739500339021674</v>
      </c>
      <c r="F739" s="42">
        <v>0.22789261826681562</v>
      </c>
      <c r="G739" s="43">
        <v>3.2293884567680715</v>
      </c>
      <c r="H739" s="42">
        <v>0.43255651715796278</v>
      </c>
      <c r="I739" s="43">
        <v>1.1946141738164844</v>
      </c>
      <c r="J739" s="42">
        <v>0.60885830391610896</v>
      </c>
      <c r="K739" s="43">
        <v>1.4486706815550816</v>
      </c>
      <c r="L739" s="43">
        <v>2104.2849000823903</v>
      </c>
      <c r="M739" s="44">
        <v>292.10468418972448</v>
      </c>
      <c r="N739" s="44">
        <v>521.74375423777087</v>
      </c>
      <c r="O739" s="45" t="s">
        <v>5074</v>
      </c>
      <c r="P739" s="46">
        <v>3</v>
      </c>
      <c r="Q739" s="43">
        <v>2105.6223710961731</v>
      </c>
      <c r="R739" s="43">
        <v>2108.8517595529411</v>
      </c>
      <c r="S739" s="43">
        <v>1.3374710137827606</v>
      </c>
      <c r="T739" s="48">
        <v>2108.3008106987977</v>
      </c>
      <c r="U739" s="48">
        <v>2113.0228868154577</v>
      </c>
      <c r="V739" s="48">
        <v>2108.8517595529411</v>
      </c>
      <c r="W739" s="48">
        <v>2115.1344089926411</v>
      </c>
    </row>
    <row r="740" spans="1:23" ht="13.2" x14ac:dyDescent="0.25">
      <c r="A740" s="41">
        <v>738</v>
      </c>
      <c r="B740" s="42">
        <v>0.34046190713553776</v>
      </c>
      <c r="C740" s="14" t="s">
        <v>5077</v>
      </c>
      <c r="D740" s="42">
        <v>0.82811072693584054</v>
      </c>
      <c r="E740" s="43">
        <v>47.452996542422568</v>
      </c>
      <c r="F740" s="42">
        <v>0.4798888259008009</v>
      </c>
      <c r="G740" s="43">
        <v>3.3503466364323846</v>
      </c>
      <c r="H740" s="42">
        <v>0.42006847654472501</v>
      </c>
      <c r="I740" s="43">
        <v>1.1888761390932863</v>
      </c>
      <c r="J740" s="42">
        <v>0.95305655428816405</v>
      </c>
      <c r="K740" s="43">
        <v>0.14038258002728002</v>
      </c>
      <c r="L740" s="43">
        <v>2104.4252826624174</v>
      </c>
      <c r="M740" s="44">
        <v>334.88037874410065</v>
      </c>
      <c r="N740" s="44">
        <v>593.16245678028213</v>
      </c>
      <c r="O740" s="45" t="s">
        <v>5074</v>
      </c>
      <c r="P740" s="46">
        <v>1</v>
      </c>
      <c r="Q740" s="43">
        <v>2108.3008106987977</v>
      </c>
      <c r="R740" s="43">
        <v>2111.65115733523</v>
      </c>
      <c r="S740" s="43">
        <v>3.875528036380274</v>
      </c>
      <c r="T740" s="48">
        <v>2111.65115733523</v>
      </c>
      <c r="U740" s="48">
        <v>2113.0228868154577</v>
      </c>
      <c r="V740" s="48">
        <v>2108.8517595529411</v>
      </c>
      <c r="W740" s="48">
        <v>2115.1344089926411</v>
      </c>
    </row>
    <row r="741" spans="1:23" ht="13.2" x14ac:dyDescent="0.25">
      <c r="A741" s="41">
        <v>739</v>
      </c>
      <c r="B741" s="42">
        <v>0.93316245215626548</v>
      </c>
      <c r="C741" s="14" t="s">
        <v>5075</v>
      </c>
      <c r="D741" s="42">
        <v>0.70281135370154457</v>
      </c>
      <c r="E741" s="43">
        <v>329.19679475910812</v>
      </c>
      <c r="F741" s="42">
        <v>0.54065600947507475</v>
      </c>
      <c r="G741" s="43">
        <v>9.4259054588553983</v>
      </c>
      <c r="H741" s="42">
        <v>0.91630744464523506</v>
      </c>
      <c r="I741" s="43">
        <v>3.0908727450908096</v>
      </c>
      <c r="J741" s="42">
        <v>0.12143405579097293</v>
      </c>
      <c r="K741" s="43">
        <v>6.1558654430236119</v>
      </c>
      <c r="L741" s="43">
        <v>2110.5811481054411</v>
      </c>
      <c r="M741" s="44">
        <v>2291.2096915233924</v>
      </c>
      <c r="N741" s="44">
        <v>4114.9599344888511</v>
      </c>
      <c r="O741" s="45" t="s">
        <v>5074</v>
      </c>
      <c r="P741" s="46">
        <v>3</v>
      </c>
      <c r="Q741" s="43">
        <v>2110.5811481054411</v>
      </c>
      <c r="R741" s="43">
        <v>2120.0070535642967</v>
      </c>
      <c r="S741" s="47">
        <v>0</v>
      </c>
      <c r="T741" s="48">
        <v>2111.65115733523</v>
      </c>
      <c r="U741" s="48">
        <v>2113.0228868154577</v>
      </c>
      <c r="V741" s="48">
        <v>2120.0070535642967</v>
      </c>
      <c r="W741" s="48">
        <v>2115.1344089926411</v>
      </c>
    </row>
    <row r="742" spans="1:23" ht="13.2" x14ac:dyDescent="0.25">
      <c r="A742" s="41">
        <v>740</v>
      </c>
      <c r="B742" s="42">
        <v>0.49385141511161412</v>
      </c>
      <c r="C742" s="14" t="s">
        <v>5076</v>
      </c>
      <c r="D742" s="42">
        <v>0.49887460539996376</v>
      </c>
      <c r="E742" s="43">
        <v>39.988746053999634</v>
      </c>
      <c r="F742" s="42">
        <v>0.72468932053292601</v>
      </c>
      <c r="G742" s="43">
        <v>3.3733570874451457</v>
      </c>
      <c r="H742" s="42">
        <v>0.96339601462865065</v>
      </c>
      <c r="I742" s="43">
        <v>1.0987620826766087</v>
      </c>
      <c r="J742" s="42">
        <v>0.22338570059434776</v>
      </c>
      <c r="K742" s="43">
        <v>4.3762201532211353</v>
      </c>
      <c r="L742" s="43">
        <v>2114.9573682586624</v>
      </c>
      <c r="M742" s="44">
        <v>278.32167253583748</v>
      </c>
      <c r="N742" s="44">
        <v>499.85932567499543</v>
      </c>
      <c r="O742" s="45" t="s">
        <v>5074</v>
      </c>
      <c r="P742" s="46">
        <v>1</v>
      </c>
      <c r="Q742" s="43">
        <v>2114.9573682586624</v>
      </c>
      <c r="R742" s="43">
        <v>2118.3307253461076</v>
      </c>
      <c r="S742" s="47">
        <v>0</v>
      </c>
      <c r="T742" s="48">
        <v>2118.3307253461076</v>
      </c>
      <c r="U742" s="48">
        <v>2113.0228868154577</v>
      </c>
      <c r="V742" s="48">
        <v>2120.0070535642967</v>
      </c>
      <c r="W742" s="48">
        <v>2115.1344089926411</v>
      </c>
    </row>
    <row r="743" spans="1:23" ht="13.2" x14ac:dyDescent="0.25">
      <c r="A743" s="41">
        <v>741</v>
      </c>
      <c r="B743" s="42">
        <v>0.55541775261769899</v>
      </c>
      <c r="C743" s="14" t="s">
        <v>5076</v>
      </c>
      <c r="D743" s="42">
        <v>0.20681192130167592</v>
      </c>
      <c r="E743" s="43">
        <v>37.068119213016757</v>
      </c>
      <c r="F743" s="42">
        <v>8.5440618025809809E-2</v>
      </c>
      <c r="G743" s="43">
        <v>3.0793026842918727</v>
      </c>
      <c r="H743" s="42">
        <v>0.51685535698982665</v>
      </c>
      <c r="I743" s="43">
        <v>0.8321950244452252</v>
      </c>
      <c r="J743" s="42">
        <v>0.13522943720930694</v>
      </c>
      <c r="K743" s="43">
        <v>5.8417004620003592</v>
      </c>
      <c r="L743" s="43">
        <v>2120.7990687206629</v>
      </c>
      <c r="M743" s="44">
        <v>257.99410972259665</v>
      </c>
      <c r="N743" s="44">
        <v>463.35149016270947</v>
      </c>
      <c r="O743" s="45" t="s">
        <v>5074</v>
      </c>
      <c r="P743" s="46">
        <v>2</v>
      </c>
      <c r="Q743" s="43">
        <v>2120.7990687206629</v>
      </c>
      <c r="R743" s="43">
        <v>2123.878371404955</v>
      </c>
      <c r="S743" s="47">
        <v>0</v>
      </c>
      <c r="T743" s="48">
        <v>2118.3307253461076</v>
      </c>
      <c r="U743" s="48">
        <v>2123.878371404955</v>
      </c>
      <c r="V743" s="48">
        <v>2120.0070535642967</v>
      </c>
      <c r="W743" s="48">
        <v>2115.1344089926411</v>
      </c>
    </row>
    <row r="744" spans="1:23" ht="13.2" x14ac:dyDescent="0.25">
      <c r="A744" s="41">
        <v>742</v>
      </c>
      <c r="B744" s="42">
        <v>0.25110676756645867</v>
      </c>
      <c r="C744" s="14" t="s">
        <v>5077</v>
      </c>
      <c r="D744" s="42">
        <v>0.96441950554233957</v>
      </c>
      <c r="E744" s="43">
        <v>48.679775549881057</v>
      </c>
      <c r="F744" s="42">
        <v>0.84959880860969372</v>
      </c>
      <c r="G744" s="43">
        <v>3.527807428132653</v>
      </c>
      <c r="H744" s="42">
        <v>0.92903699629429592</v>
      </c>
      <c r="I744" s="43">
        <v>1.5213009466517329</v>
      </c>
      <c r="J744" s="42">
        <v>0.77839270875714384</v>
      </c>
      <c r="K744" s="43">
        <v>0.73145727041093012</v>
      </c>
      <c r="L744" s="43">
        <v>2121.5305259910738</v>
      </c>
      <c r="M744" s="44">
        <v>338.81123782717214</v>
      </c>
      <c r="N744" s="44">
        <v>608.49719437351325</v>
      </c>
      <c r="O744" s="45" t="s">
        <v>5074</v>
      </c>
      <c r="P744" s="46">
        <v>4</v>
      </c>
      <c r="Q744" s="43">
        <v>2121.5305259910738</v>
      </c>
      <c r="R744" s="43">
        <v>2125.0583334192065</v>
      </c>
      <c r="S744" s="47">
        <v>0</v>
      </c>
      <c r="T744" s="48">
        <v>2118.3307253461076</v>
      </c>
      <c r="U744" s="48">
        <v>2123.878371404955</v>
      </c>
      <c r="V744" s="48">
        <v>2120.0070535642967</v>
      </c>
      <c r="W744" s="48">
        <v>2125.0583334192065</v>
      </c>
    </row>
    <row r="745" spans="1:23" ht="13.2" x14ac:dyDescent="0.25">
      <c r="A745" s="41">
        <v>743</v>
      </c>
      <c r="B745" s="42">
        <v>0.59567993068866432</v>
      </c>
      <c r="C745" s="14" t="s">
        <v>5076</v>
      </c>
      <c r="D745" s="42">
        <v>0.60876549482753761</v>
      </c>
      <c r="E745" s="43">
        <v>41.087654948275379</v>
      </c>
      <c r="F745" s="42">
        <v>0.85741375286942989</v>
      </c>
      <c r="G745" s="43">
        <v>3.4344103263199379</v>
      </c>
      <c r="H745" s="42">
        <v>9.9130933684823536E-2</v>
      </c>
      <c r="I745" s="43">
        <v>0.64428269499081636</v>
      </c>
      <c r="J745" s="42">
        <v>0.38952767680842787</v>
      </c>
      <c r="K745" s="43">
        <v>2.7527601720328665</v>
      </c>
      <c r="L745" s="43">
        <v>2124.2832861631068</v>
      </c>
      <c r="M745" s="44">
        <v>285.97007843999666</v>
      </c>
      <c r="N745" s="44">
        <v>513.5956868534422</v>
      </c>
      <c r="O745" s="45" t="s">
        <v>5074</v>
      </c>
      <c r="P745" s="46">
        <v>1</v>
      </c>
      <c r="Q745" s="43">
        <v>2124.2832861631068</v>
      </c>
      <c r="R745" s="43">
        <v>2127.7176964894265</v>
      </c>
      <c r="S745" s="47">
        <v>0</v>
      </c>
      <c r="T745" s="48">
        <v>2127.7176964894265</v>
      </c>
      <c r="U745" s="48">
        <v>2123.878371404955</v>
      </c>
      <c r="V745" s="48">
        <v>2120.0070535642967</v>
      </c>
      <c r="W745" s="48">
        <v>2125.0583334192065</v>
      </c>
    </row>
    <row r="746" spans="1:23" ht="13.2" x14ac:dyDescent="0.25">
      <c r="A746" s="41">
        <v>744</v>
      </c>
      <c r="B746" s="42">
        <v>2.837549430708191E-2</v>
      </c>
      <c r="C746" s="14" t="s">
        <v>5073</v>
      </c>
      <c r="D746" s="42">
        <v>0.19179744142657026</v>
      </c>
      <c r="E746" s="43">
        <v>303.01569297118846</v>
      </c>
      <c r="F746" s="42">
        <v>0.1083265077827156</v>
      </c>
      <c r="G746" s="43">
        <v>8.7190619693599007</v>
      </c>
      <c r="H746" s="42">
        <v>0.65250297060818552</v>
      </c>
      <c r="I746" s="43">
        <v>3.4893201988801597</v>
      </c>
      <c r="J746" s="42">
        <v>0.97928753587384132</v>
      </c>
      <c r="K746" s="43">
        <v>6.1109418755032674E-2</v>
      </c>
      <c r="L746" s="43">
        <v>2124.344395581862</v>
      </c>
      <c r="M746" s="44">
        <v>2108.9892230794717</v>
      </c>
      <c r="N746" s="44">
        <v>3787.6961621398559</v>
      </c>
      <c r="O746" s="45" t="s">
        <v>5074</v>
      </c>
      <c r="P746" s="46">
        <v>3</v>
      </c>
      <c r="Q746" s="43">
        <v>2124.344395581862</v>
      </c>
      <c r="R746" s="43">
        <v>2133.0634575512217</v>
      </c>
      <c r="S746" s="47">
        <v>0</v>
      </c>
      <c r="T746" s="48">
        <v>2127.7176964894265</v>
      </c>
      <c r="U746" s="48">
        <v>2123.878371404955</v>
      </c>
      <c r="V746" s="48">
        <v>2133.0634575512217</v>
      </c>
      <c r="W746" s="48">
        <v>2125.0583334192065</v>
      </c>
    </row>
    <row r="747" spans="1:23" ht="13.2" x14ac:dyDescent="0.25">
      <c r="A747" s="41">
        <v>745</v>
      </c>
      <c r="B747" s="42">
        <v>5.7786351562378158E-2</v>
      </c>
      <c r="C747" s="14" t="s">
        <v>5073</v>
      </c>
      <c r="D747" s="42">
        <v>0.29897031341631447</v>
      </c>
      <c r="E747" s="43">
        <v>315.87643760995775</v>
      </c>
      <c r="F747" s="42">
        <v>3.3075236730778237E-2</v>
      </c>
      <c r="G747" s="43">
        <v>8.4835254909673363</v>
      </c>
      <c r="H747" s="42">
        <v>3.0555244549436145E-2</v>
      </c>
      <c r="I747" s="43">
        <v>2.7140861201109363</v>
      </c>
      <c r="J747" s="42">
        <v>0.44056959610458912</v>
      </c>
      <c r="K747" s="43">
        <v>2.3932462851344813</v>
      </c>
      <c r="L747" s="43">
        <v>2126.7376418669965</v>
      </c>
      <c r="M747" s="44">
        <v>2198.500005765306</v>
      </c>
      <c r="N747" s="44">
        <v>3948.455470124472</v>
      </c>
      <c r="O747" s="45" t="s">
        <v>5074</v>
      </c>
      <c r="P747" s="46">
        <v>2</v>
      </c>
      <c r="Q747" s="43">
        <v>2126.7376418669965</v>
      </c>
      <c r="R747" s="43">
        <v>2135.2211673579636</v>
      </c>
      <c r="S747" s="47">
        <v>0</v>
      </c>
      <c r="T747" s="48">
        <v>2127.7176964894265</v>
      </c>
      <c r="U747" s="48">
        <v>2135.2211673579636</v>
      </c>
      <c r="V747" s="48">
        <v>2133.0634575512217</v>
      </c>
      <c r="W747" s="48">
        <v>2125.0583334192065</v>
      </c>
    </row>
    <row r="748" spans="1:23" ht="13.2" x14ac:dyDescent="0.25">
      <c r="A748" s="41">
        <v>746</v>
      </c>
      <c r="B748" s="42">
        <v>0.5790919370851908</v>
      </c>
      <c r="C748" s="14" t="s">
        <v>5076</v>
      </c>
      <c r="D748" s="42">
        <v>0.47871267305627124</v>
      </c>
      <c r="E748" s="43">
        <v>39.787126730562711</v>
      </c>
      <c r="F748" s="42">
        <v>0.68425493579555996</v>
      </c>
      <c r="G748" s="43">
        <v>3.3547572704659574</v>
      </c>
      <c r="H748" s="42">
        <v>0.9191410503904992</v>
      </c>
      <c r="I748" s="43">
        <v>1.049532375938675</v>
      </c>
      <c r="J748" s="42">
        <v>0.72903719159263991</v>
      </c>
      <c r="K748" s="43">
        <v>0.92271687883492348</v>
      </c>
      <c r="L748" s="43">
        <v>2127.6603587458312</v>
      </c>
      <c r="M748" s="44">
        <v>276.91840204471646</v>
      </c>
      <c r="N748" s="44">
        <v>497.33908413203392</v>
      </c>
      <c r="O748" s="45" t="s">
        <v>5074</v>
      </c>
      <c r="P748" s="46">
        <v>4</v>
      </c>
      <c r="Q748" s="43">
        <v>2127.6603587458312</v>
      </c>
      <c r="R748" s="43">
        <v>2131.0151160162973</v>
      </c>
      <c r="S748" s="47">
        <v>0</v>
      </c>
      <c r="T748" s="48">
        <v>2127.7176964894265</v>
      </c>
      <c r="U748" s="48">
        <v>2135.2211673579636</v>
      </c>
      <c r="V748" s="48">
        <v>2133.0634575512217</v>
      </c>
      <c r="W748" s="48">
        <v>2131.0151160162973</v>
      </c>
    </row>
    <row r="749" spans="1:23" ht="13.2" x14ac:dyDescent="0.25">
      <c r="A749" s="41">
        <v>747</v>
      </c>
      <c r="B749" s="42">
        <v>0.10347168478345112</v>
      </c>
      <c r="C749" s="14" t="s">
        <v>5073</v>
      </c>
      <c r="D749" s="42">
        <v>0.67825011987157635</v>
      </c>
      <c r="E749" s="43">
        <v>361.39001438458916</v>
      </c>
      <c r="F749" s="42">
        <v>0.75291518157018122</v>
      </c>
      <c r="G749" s="43">
        <v>10.736624518314667</v>
      </c>
      <c r="H749" s="42">
        <v>0.61473905184061217</v>
      </c>
      <c r="I749" s="43">
        <v>3.460264847716982</v>
      </c>
      <c r="J749" s="42">
        <v>0.99240094096977305</v>
      </c>
      <c r="K749" s="43">
        <v>2.227176347162238E-2</v>
      </c>
      <c r="L749" s="43">
        <v>2127.6826305093027</v>
      </c>
      <c r="M749" s="44">
        <v>2515.3958376951136</v>
      </c>
      <c r="N749" s="44">
        <v>4517.3751798073645</v>
      </c>
      <c r="O749" s="45" t="s">
        <v>5074</v>
      </c>
      <c r="P749" s="46">
        <v>1</v>
      </c>
      <c r="Q749" s="43">
        <v>2127.7176964894265</v>
      </c>
      <c r="R749" s="43">
        <v>2138.4543210077413</v>
      </c>
      <c r="S749" s="43">
        <v>3.5065980123818008E-2</v>
      </c>
      <c r="T749" s="48">
        <v>2138.4543210077413</v>
      </c>
      <c r="U749" s="48">
        <v>2135.2211673579636</v>
      </c>
      <c r="V749" s="48">
        <v>2133.0634575512217</v>
      </c>
      <c r="W749" s="48">
        <v>2131.0151160162973</v>
      </c>
    </row>
    <row r="750" spans="1:23" ht="13.2" x14ac:dyDescent="0.25">
      <c r="A750" s="41">
        <v>748</v>
      </c>
      <c r="B750" s="42">
        <v>0.64840365743655881</v>
      </c>
      <c r="C750" s="14" t="s">
        <v>5079</v>
      </c>
      <c r="D750" s="42">
        <v>0.57003053397407311</v>
      </c>
      <c r="E750" s="43">
        <v>8.710091601922219</v>
      </c>
      <c r="F750" s="42">
        <v>0.5466991400097958</v>
      </c>
      <c r="G750" s="43">
        <v>1.5001369054010776</v>
      </c>
      <c r="H750" s="42">
        <v>0.85816075134005432</v>
      </c>
      <c r="I750" s="43">
        <v>0.55413743695179407</v>
      </c>
      <c r="J750" s="42">
        <v>0.49676024983486172</v>
      </c>
      <c r="K750" s="43">
        <v>2.0427671940838841</v>
      </c>
      <c r="L750" s="43">
        <v>2129.7253977033865</v>
      </c>
      <c r="M750" s="44">
        <v>61.336918749684791</v>
      </c>
      <c r="N750" s="44">
        <v>108.87614502402774</v>
      </c>
      <c r="O750" s="45" t="s">
        <v>5074</v>
      </c>
      <c r="P750" s="46">
        <v>4</v>
      </c>
      <c r="Q750" s="43">
        <v>2131.0151160162973</v>
      </c>
      <c r="R750" s="43">
        <v>2132.5152529216984</v>
      </c>
      <c r="S750" s="43">
        <v>1.2897183129107361</v>
      </c>
      <c r="T750" s="48">
        <v>2138.4543210077413</v>
      </c>
      <c r="U750" s="48">
        <v>2135.2211673579636</v>
      </c>
      <c r="V750" s="48">
        <v>2133.0634575512217</v>
      </c>
      <c r="W750" s="48">
        <v>2132.5152529216984</v>
      </c>
    </row>
    <row r="751" spans="1:23" ht="13.2" x14ac:dyDescent="0.25">
      <c r="A751" s="41">
        <v>749</v>
      </c>
      <c r="B751" s="42">
        <v>0.32699231911776228</v>
      </c>
      <c r="C751" s="14" t="s">
        <v>5077</v>
      </c>
      <c r="D751" s="42">
        <v>0.36211543919617095</v>
      </c>
      <c r="E751" s="43">
        <v>43.259038952765536</v>
      </c>
      <c r="F751" s="42">
        <v>0.67356395240573397</v>
      </c>
      <c r="G751" s="43">
        <v>3.4433106971547525</v>
      </c>
      <c r="H751" s="42">
        <v>0.51001410023775606</v>
      </c>
      <c r="I751" s="43">
        <v>1.2304324810072467</v>
      </c>
      <c r="J751" s="42">
        <v>0.69233419685267572</v>
      </c>
      <c r="K751" s="43">
        <v>1.0735372161033294</v>
      </c>
      <c r="L751" s="43">
        <v>2130.79893491949</v>
      </c>
      <c r="M751" s="44">
        <v>303.1947245289029</v>
      </c>
      <c r="N751" s="44">
        <v>540.73798690956914</v>
      </c>
      <c r="O751" s="45" t="s">
        <v>5074</v>
      </c>
      <c r="P751" s="46">
        <v>4</v>
      </c>
      <c r="Q751" s="43">
        <v>2132.5152529216984</v>
      </c>
      <c r="R751" s="43">
        <v>2135.9585636188531</v>
      </c>
      <c r="S751" s="43">
        <v>1.7163180022084816</v>
      </c>
      <c r="T751" s="48">
        <v>2138.4543210077413</v>
      </c>
      <c r="U751" s="48">
        <v>2135.2211673579636</v>
      </c>
      <c r="V751" s="48">
        <v>2133.0634575512217</v>
      </c>
      <c r="W751" s="48">
        <v>2135.9585636188531</v>
      </c>
    </row>
    <row r="752" spans="1:23" ht="13.2" x14ac:dyDescent="0.25">
      <c r="A752" s="41">
        <v>750</v>
      </c>
      <c r="B752" s="42">
        <v>5.1152145979531174E-2</v>
      </c>
      <c r="C752" s="14" t="s">
        <v>5073</v>
      </c>
      <c r="D752" s="42">
        <v>0.49792252504170059</v>
      </c>
      <c r="E752" s="43">
        <v>339.75070300500408</v>
      </c>
      <c r="F752" s="42">
        <v>0.96313098257553342</v>
      </c>
      <c r="G752" s="43">
        <v>11.39459997546142</v>
      </c>
      <c r="H752" s="42">
        <v>7.0907485704360285E-2</v>
      </c>
      <c r="I752" s="43">
        <v>2.8261306924478902</v>
      </c>
      <c r="J752" s="42">
        <v>0.75477799622098818</v>
      </c>
      <c r="K752" s="43">
        <v>0.82140618310410662</v>
      </c>
      <c r="L752" s="43">
        <v>2131.620341102594</v>
      </c>
      <c r="M752" s="44">
        <v>2368.7433286030714</v>
      </c>
      <c r="N752" s="44">
        <v>4246.8837875625513</v>
      </c>
      <c r="O752" s="45" t="s">
        <v>5074</v>
      </c>
      <c r="P752" s="46">
        <v>3</v>
      </c>
      <c r="Q752" s="43">
        <v>2133.0634575512217</v>
      </c>
      <c r="R752" s="43">
        <v>2144.4580575266832</v>
      </c>
      <c r="S752" s="43">
        <v>1.4431164486277339</v>
      </c>
      <c r="T752" s="48">
        <v>2138.4543210077413</v>
      </c>
      <c r="U752" s="48">
        <v>2135.2211673579636</v>
      </c>
      <c r="V752" s="48">
        <v>2144.4580575266832</v>
      </c>
      <c r="W752" s="48">
        <v>2135.9585636188531</v>
      </c>
    </row>
    <row r="753" spans="1:23" ht="13.2" x14ac:dyDescent="0.25">
      <c r="A753" s="41">
        <v>751</v>
      </c>
      <c r="B753" s="42">
        <v>0.31629568632519606</v>
      </c>
      <c r="C753" s="14" t="s">
        <v>5077</v>
      </c>
      <c r="D753" s="42">
        <v>0.54941639283179133</v>
      </c>
      <c r="E753" s="43">
        <v>44.944747535486123</v>
      </c>
      <c r="F753" s="42">
        <v>0.79341428344762621</v>
      </c>
      <c r="G753" s="43">
        <v>3.5008388560548607</v>
      </c>
      <c r="H753" s="42">
        <v>0.38229160587410049</v>
      </c>
      <c r="I753" s="43">
        <v>1.1709784065342297</v>
      </c>
      <c r="J753" s="42">
        <v>0.4074035330710018</v>
      </c>
      <c r="K753" s="43">
        <v>2.6217550452145697</v>
      </c>
      <c r="L753" s="43">
        <v>2134.2420961478088</v>
      </c>
      <c r="M753" s="44">
        <v>313.96191409253407</v>
      </c>
      <c r="N753" s="44">
        <v>561.80934419357652</v>
      </c>
      <c r="O753" s="45" t="s">
        <v>5074</v>
      </c>
      <c r="P753" s="46">
        <v>2</v>
      </c>
      <c r="Q753" s="43">
        <v>2135.2211673579636</v>
      </c>
      <c r="R753" s="43">
        <v>2138.7220062140186</v>
      </c>
      <c r="S753" s="43">
        <v>0.97907121015487064</v>
      </c>
      <c r="T753" s="48">
        <v>2138.4543210077413</v>
      </c>
      <c r="U753" s="48">
        <v>2138.7220062140186</v>
      </c>
      <c r="V753" s="48">
        <v>2144.4580575266832</v>
      </c>
      <c r="W753" s="48">
        <v>2135.9585636188531</v>
      </c>
    </row>
    <row r="754" spans="1:23" ht="13.2" x14ac:dyDescent="0.25">
      <c r="A754" s="41">
        <v>752</v>
      </c>
      <c r="B754" s="42">
        <v>0.83802095513698693</v>
      </c>
      <c r="C754" s="14" t="s">
        <v>5081</v>
      </c>
      <c r="D754" s="42">
        <v>0.30248533901874225</v>
      </c>
      <c r="E754" s="43">
        <v>272.09941356074967</v>
      </c>
      <c r="F754" s="42">
        <v>0.88106611784597211</v>
      </c>
      <c r="G754" s="43">
        <v>9.0622554566675113</v>
      </c>
      <c r="H754" s="42">
        <v>5.1943512657630961E-2</v>
      </c>
      <c r="I754" s="43">
        <v>3.3223151025243185</v>
      </c>
      <c r="J754" s="42">
        <v>0.74754238908530324</v>
      </c>
      <c r="K754" s="43">
        <v>0.84953070808378595</v>
      </c>
      <c r="L754" s="43">
        <v>2135.0916268558926</v>
      </c>
      <c r="M754" s="44">
        <v>1896.6921554833345</v>
      </c>
      <c r="N754" s="44">
        <v>3401.2426695093709</v>
      </c>
      <c r="O754" s="45" t="s">
        <v>5074</v>
      </c>
      <c r="P754" s="46">
        <v>4</v>
      </c>
      <c r="Q754" s="43">
        <v>2135.9585636188531</v>
      </c>
      <c r="R754" s="43">
        <v>2145.0208190755206</v>
      </c>
      <c r="S754" s="43">
        <v>0.86693676296044941</v>
      </c>
      <c r="T754" s="48">
        <v>2138.4543210077413</v>
      </c>
      <c r="U754" s="48">
        <v>2138.7220062140186</v>
      </c>
      <c r="V754" s="48">
        <v>2144.4580575266832</v>
      </c>
      <c r="W754" s="48">
        <v>2145.0208190755206</v>
      </c>
    </row>
    <row r="755" spans="1:23" ht="13.2" x14ac:dyDescent="0.25">
      <c r="A755" s="41">
        <v>753</v>
      </c>
      <c r="B755" s="42">
        <v>0.46732816028749952</v>
      </c>
      <c r="C755" s="14" t="s">
        <v>5077</v>
      </c>
      <c r="D755" s="42">
        <v>0.87813849601807936</v>
      </c>
      <c r="E755" s="43">
        <v>47.903246464162713</v>
      </c>
      <c r="F755" s="42">
        <v>0.95222043942297829</v>
      </c>
      <c r="G755" s="43">
        <v>3.5770658109230298</v>
      </c>
      <c r="H755" s="42">
        <v>0.19906647885174791</v>
      </c>
      <c r="I755" s="43">
        <v>1.0677011998229169</v>
      </c>
      <c r="J755" s="42">
        <v>0.60284665161876316</v>
      </c>
      <c r="K755" s="43">
        <v>1.4776421129545596</v>
      </c>
      <c r="L755" s="43">
        <v>2136.5692689688472</v>
      </c>
      <c r="M755" s="44">
        <v>335.4192677142284</v>
      </c>
      <c r="N755" s="44">
        <v>598.7905808020339</v>
      </c>
      <c r="O755" s="45" t="s">
        <v>5074</v>
      </c>
      <c r="P755" s="46">
        <v>1</v>
      </c>
      <c r="Q755" s="43">
        <v>2138.4543210077413</v>
      </c>
      <c r="R755" s="43">
        <v>2142.0313868186645</v>
      </c>
      <c r="S755" s="43">
        <v>1.8850520388941732</v>
      </c>
      <c r="T755" s="48">
        <v>2142.0313868186645</v>
      </c>
      <c r="U755" s="48">
        <v>2138.7220062140186</v>
      </c>
      <c r="V755" s="48">
        <v>2144.4580575266832</v>
      </c>
      <c r="W755" s="48">
        <v>2145.0208190755206</v>
      </c>
    </row>
    <row r="756" spans="1:23" ht="13.2" x14ac:dyDescent="0.25">
      <c r="A756" s="41">
        <v>754</v>
      </c>
      <c r="B756" s="42">
        <v>0.79492166768523009</v>
      </c>
      <c r="C756" s="14" t="s">
        <v>5078</v>
      </c>
      <c r="D756" s="42">
        <v>0.46103970355402663</v>
      </c>
      <c r="E756" s="43">
        <v>188.44158814216107</v>
      </c>
      <c r="F756" s="42">
        <v>0.58469421210917372</v>
      </c>
      <c r="G756" s="43">
        <v>5.9520717330193484</v>
      </c>
      <c r="H756" s="42">
        <v>0.60554696833973143</v>
      </c>
      <c r="I756" s="43">
        <v>3.2837768014356872</v>
      </c>
      <c r="J756" s="42">
        <v>0.53961163737793061</v>
      </c>
      <c r="K756" s="43">
        <v>1.8011841991413347</v>
      </c>
      <c r="L756" s="43">
        <v>2138.3704531679887</v>
      </c>
      <c r="M756" s="44">
        <v>1312.7078752064681</v>
      </c>
      <c r="N756" s="44">
        <v>2355.5198517770132</v>
      </c>
      <c r="O756" s="45" t="s">
        <v>5074</v>
      </c>
      <c r="P756" s="46">
        <v>2</v>
      </c>
      <c r="Q756" s="43">
        <v>2138.7220062140186</v>
      </c>
      <c r="R756" s="43">
        <v>2144.6740779470379</v>
      </c>
      <c r="S756" s="43">
        <v>0.35155304602994875</v>
      </c>
      <c r="T756" s="48">
        <v>2142.0313868186645</v>
      </c>
      <c r="U756" s="48">
        <v>2144.6740779470379</v>
      </c>
      <c r="V756" s="48">
        <v>2144.4580575266832</v>
      </c>
      <c r="W756" s="48">
        <v>2145.0208190755206</v>
      </c>
    </row>
    <row r="757" spans="1:23" ht="13.2" x14ac:dyDescent="0.25">
      <c r="A757" s="41">
        <v>755</v>
      </c>
      <c r="B757" s="42">
        <v>0.53284244590105601</v>
      </c>
      <c r="C757" s="14" t="s">
        <v>5076</v>
      </c>
      <c r="D757" s="42">
        <v>4.4399401193670647E-2</v>
      </c>
      <c r="E757" s="43">
        <v>35.443994011936709</v>
      </c>
      <c r="F757" s="42">
        <v>0.3854078405468761</v>
      </c>
      <c r="G757" s="43">
        <v>3.217287606651563</v>
      </c>
      <c r="H757" s="42">
        <v>0.4579222348788391</v>
      </c>
      <c r="I757" s="43">
        <v>0.81040819537120012</v>
      </c>
      <c r="J757" s="42">
        <v>0.48014764556668121</v>
      </c>
      <c r="K757" s="43">
        <v>2.1420777443714933</v>
      </c>
      <c r="L757" s="43">
        <v>2140.51253091236</v>
      </c>
      <c r="M757" s="44">
        <v>247.92109159713658</v>
      </c>
      <c r="N757" s="44">
        <v>443.04992514920889</v>
      </c>
      <c r="O757" s="45" t="s">
        <v>5074</v>
      </c>
      <c r="P757" s="46">
        <v>1</v>
      </c>
      <c r="Q757" s="43">
        <v>2142.0313868186645</v>
      </c>
      <c r="R757" s="43">
        <v>2145.248674425316</v>
      </c>
      <c r="S757" s="43">
        <v>1.5188559063044522</v>
      </c>
      <c r="T757" s="48">
        <v>2145.248674425316</v>
      </c>
      <c r="U757" s="48">
        <v>2144.6740779470379</v>
      </c>
      <c r="V757" s="48">
        <v>2144.4580575266832</v>
      </c>
      <c r="W757" s="48">
        <v>2145.0208190755206</v>
      </c>
    </row>
    <row r="758" spans="1:23" ht="13.2" x14ac:dyDescent="0.25">
      <c r="A758" s="41">
        <v>756</v>
      </c>
      <c r="B758" s="42">
        <v>0.2318728259913031</v>
      </c>
      <c r="C758" s="14" t="s">
        <v>5073</v>
      </c>
      <c r="D758" s="42">
        <v>0.58781911972342948</v>
      </c>
      <c r="E758" s="43">
        <v>350.53829436681156</v>
      </c>
      <c r="F758" s="42">
        <v>9.2393587386418868E-2</v>
      </c>
      <c r="G758" s="43">
        <v>8.6691919285194921</v>
      </c>
      <c r="H758" s="42">
        <v>0.90818032478363264</v>
      </c>
      <c r="I758" s="43">
        <v>3.73757904730705</v>
      </c>
      <c r="J758" s="42">
        <v>0.32724642210046129</v>
      </c>
      <c r="K758" s="43">
        <v>3.2614359342539001</v>
      </c>
      <c r="L758" s="43">
        <v>2143.7739668466138</v>
      </c>
      <c r="M758" s="44">
        <v>2442.3033717852941</v>
      </c>
      <c r="N758" s="44">
        <v>4381.7286795851442</v>
      </c>
      <c r="O758" s="45" t="s">
        <v>5074</v>
      </c>
      <c r="P758" s="46">
        <v>3</v>
      </c>
      <c r="Q758" s="43">
        <v>2144.4580575266832</v>
      </c>
      <c r="R758" s="43">
        <v>2153.1272494552027</v>
      </c>
      <c r="S758" s="43">
        <v>0.68409068006940288</v>
      </c>
      <c r="T758" s="48">
        <v>2145.248674425316</v>
      </c>
      <c r="U758" s="48">
        <v>2144.6740779470379</v>
      </c>
      <c r="V758" s="48">
        <v>2153.1272494552027</v>
      </c>
      <c r="W758" s="48">
        <v>2145.0208190755206</v>
      </c>
    </row>
    <row r="759" spans="1:23" ht="13.2" x14ac:dyDescent="0.25">
      <c r="A759" s="41">
        <v>757</v>
      </c>
      <c r="B759" s="42">
        <v>0.32288271622866521</v>
      </c>
      <c r="C759" s="14" t="s">
        <v>5077</v>
      </c>
      <c r="D759" s="42">
        <v>0.82536646482784604</v>
      </c>
      <c r="E759" s="43">
        <v>47.428298183450615</v>
      </c>
      <c r="F759" s="42">
        <v>0.58700351630663661</v>
      </c>
      <c r="G759" s="43">
        <v>3.4017616878271859</v>
      </c>
      <c r="H759" s="42">
        <v>0.50011625024495476</v>
      </c>
      <c r="I759" s="43">
        <v>1.225713496513162</v>
      </c>
      <c r="J759" s="42">
        <v>0.47357492915986799</v>
      </c>
      <c r="K759" s="43">
        <v>2.1823215578209734</v>
      </c>
      <c r="L759" s="43">
        <v>2145.9562884044349</v>
      </c>
      <c r="M759" s="44">
        <v>330.10095535681626</v>
      </c>
      <c r="N759" s="44">
        <v>592.85372729313269</v>
      </c>
      <c r="O759" s="45" t="s">
        <v>5074</v>
      </c>
      <c r="P759" s="46">
        <v>2</v>
      </c>
      <c r="Q759" s="43">
        <v>2145.9562884044349</v>
      </c>
      <c r="R759" s="43">
        <v>2149.3580500922621</v>
      </c>
      <c r="S759" s="47">
        <v>0</v>
      </c>
      <c r="T759" s="48">
        <v>2145.248674425316</v>
      </c>
      <c r="U759" s="48">
        <v>2149.3580500922621</v>
      </c>
      <c r="V759" s="48">
        <v>2153.1272494552027</v>
      </c>
      <c r="W759" s="48">
        <v>2145.0208190755206</v>
      </c>
    </row>
    <row r="760" spans="1:23" ht="13.2" x14ac:dyDescent="0.25">
      <c r="A760" s="41">
        <v>758</v>
      </c>
      <c r="B760" s="42">
        <v>0.78109577520801488</v>
      </c>
      <c r="C760" s="14" t="s">
        <v>5078</v>
      </c>
      <c r="D760" s="42">
        <v>0.91736406689387007</v>
      </c>
      <c r="E760" s="43">
        <v>206.69456267575481</v>
      </c>
      <c r="F760" s="42">
        <v>0.89558246494065152</v>
      </c>
      <c r="G760" s="43">
        <v>6.2349800430959927</v>
      </c>
      <c r="H760" s="42">
        <v>0.87459128390745788</v>
      </c>
      <c r="I760" s="43">
        <v>3.814228401472449</v>
      </c>
      <c r="J760" s="42">
        <v>0.52898200719104238</v>
      </c>
      <c r="K760" s="43">
        <v>1.8592725856165371</v>
      </c>
      <c r="L760" s="43">
        <v>2147.8155609900514</v>
      </c>
      <c r="M760" s="44">
        <v>1438.5941562232535</v>
      </c>
      <c r="N760" s="44">
        <v>2583.6820334469353</v>
      </c>
      <c r="O760" s="45" t="s">
        <v>5074</v>
      </c>
      <c r="P760" s="46">
        <v>4</v>
      </c>
      <c r="Q760" s="43">
        <v>2147.8155609900514</v>
      </c>
      <c r="R760" s="43">
        <v>2154.0505410331475</v>
      </c>
      <c r="S760" s="47">
        <v>0</v>
      </c>
      <c r="T760" s="48">
        <v>2145.248674425316</v>
      </c>
      <c r="U760" s="48">
        <v>2149.3580500922621</v>
      </c>
      <c r="V760" s="48">
        <v>2153.1272494552027</v>
      </c>
      <c r="W760" s="48">
        <v>2154.0505410331475</v>
      </c>
    </row>
    <row r="761" spans="1:23" ht="13.2" x14ac:dyDescent="0.25">
      <c r="A761" s="41">
        <v>759</v>
      </c>
      <c r="B761" s="42">
        <v>0.24765561579151807</v>
      </c>
      <c r="C761" s="14" t="s">
        <v>5077</v>
      </c>
      <c r="D761" s="42">
        <v>0.43601132251136532</v>
      </c>
      <c r="E761" s="43">
        <v>43.924101902602288</v>
      </c>
      <c r="F761" s="42">
        <v>0.21873917627089617</v>
      </c>
      <c r="G761" s="43">
        <v>3.2249948046100303</v>
      </c>
      <c r="H761" s="42">
        <v>0.29951825938165105</v>
      </c>
      <c r="I761" s="43">
        <v>1.1283695682876145</v>
      </c>
      <c r="J761" s="42">
        <v>0.10283318865244891</v>
      </c>
      <c r="K761" s="43">
        <v>6.6413054927041903</v>
      </c>
      <c r="L761" s="43">
        <v>2154.4568664827557</v>
      </c>
      <c r="M761" s="44">
        <v>305.71174924211192</v>
      </c>
      <c r="N761" s="44">
        <v>549.0512737825286</v>
      </c>
      <c r="O761" s="45" t="s">
        <v>5074</v>
      </c>
      <c r="P761" s="46">
        <v>1</v>
      </c>
      <c r="Q761" s="43">
        <v>2154.4568664827557</v>
      </c>
      <c r="R761" s="43">
        <v>2157.6818612873658</v>
      </c>
      <c r="S761" s="47">
        <v>0</v>
      </c>
      <c r="T761" s="48">
        <v>2157.6818612873658</v>
      </c>
      <c r="U761" s="48">
        <v>2149.3580500922621</v>
      </c>
      <c r="V761" s="48">
        <v>2153.1272494552027</v>
      </c>
      <c r="W761" s="48">
        <v>2154.0505410331475</v>
      </c>
    </row>
    <row r="762" spans="1:23" ht="13.2" x14ac:dyDescent="0.25">
      <c r="A762" s="41">
        <v>760</v>
      </c>
      <c r="B762" s="42">
        <v>0.88547766343014211</v>
      </c>
      <c r="C762" s="14" t="s">
        <v>5075</v>
      </c>
      <c r="D762" s="42">
        <v>0.1798570031206389</v>
      </c>
      <c r="E762" s="43">
        <v>292.58999021844471</v>
      </c>
      <c r="F762" s="42">
        <v>0.95025532736920537</v>
      </c>
      <c r="G762" s="43">
        <v>10.241008101464718</v>
      </c>
      <c r="H762" s="42">
        <v>0.22092517242809998</v>
      </c>
      <c r="I762" s="43">
        <v>2.1647182447144053</v>
      </c>
      <c r="J762" s="42">
        <v>0.94477182903549251</v>
      </c>
      <c r="K762" s="43">
        <v>0.16587396028733903</v>
      </c>
      <c r="L762" s="43">
        <v>2154.6227404430429</v>
      </c>
      <c r="M762" s="44">
        <v>2036.4263319203751</v>
      </c>
      <c r="N762" s="44">
        <v>3657.3748777305591</v>
      </c>
      <c r="O762" s="45" t="s">
        <v>5074</v>
      </c>
      <c r="P762" s="46">
        <v>2</v>
      </c>
      <c r="Q762" s="43">
        <v>2154.6227404430429</v>
      </c>
      <c r="R762" s="43">
        <v>2164.8637485445074</v>
      </c>
      <c r="S762" s="47">
        <v>0</v>
      </c>
      <c r="T762" s="48">
        <v>2157.6818612873658</v>
      </c>
      <c r="U762" s="48">
        <v>2164.8637485445074</v>
      </c>
      <c r="V762" s="48">
        <v>2153.1272494552027</v>
      </c>
      <c r="W762" s="48">
        <v>2154.0505410331475</v>
      </c>
    </row>
    <row r="763" spans="1:23" ht="13.2" x14ac:dyDescent="0.25">
      <c r="A763" s="41">
        <v>761</v>
      </c>
      <c r="B763" s="42">
        <v>0.80086124911944445</v>
      </c>
      <c r="C763" s="14" t="s">
        <v>5078</v>
      </c>
      <c r="D763" s="42">
        <v>4.2826489099686262E-2</v>
      </c>
      <c r="E763" s="43">
        <v>171.71305956398746</v>
      </c>
      <c r="F763" s="42">
        <v>0.23390460118367551</v>
      </c>
      <c r="G763" s="43">
        <v>5.6328531870771448</v>
      </c>
      <c r="H763" s="42">
        <v>0.52842120338623466</v>
      </c>
      <c r="I763" s="43">
        <v>3.1701802801501175</v>
      </c>
      <c r="J763" s="42">
        <v>0.77570241818935726</v>
      </c>
      <c r="K763" s="43">
        <v>0.74156588047176741</v>
      </c>
      <c r="L763" s="43">
        <v>2155.3643063235145</v>
      </c>
      <c r="M763" s="44">
        <v>1195.1228945653527</v>
      </c>
      <c r="N763" s="44">
        <v>2146.4132445498431</v>
      </c>
      <c r="O763" s="45" t="s">
        <v>5074</v>
      </c>
      <c r="P763" s="46">
        <v>3</v>
      </c>
      <c r="Q763" s="43">
        <v>2155.3643063235145</v>
      </c>
      <c r="R763" s="43">
        <v>2160.9971595105917</v>
      </c>
      <c r="S763" s="47">
        <v>0</v>
      </c>
      <c r="T763" s="48">
        <v>2157.6818612873658</v>
      </c>
      <c r="U763" s="48">
        <v>2164.8637485445074</v>
      </c>
      <c r="V763" s="48">
        <v>2160.9971595105917</v>
      </c>
      <c r="W763" s="48">
        <v>2154.0505410331475</v>
      </c>
    </row>
    <row r="764" spans="1:23" ht="13.2" x14ac:dyDescent="0.25">
      <c r="A764" s="41">
        <v>762</v>
      </c>
      <c r="B764" s="42">
        <v>0.53977258575138287</v>
      </c>
      <c r="C764" s="14" t="s">
        <v>5076</v>
      </c>
      <c r="D764" s="42">
        <v>0.43543376654173888</v>
      </c>
      <c r="E764" s="43">
        <v>39.35433766541739</v>
      </c>
      <c r="F764" s="42">
        <v>0.86238883382752018</v>
      </c>
      <c r="G764" s="43">
        <v>3.4366988635606592</v>
      </c>
      <c r="H764" s="42">
        <v>0.24576269893244035</v>
      </c>
      <c r="I764" s="43">
        <v>0.72717871109726029</v>
      </c>
      <c r="J764" s="42">
        <v>0.62857646617506469</v>
      </c>
      <c r="K764" s="43">
        <v>1.3556134125366179</v>
      </c>
      <c r="L764" s="43">
        <v>2156.719919736051</v>
      </c>
      <c r="M764" s="44">
        <v>273.90619015130505</v>
      </c>
      <c r="N764" s="44">
        <v>491.92922081771735</v>
      </c>
      <c r="O764" s="45" t="s">
        <v>5074</v>
      </c>
      <c r="P764" s="46">
        <v>4</v>
      </c>
      <c r="Q764" s="43">
        <v>2156.719919736051</v>
      </c>
      <c r="R764" s="43">
        <v>2160.1566185996116</v>
      </c>
      <c r="S764" s="47">
        <v>0</v>
      </c>
      <c r="T764" s="48">
        <v>2157.6818612873658</v>
      </c>
      <c r="U764" s="48">
        <v>2164.8637485445074</v>
      </c>
      <c r="V764" s="48">
        <v>2160.9971595105917</v>
      </c>
      <c r="W764" s="48">
        <v>2160.1566185996116</v>
      </c>
    </row>
    <row r="765" spans="1:23" ht="13.2" x14ac:dyDescent="0.25">
      <c r="A765" s="41">
        <v>763</v>
      </c>
      <c r="B765" s="42">
        <v>0.71449599541467423</v>
      </c>
      <c r="C765" s="14" t="s">
        <v>5079</v>
      </c>
      <c r="D765" s="42">
        <v>0.91890355661460366</v>
      </c>
      <c r="E765" s="43">
        <v>9.7567106698438106</v>
      </c>
      <c r="F765" s="42">
        <v>0.4147098690339876</v>
      </c>
      <c r="G765" s="43">
        <v>1.4856180855937386</v>
      </c>
      <c r="H765" s="42">
        <v>0.41688974407356688</v>
      </c>
      <c r="I765" s="43">
        <v>0.40425257669936504</v>
      </c>
      <c r="J765" s="42">
        <v>0.87338999978890175</v>
      </c>
      <c r="K765" s="43">
        <v>0.39524989122801057</v>
      </c>
      <c r="L765" s="43">
        <v>2157.1151696272791</v>
      </c>
      <c r="M765" s="44">
        <v>68.135792825896999</v>
      </c>
      <c r="N765" s="44">
        <v>121.95888337304763</v>
      </c>
      <c r="O765" s="45" t="s">
        <v>5074</v>
      </c>
      <c r="P765" s="46">
        <v>1</v>
      </c>
      <c r="Q765" s="43">
        <v>2157.6818612873658</v>
      </c>
      <c r="R765" s="43">
        <v>2159.1674793729594</v>
      </c>
      <c r="S765" s="43">
        <v>0.56669166008668981</v>
      </c>
      <c r="T765" s="48">
        <v>2159.1674793729594</v>
      </c>
      <c r="U765" s="48">
        <v>2164.8637485445074</v>
      </c>
      <c r="V765" s="48">
        <v>2160.9971595105917</v>
      </c>
      <c r="W765" s="48">
        <v>2160.1566185996116</v>
      </c>
    </row>
    <row r="766" spans="1:23" ht="13.2" x14ac:dyDescent="0.25">
      <c r="A766" s="41">
        <v>764</v>
      </c>
      <c r="B766" s="42">
        <v>0.96153456762504508</v>
      </c>
      <c r="C766" s="14" t="s">
        <v>5080</v>
      </c>
      <c r="D766" s="42">
        <v>0.79831202411945534</v>
      </c>
      <c r="E766" s="43">
        <v>104.95780060298638</v>
      </c>
      <c r="F766" s="42">
        <v>0.7940833823727832</v>
      </c>
      <c r="G766" s="43">
        <v>4.638805026481303</v>
      </c>
      <c r="H766" s="42">
        <v>0.11418000288036652</v>
      </c>
      <c r="I766" s="43">
        <v>1.6054863797314625</v>
      </c>
      <c r="J766" s="42">
        <v>0.94143038799121526</v>
      </c>
      <c r="K766" s="43">
        <v>0.1762186013483272</v>
      </c>
      <c r="L766" s="43">
        <v>2157.2913882286275</v>
      </c>
      <c r="M766" s="44">
        <v>733.51833097614485</v>
      </c>
      <c r="N766" s="44">
        <v>1311.9725075373299</v>
      </c>
      <c r="O766" s="45" t="s">
        <v>5074</v>
      </c>
      <c r="P766" s="46">
        <v>1</v>
      </c>
      <c r="Q766" s="43">
        <v>2159.1674793729594</v>
      </c>
      <c r="R766" s="43">
        <v>2163.8062843994408</v>
      </c>
      <c r="S766" s="43">
        <v>1.8760911443318946</v>
      </c>
      <c r="T766" s="48">
        <v>2163.8062843994408</v>
      </c>
      <c r="U766" s="48">
        <v>2164.8637485445074</v>
      </c>
      <c r="V766" s="48">
        <v>2160.9971595105917</v>
      </c>
      <c r="W766" s="48">
        <v>2160.1566185996116</v>
      </c>
    </row>
    <row r="767" spans="1:23" ht="13.2" x14ac:dyDescent="0.25">
      <c r="A767" s="41">
        <v>765</v>
      </c>
      <c r="B767" s="42">
        <v>0.8887070235278024</v>
      </c>
      <c r="C767" s="14" t="s">
        <v>5075</v>
      </c>
      <c r="D767" s="42">
        <v>0.53047356127317691</v>
      </c>
      <c r="E767" s="43">
        <v>317.1331492891224</v>
      </c>
      <c r="F767" s="42">
        <v>0.976714180771594</v>
      </c>
      <c r="G767" s="43">
        <v>10.293661219735473</v>
      </c>
      <c r="H767" s="42">
        <v>0.64388478344487254</v>
      </c>
      <c r="I767" s="43">
        <v>2.6560625419438626</v>
      </c>
      <c r="J767" s="42">
        <v>0.79129952229154277</v>
      </c>
      <c r="K767" s="43">
        <v>0.68344151844668477</v>
      </c>
      <c r="L767" s="43">
        <v>2157.9748297470742</v>
      </c>
      <c r="M767" s="44">
        <v>2213.0416866979476</v>
      </c>
      <c r="N767" s="44">
        <v>3964.1643661140301</v>
      </c>
      <c r="O767" s="45" t="s">
        <v>5074</v>
      </c>
      <c r="P767" s="46">
        <v>4</v>
      </c>
      <c r="Q767" s="43">
        <v>2160.1566185996116</v>
      </c>
      <c r="R767" s="43">
        <v>2170.4502798193471</v>
      </c>
      <c r="S767" s="43">
        <v>2.1817888525374656</v>
      </c>
      <c r="T767" s="48">
        <v>2163.8062843994408</v>
      </c>
      <c r="U767" s="48">
        <v>2164.8637485445074</v>
      </c>
      <c r="V767" s="48">
        <v>2160.9971595105917</v>
      </c>
      <c r="W767" s="48">
        <v>2170.4502798193471</v>
      </c>
    </row>
    <row r="768" spans="1:23" ht="13.2" x14ac:dyDescent="0.25">
      <c r="A768" s="41">
        <v>766</v>
      </c>
      <c r="B768" s="42">
        <v>0.30947827608765954</v>
      </c>
      <c r="C768" s="14" t="s">
        <v>5077</v>
      </c>
      <c r="D768" s="42">
        <v>0.79964075740410046</v>
      </c>
      <c r="E768" s="43">
        <v>47.196766816636902</v>
      </c>
      <c r="F768" s="42">
        <v>0.5038540062978184</v>
      </c>
      <c r="G768" s="43">
        <v>3.361849923022953</v>
      </c>
      <c r="H768" s="42">
        <v>6.1968822061069691E-2</v>
      </c>
      <c r="I768" s="43">
        <v>0.94936122636743814</v>
      </c>
      <c r="J768" s="42">
        <v>0.12567714793871956</v>
      </c>
      <c r="K768" s="43">
        <v>6.0555882579047227</v>
      </c>
      <c r="L768" s="43">
        <v>2164.0304180049789</v>
      </c>
      <c r="M768" s="44">
        <v>328.48949704379282</v>
      </c>
      <c r="N768" s="44">
        <v>589.95958520796125</v>
      </c>
      <c r="O768" s="45" t="s">
        <v>5074</v>
      </c>
      <c r="P768" s="46">
        <v>3</v>
      </c>
      <c r="Q768" s="43">
        <v>2164.0304180049789</v>
      </c>
      <c r="R768" s="43">
        <v>2167.3922679280017</v>
      </c>
      <c r="S768" s="47">
        <v>0</v>
      </c>
      <c r="T768" s="48">
        <v>2163.8062843994408</v>
      </c>
      <c r="U768" s="48">
        <v>2164.8637485445074</v>
      </c>
      <c r="V768" s="48">
        <v>2167.3922679280017</v>
      </c>
      <c r="W768" s="48">
        <v>2170.4502798193471</v>
      </c>
    </row>
    <row r="769" spans="1:23" ht="13.2" x14ac:dyDescent="0.25">
      <c r="A769" s="41">
        <v>767</v>
      </c>
      <c r="B769" s="42">
        <v>0.22680864307415144</v>
      </c>
      <c r="C769" s="14" t="s">
        <v>5073</v>
      </c>
      <c r="D769" s="42">
        <v>0.1287489478144557</v>
      </c>
      <c r="E769" s="43">
        <v>295.44987373773466</v>
      </c>
      <c r="F769" s="42">
        <v>0.31449680277821457</v>
      </c>
      <c r="G769" s="43">
        <v>9.3643749926958115</v>
      </c>
      <c r="H769" s="42">
        <v>0.26278035354929991</v>
      </c>
      <c r="I769" s="43">
        <v>3.1278300170619033</v>
      </c>
      <c r="J769" s="42">
        <v>0.94012759436859172</v>
      </c>
      <c r="K769" s="43">
        <v>0.18026182259783555</v>
      </c>
      <c r="L769" s="43">
        <v>2164.2106798275768</v>
      </c>
      <c r="M769" s="44">
        <v>2056.3311212146332</v>
      </c>
      <c r="N769" s="44">
        <v>3693.1234217216834</v>
      </c>
      <c r="O769" s="45" t="s">
        <v>5074</v>
      </c>
      <c r="P769" s="46">
        <v>1</v>
      </c>
      <c r="Q769" s="43">
        <v>2164.2106798275768</v>
      </c>
      <c r="R769" s="43">
        <v>2173.5750548202727</v>
      </c>
      <c r="S769" s="47">
        <v>0</v>
      </c>
      <c r="T769" s="48">
        <v>2173.5750548202727</v>
      </c>
      <c r="U769" s="48">
        <v>2164.8637485445074</v>
      </c>
      <c r="V769" s="48">
        <v>2167.3922679280017</v>
      </c>
      <c r="W769" s="48">
        <v>2170.4502798193471</v>
      </c>
    </row>
    <row r="770" spans="1:23" ht="13.2" x14ac:dyDescent="0.25">
      <c r="A770" s="41">
        <v>768</v>
      </c>
      <c r="B770" s="42">
        <v>0.3561523260344529</v>
      </c>
      <c r="C770" s="14" t="s">
        <v>5077</v>
      </c>
      <c r="D770" s="42">
        <v>0.92262844365212526</v>
      </c>
      <c r="E770" s="43">
        <v>48.303655992869125</v>
      </c>
      <c r="F770" s="42">
        <v>0.58230599974389463</v>
      </c>
      <c r="G770" s="43">
        <v>3.3995068798770696</v>
      </c>
      <c r="H770" s="42">
        <v>0.36635965219063671</v>
      </c>
      <c r="I770" s="43">
        <v>1.1631659053223873</v>
      </c>
      <c r="J770" s="42">
        <v>0.27219856543103166</v>
      </c>
      <c r="K770" s="43">
        <v>3.7991925811797831</v>
      </c>
      <c r="L770" s="43">
        <v>2168.0098724087566</v>
      </c>
      <c r="M770" s="44">
        <v>336.19344571036913</v>
      </c>
      <c r="N770" s="44">
        <v>603.79569991086407</v>
      </c>
      <c r="O770" s="45" t="s">
        <v>5074</v>
      </c>
      <c r="P770" s="46">
        <v>2</v>
      </c>
      <c r="Q770" s="43">
        <v>2168.0098724087566</v>
      </c>
      <c r="R770" s="43">
        <v>2171.4093792886338</v>
      </c>
      <c r="S770" s="47">
        <v>0</v>
      </c>
      <c r="T770" s="48">
        <v>2173.5750548202727</v>
      </c>
      <c r="U770" s="48">
        <v>2171.4093792886338</v>
      </c>
      <c r="V770" s="48">
        <v>2167.3922679280017</v>
      </c>
      <c r="W770" s="48">
        <v>2170.4502798193471</v>
      </c>
    </row>
    <row r="771" spans="1:23" ht="13.2" x14ac:dyDescent="0.25">
      <c r="A771" s="41">
        <v>769</v>
      </c>
      <c r="B771" s="42">
        <v>0.78926003388560384</v>
      </c>
      <c r="C771" s="14" t="s">
        <v>5078</v>
      </c>
      <c r="D771" s="42">
        <v>0.53003938055133415</v>
      </c>
      <c r="E771" s="43">
        <v>191.20157522205335</v>
      </c>
      <c r="F771" s="42">
        <v>0.27204815543817734</v>
      </c>
      <c r="G771" s="43">
        <v>5.6675638214487414</v>
      </c>
      <c r="H771" s="42">
        <v>0.42806667807887622</v>
      </c>
      <c r="I771" s="43">
        <v>3.0355035141031528</v>
      </c>
      <c r="J771" s="42">
        <v>0.15946518730347287</v>
      </c>
      <c r="K771" s="43">
        <v>5.3603785167882068</v>
      </c>
      <c r="L771" s="43">
        <v>2173.370250925545</v>
      </c>
      <c r="M771" s="44">
        <v>1330.7629635454914</v>
      </c>
      <c r="N771" s="44">
        <v>2390.019690275667</v>
      </c>
      <c r="O771" s="45" t="s">
        <v>5074</v>
      </c>
      <c r="P771" s="46">
        <v>3</v>
      </c>
      <c r="Q771" s="43">
        <v>2173.370250925545</v>
      </c>
      <c r="R771" s="43">
        <v>2179.0378147469937</v>
      </c>
      <c r="S771" s="47">
        <v>0</v>
      </c>
      <c r="T771" s="48">
        <v>2173.5750548202727</v>
      </c>
      <c r="U771" s="48">
        <v>2171.4093792886338</v>
      </c>
      <c r="V771" s="48">
        <v>2179.0378147469937</v>
      </c>
      <c r="W771" s="48">
        <v>2170.4502798193471</v>
      </c>
    </row>
    <row r="772" spans="1:23" ht="13.2" x14ac:dyDescent="0.25">
      <c r="A772" s="41">
        <v>770</v>
      </c>
      <c r="B772" s="42">
        <v>0.26303225907638311</v>
      </c>
      <c r="C772" s="14" t="s">
        <v>5077</v>
      </c>
      <c r="D772" s="42">
        <v>0.24317506246416601</v>
      </c>
      <c r="E772" s="43">
        <v>42.18857556217749</v>
      </c>
      <c r="F772" s="42">
        <v>0.44298411181335529</v>
      </c>
      <c r="G772" s="43">
        <v>3.3326323736704104</v>
      </c>
      <c r="H772" s="42">
        <v>0.60085207112173178</v>
      </c>
      <c r="I772" s="43">
        <v>1.2761880511415225</v>
      </c>
      <c r="J772" s="42">
        <v>0.76581984654339952</v>
      </c>
      <c r="K772" s="43">
        <v>0.77900240637246276</v>
      </c>
      <c r="L772" s="43">
        <v>2174.1492533319174</v>
      </c>
      <c r="M772" s="44">
        <v>293.63248591275533</v>
      </c>
      <c r="N772" s="44">
        <v>527.35719452721867</v>
      </c>
      <c r="O772" s="45" t="s">
        <v>5074</v>
      </c>
      <c r="P772" s="46">
        <v>4</v>
      </c>
      <c r="Q772" s="43">
        <v>2174.1492533319174</v>
      </c>
      <c r="R772" s="43">
        <v>2177.481885705588</v>
      </c>
      <c r="S772" s="47">
        <v>0</v>
      </c>
      <c r="T772" s="48">
        <v>2173.5750548202727</v>
      </c>
      <c r="U772" s="48">
        <v>2171.4093792886338</v>
      </c>
      <c r="V772" s="48">
        <v>2179.0378147469937</v>
      </c>
      <c r="W772" s="48">
        <v>2177.481885705588</v>
      </c>
    </row>
    <row r="773" spans="1:23" ht="13.2" x14ac:dyDescent="0.25">
      <c r="A773" s="41">
        <v>771</v>
      </c>
      <c r="B773" s="42">
        <v>0.75220359803745696</v>
      </c>
      <c r="C773" s="14" t="s">
        <v>5079</v>
      </c>
      <c r="D773" s="42">
        <v>0.16615924386594411</v>
      </c>
      <c r="E773" s="43">
        <v>7.4984777315978324</v>
      </c>
      <c r="F773" s="42">
        <v>0.68753190650024076</v>
      </c>
      <c r="G773" s="43">
        <v>1.5156285097150266</v>
      </c>
      <c r="H773" s="42">
        <v>0.51880325913373537</v>
      </c>
      <c r="I773" s="43">
        <v>0.43133755169369187</v>
      </c>
      <c r="J773" s="42">
        <v>0.46704552670337518</v>
      </c>
      <c r="K773" s="43">
        <v>2.2228570466491053</v>
      </c>
      <c r="L773" s="43">
        <v>2176.3721103785665</v>
      </c>
      <c r="M773" s="44">
        <v>52.189405011920911</v>
      </c>
      <c r="N773" s="44">
        <v>93.730971644972911</v>
      </c>
      <c r="O773" s="45" t="s">
        <v>5074</v>
      </c>
      <c r="P773" s="46">
        <v>2</v>
      </c>
      <c r="Q773" s="43">
        <v>2176.3721103785665</v>
      </c>
      <c r="R773" s="43">
        <v>2177.8877388882815</v>
      </c>
      <c r="S773" s="47">
        <v>0</v>
      </c>
      <c r="T773" s="48">
        <v>2173.5750548202727</v>
      </c>
      <c r="U773" s="48">
        <v>2177.8877388882815</v>
      </c>
      <c r="V773" s="48">
        <v>2179.0378147469937</v>
      </c>
      <c r="W773" s="48">
        <v>2177.481885705588</v>
      </c>
    </row>
    <row r="774" spans="1:23" ht="13.2" x14ac:dyDescent="0.25">
      <c r="A774" s="41">
        <v>772</v>
      </c>
      <c r="B774" s="42">
        <v>0.42747188146574044</v>
      </c>
      <c r="C774" s="14" t="s">
        <v>5077</v>
      </c>
      <c r="D774" s="42">
        <v>0.10563270752580498</v>
      </c>
      <c r="E774" s="43">
        <v>40.950694367732247</v>
      </c>
      <c r="F774" s="42">
        <v>0.75463033642369803</v>
      </c>
      <c r="G774" s="43">
        <v>3.4822225614833751</v>
      </c>
      <c r="H774" s="42">
        <v>0.53287160188559046</v>
      </c>
      <c r="I774" s="43">
        <v>1.2415157809133619</v>
      </c>
      <c r="J774" s="42">
        <v>0.5752645584639462</v>
      </c>
      <c r="K774" s="43">
        <v>1.6143802695552676</v>
      </c>
      <c r="L774" s="43">
        <v>2177.9864906481216</v>
      </c>
      <c r="M774" s="44">
        <v>285.01683279941642</v>
      </c>
      <c r="N774" s="44">
        <v>511.88367959665311</v>
      </c>
      <c r="O774" s="45" t="s">
        <v>5074</v>
      </c>
      <c r="P774" s="46">
        <v>1</v>
      </c>
      <c r="Q774" s="43">
        <v>2177.9864906481216</v>
      </c>
      <c r="R774" s="43">
        <v>2181.4687132096051</v>
      </c>
      <c r="S774" s="47">
        <v>0</v>
      </c>
      <c r="T774" s="48">
        <v>2181.4687132096051</v>
      </c>
      <c r="U774" s="48">
        <v>2177.8877388882815</v>
      </c>
      <c r="V774" s="48">
        <v>2179.0378147469937</v>
      </c>
      <c r="W774" s="48">
        <v>2177.481885705588</v>
      </c>
    </row>
    <row r="775" spans="1:23" ht="13.2" x14ac:dyDescent="0.25">
      <c r="A775" s="41">
        <v>773</v>
      </c>
      <c r="B775" s="42">
        <v>0.71131314603207318</v>
      </c>
      <c r="C775" s="14" t="s">
        <v>5079</v>
      </c>
      <c r="D775" s="42">
        <v>0.98653498244776161</v>
      </c>
      <c r="E775" s="43">
        <v>9.9596049473432853</v>
      </c>
      <c r="F775" s="42">
        <v>0.61379480623351168</v>
      </c>
      <c r="G775" s="43">
        <v>1.5075174286856863</v>
      </c>
      <c r="H775" s="42">
        <v>0.27198178194089878</v>
      </c>
      <c r="I775" s="43">
        <v>0.36491870177178176</v>
      </c>
      <c r="J775" s="42">
        <v>0.94772112041140022</v>
      </c>
      <c r="K775" s="43">
        <v>0.15677371324617764</v>
      </c>
      <c r="L775" s="43">
        <v>2178.143264361368</v>
      </c>
      <c r="M775" s="44">
        <v>69.318850433509269</v>
      </c>
      <c r="N775" s="44">
        <v>124.49506184179107</v>
      </c>
      <c r="O775" s="45" t="s">
        <v>5074</v>
      </c>
      <c r="P775" s="46">
        <v>4</v>
      </c>
      <c r="Q775" s="43">
        <v>2178.143264361368</v>
      </c>
      <c r="R775" s="43">
        <v>2179.6507817900538</v>
      </c>
      <c r="S775" s="47">
        <v>0</v>
      </c>
      <c r="T775" s="48">
        <v>2181.4687132096051</v>
      </c>
      <c r="U775" s="48">
        <v>2177.8877388882815</v>
      </c>
      <c r="V775" s="48">
        <v>2179.0378147469937</v>
      </c>
      <c r="W775" s="48">
        <v>2179.6507817900538</v>
      </c>
    </row>
    <row r="776" spans="1:23" ht="13.2" x14ac:dyDescent="0.25">
      <c r="A776" s="41">
        <v>774</v>
      </c>
      <c r="B776" s="42">
        <v>0.97008873194925893</v>
      </c>
      <c r="C776" s="14" t="s">
        <v>5080</v>
      </c>
      <c r="D776" s="42">
        <v>0.4186837861401419</v>
      </c>
      <c r="E776" s="43">
        <v>95.467094653503551</v>
      </c>
      <c r="F776" s="42">
        <v>0.10126086561999324</v>
      </c>
      <c r="G776" s="43">
        <v>4.2646808674347962</v>
      </c>
      <c r="H776" s="42">
        <v>0.71448206515725798</v>
      </c>
      <c r="I776" s="43">
        <v>2.2831092951384182</v>
      </c>
      <c r="J776" s="42">
        <v>0.73164183075150557</v>
      </c>
      <c r="K776" s="43">
        <v>0.91230419567964183</v>
      </c>
      <c r="L776" s="43">
        <v>2179.0555685570475</v>
      </c>
      <c r="M776" s="44">
        <v>664.45097878838476</v>
      </c>
      <c r="N776" s="44">
        <v>1193.3386831687944</v>
      </c>
      <c r="O776" s="45" t="s">
        <v>5074</v>
      </c>
      <c r="P776" s="46">
        <v>2</v>
      </c>
      <c r="Q776" s="43">
        <v>2179.0555685570475</v>
      </c>
      <c r="R776" s="43">
        <v>2183.3202494244824</v>
      </c>
      <c r="S776" s="47">
        <v>0</v>
      </c>
      <c r="T776" s="48">
        <v>2181.4687132096051</v>
      </c>
      <c r="U776" s="48">
        <v>2183.3202494244824</v>
      </c>
      <c r="V776" s="48">
        <v>2179.0378147469937</v>
      </c>
      <c r="W776" s="48">
        <v>2179.6507817900538</v>
      </c>
    </row>
    <row r="777" spans="1:23" ht="13.2" x14ac:dyDescent="0.25">
      <c r="A777" s="41">
        <v>775</v>
      </c>
      <c r="B777" s="42">
        <v>0.59046759577024155</v>
      </c>
      <c r="C777" s="14" t="s">
        <v>5076</v>
      </c>
      <c r="D777" s="42">
        <v>0.54698540714894672</v>
      </c>
      <c r="E777" s="43">
        <v>40.469854071489465</v>
      </c>
      <c r="F777" s="42">
        <v>0.35697054646768167</v>
      </c>
      <c r="G777" s="43">
        <v>3.2042064513751338</v>
      </c>
      <c r="H777" s="42">
        <v>0.87099506374029212</v>
      </c>
      <c r="I777" s="43">
        <v>1.0099437395066444</v>
      </c>
      <c r="J777" s="42">
        <v>0.53060825566323855</v>
      </c>
      <c r="K777" s="43">
        <v>1.8503103015782001</v>
      </c>
      <c r="L777" s="43">
        <v>2180.9058788586258</v>
      </c>
      <c r="M777" s="44">
        <v>281.6701843375667</v>
      </c>
      <c r="N777" s="44">
        <v>505.87317589361828</v>
      </c>
      <c r="O777" s="45" t="s">
        <v>5074</v>
      </c>
      <c r="P777" s="46">
        <v>3</v>
      </c>
      <c r="Q777" s="43">
        <v>2180.9058788586258</v>
      </c>
      <c r="R777" s="43">
        <v>2184.1100853100011</v>
      </c>
      <c r="S777" s="47">
        <v>0</v>
      </c>
      <c r="T777" s="48">
        <v>2181.4687132096051</v>
      </c>
      <c r="U777" s="48">
        <v>2183.3202494244824</v>
      </c>
      <c r="V777" s="48">
        <v>2184.1100853100011</v>
      </c>
      <c r="W777" s="48">
        <v>2179.6507817900538</v>
      </c>
    </row>
    <row r="778" spans="1:23" ht="13.2" x14ac:dyDescent="0.25">
      <c r="A778" s="41">
        <v>776</v>
      </c>
      <c r="B778" s="42">
        <v>0.1788937981142168</v>
      </c>
      <c r="C778" s="14" t="s">
        <v>5073</v>
      </c>
      <c r="D778" s="42">
        <v>0.67144201261524206</v>
      </c>
      <c r="E778" s="43">
        <v>360.57304151382903</v>
      </c>
      <c r="F778" s="42">
        <v>0.4881843316779399</v>
      </c>
      <c r="G778" s="43">
        <v>9.9080169581519524</v>
      </c>
      <c r="H778" s="42">
        <v>0.49682216881626384</v>
      </c>
      <c r="I778" s="43">
        <v>3.3632689344719848</v>
      </c>
      <c r="J778" s="42">
        <v>0.39268483752044142</v>
      </c>
      <c r="K778" s="43">
        <v>2.7291910335487373</v>
      </c>
      <c r="L778" s="43">
        <v>2183.6350698921747</v>
      </c>
      <c r="M778" s="44">
        <v>2509.5883689362499</v>
      </c>
      <c r="N778" s="44">
        <v>4507.1630189228626</v>
      </c>
      <c r="O778" s="45" t="s">
        <v>5074</v>
      </c>
      <c r="P778" s="46">
        <v>4</v>
      </c>
      <c r="Q778" s="43">
        <v>2183.6350698921747</v>
      </c>
      <c r="R778" s="43">
        <v>2193.5430868503267</v>
      </c>
      <c r="S778" s="47">
        <v>0</v>
      </c>
      <c r="T778" s="48">
        <v>2181.4687132096051</v>
      </c>
      <c r="U778" s="48">
        <v>2183.3202494244824</v>
      </c>
      <c r="V778" s="48">
        <v>2184.1100853100011</v>
      </c>
      <c r="W778" s="48">
        <v>2193.5430868503267</v>
      </c>
    </row>
    <row r="779" spans="1:23" ht="13.2" x14ac:dyDescent="0.25">
      <c r="A779" s="41">
        <v>777</v>
      </c>
      <c r="B779" s="42">
        <v>0.20130965868072104</v>
      </c>
      <c r="C779" s="14" t="s">
        <v>5073</v>
      </c>
      <c r="D779" s="42">
        <v>0.43175147307652584</v>
      </c>
      <c r="E779" s="43">
        <v>331.8101767691831</v>
      </c>
      <c r="F779" s="42">
        <v>0.59285865006635829</v>
      </c>
      <c r="G779" s="43">
        <v>10.235647574707702</v>
      </c>
      <c r="H779" s="42">
        <v>0.51663765102468318</v>
      </c>
      <c r="I779" s="43">
        <v>3.3803161230700165</v>
      </c>
      <c r="J779" s="42">
        <v>0.75820780673912158</v>
      </c>
      <c r="K779" s="43">
        <v>0.80816869939127811</v>
      </c>
      <c r="L779" s="43">
        <v>2184.4432385915661</v>
      </c>
      <c r="M779" s="44">
        <v>2309.3988303135143</v>
      </c>
      <c r="N779" s="44">
        <v>4147.6272096147886</v>
      </c>
      <c r="O779" s="45" t="s">
        <v>5074</v>
      </c>
      <c r="P779" s="46">
        <v>1</v>
      </c>
      <c r="Q779" s="43">
        <v>2184.4432385915661</v>
      </c>
      <c r="R779" s="43">
        <v>2194.678886166274</v>
      </c>
      <c r="S779" s="47">
        <v>0</v>
      </c>
      <c r="T779" s="48">
        <v>2194.678886166274</v>
      </c>
      <c r="U779" s="48">
        <v>2183.3202494244824</v>
      </c>
      <c r="V779" s="48">
        <v>2184.1100853100011</v>
      </c>
      <c r="W779" s="48">
        <v>2193.5430868503267</v>
      </c>
    </row>
    <row r="780" spans="1:23" ht="13.2" x14ac:dyDescent="0.25">
      <c r="A780" s="41">
        <v>778</v>
      </c>
      <c r="B780" s="42">
        <v>0.32164838226588832</v>
      </c>
      <c r="C780" s="14" t="s">
        <v>5077</v>
      </c>
      <c r="D780" s="42">
        <v>0.24562707368546494</v>
      </c>
      <c r="E780" s="43">
        <v>42.210643663169186</v>
      </c>
      <c r="F780" s="42">
        <v>0.87696224445335669</v>
      </c>
      <c r="G780" s="43">
        <v>3.5409418773376111</v>
      </c>
      <c r="H780" s="42">
        <v>5.2084669495040863E-2</v>
      </c>
      <c r="I780" s="43">
        <v>0.93693239579520515</v>
      </c>
      <c r="J780" s="42">
        <v>0.70662717880058434</v>
      </c>
      <c r="K780" s="43">
        <v>1.013874687886885</v>
      </c>
      <c r="L780" s="43">
        <v>2185.4571132794531</v>
      </c>
      <c r="M780" s="44">
        <v>293.78607989565751</v>
      </c>
      <c r="N780" s="44">
        <v>527.63304578961481</v>
      </c>
      <c r="O780" s="45" t="s">
        <v>5074</v>
      </c>
      <c r="P780" s="46">
        <v>2</v>
      </c>
      <c r="Q780" s="43">
        <v>2185.4571132794531</v>
      </c>
      <c r="R780" s="43">
        <v>2188.9980551567905</v>
      </c>
      <c r="S780" s="47">
        <v>0</v>
      </c>
      <c r="T780" s="48">
        <v>2194.678886166274</v>
      </c>
      <c r="U780" s="48">
        <v>2188.9980551567905</v>
      </c>
      <c r="V780" s="48">
        <v>2184.1100853100011</v>
      </c>
      <c r="W780" s="48">
        <v>2193.5430868503267</v>
      </c>
    </row>
    <row r="781" spans="1:23" ht="13.2" x14ac:dyDescent="0.25">
      <c r="A781" s="41">
        <v>779</v>
      </c>
      <c r="B781" s="42">
        <v>7.6928988600582351E-2</v>
      </c>
      <c r="C781" s="14" t="s">
        <v>5073</v>
      </c>
      <c r="D781" s="42">
        <v>0.6968863302361622</v>
      </c>
      <c r="E781" s="43">
        <v>363.62635962833946</v>
      </c>
      <c r="F781" s="42">
        <v>0.19097229381602829</v>
      </c>
      <c r="G781" s="43">
        <v>8.9777432796441694</v>
      </c>
      <c r="H781" s="42">
        <v>0.62950007041427314</v>
      </c>
      <c r="I781" s="43">
        <v>3.4717253241638861</v>
      </c>
      <c r="J781" s="42">
        <v>7.6842263842393774E-2</v>
      </c>
      <c r="K781" s="43">
        <v>7.4919722036377818</v>
      </c>
      <c r="L781" s="43">
        <v>2192.949085483091</v>
      </c>
      <c r="M781" s="44">
        <v>2530.8394630132425</v>
      </c>
      <c r="N781" s="44">
        <v>4545.3294953542436</v>
      </c>
      <c r="O781" s="45" t="s">
        <v>5074</v>
      </c>
      <c r="P781" s="46">
        <v>3</v>
      </c>
      <c r="Q781" s="43">
        <v>2192.949085483091</v>
      </c>
      <c r="R781" s="43">
        <v>2201.9268287627351</v>
      </c>
      <c r="S781" s="47">
        <v>0</v>
      </c>
      <c r="T781" s="48">
        <v>2194.678886166274</v>
      </c>
      <c r="U781" s="48">
        <v>2188.9980551567905</v>
      </c>
      <c r="V781" s="48">
        <v>2201.9268287627351</v>
      </c>
      <c r="W781" s="48">
        <v>2193.5430868503267</v>
      </c>
    </row>
    <row r="782" spans="1:23" ht="13.2" x14ac:dyDescent="0.25">
      <c r="A782" s="41">
        <v>780</v>
      </c>
      <c r="B782" s="42">
        <v>0.34135820639382963</v>
      </c>
      <c r="C782" s="14" t="s">
        <v>5077</v>
      </c>
      <c r="D782" s="42">
        <v>0.74063363519526726</v>
      </c>
      <c r="E782" s="43">
        <v>46.665702716757409</v>
      </c>
      <c r="F782" s="42">
        <v>0.67375934807293092</v>
      </c>
      <c r="G782" s="43">
        <v>3.4434044870750071</v>
      </c>
      <c r="H782" s="42">
        <v>0.7509870411599926</v>
      </c>
      <c r="I782" s="43">
        <v>1.3652525855544164</v>
      </c>
      <c r="J782" s="42">
        <v>0.17682278257646727</v>
      </c>
      <c r="K782" s="43">
        <v>5.0587073762154731</v>
      </c>
      <c r="L782" s="43">
        <v>2198.0077928593064</v>
      </c>
      <c r="M782" s="44">
        <v>324.79329090863155</v>
      </c>
      <c r="N782" s="44">
        <v>583.32128395946756</v>
      </c>
      <c r="O782" s="45" t="s">
        <v>5074</v>
      </c>
      <c r="P782" s="46">
        <v>2</v>
      </c>
      <c r="Q782" s="43">
        <v>2198.0077928593064</v>
      </c>
      <c r="R782" s="43">
        <v>2201.4511973463814</v>
      </c>
      <c r="S782" s="47">
        <v>0</v>
      </c>
      <c r="T782" s="48">
        <v>2194.678886166274</v>
      </c>
      <c r="U782" s="48">
        <v>2201.4511973463814</v>
      </c>
      <c r="V782" s="48">
        <v>2201.9268287627351</v>
      </c>
      <c r="W782" s="48">
        <v>2193.5430868503267</v>
      </c>
    </row>
    <row r="783" spans="1:23" ht="13.2" x14ac:dyDescent="0.25">
      <c r="A783" s="41">
        <v>781</v>
      </c>
      <c r="B783" s="42">
        <v>0.41430404009963573</v>
      </c>
      <c r="C783" s="14" t="s">
        <v>5077</v>
      </c>
      <c r="D783" s="42">
        <v>0.90448279208712412</v>
      </c>
      <c r="E783" s="43">
        <v>48.140345128784119</v>
      </c>
      <c r="F783" s="42">
        <v>0.69163476614823316</v>
      </c>
      <c r="G783" s="43">
        <v>3.451984687751152</v>
      </c>
      <c r="H783" s="42">
        <v>0.83125883379544074</v>
      </c>
      <c r="I783" s="43">
        <v>1.424439616795063</v>
      </c>
      <c r="J783" s="42">
        <v>0.58245930195900575</v>
      </c>
      <c r="K783" s="43">
        <v>1.5780904054443523</v>
      </c>
      <c r="L783" s="43">
        <v>2199.5858832647509</v>
      </c>
      <c r="M783" s="44">
        <v>335.05680209633749</v>
      </c>
      <c r="N783" s="44">
        <v>601.7543141098015</v>
      </c>
      <c r="O783" s="45" t="s">
        <v>5074</v>
      </c>
      <c r="P783" s="46">
        <v>4</v>
      </c>
      <c r="Q783" s="43">
        <v>2199.5858832647509</v>
      </c>
      <c r="R783" s="43">
        <v>2203.037867952502</v>
      </c>
      <c r="S783" s="47">
        <v>0</v>
      </c>
      <c r="T783" s="48">
        <v>2194.678886166274</v>
      </c>
      <c r="U783" s="48">
        <v>2201.4511973463814</v>
      </c>
      <c r="V783" s="48">
        <v>2201.9268287627351</v>
      </c>
      <c r="W783" s="48">
        <v>2203.037867952502</v>
      </c>
    </row>
    <row r="784" spans="1:23" ht="13.2" x14ac:dyDescent="0.25">
      <c r="A784" s="41">
        <v>782</v>
      </c>
      <c r="B784" s="42">
        <v>0.54172926002262589</v>
      </c>
      <c r="C784" s="14" t="s">
        <v>5076</v>
      </c>
      <c r="D784" s="42">
        <v>0.36867510730804648</v>
      </c>
      <c r="E784" s="43">
        <v>38.686751073080465</v>
      </c>
      <c r="F784" s="42">
        <v>0.40512787197023997</v>
      </c>
      <c r="G784" s="43">
        <v>3.2263588211063103</v>
      </c>
      <c r="H784" s="42">
        <v>0.9432272095900156</v>
      </c>
      <c r="I784" s="43">
        <v>1.0739191477075301</v>
      </c>
      <c r="J784" s="42">
        <v>0.74317876656687765</v>
      </c>
      <c r="K784" s="43">
        <v>0.86662383115920461</v>
      </c>
      <c r="L784" s="43">
        <v>2200.4525070959103</v>
      </c>
      <c r="M784" s="44">
        <v>269.25978746864001</v>
      </c>
      <c r="N784" s="44">
        <v>483.58438841350579</v>
      </c>
      <c r="O784" s="45" t="s">
        <v>5074</v>
      </c>
      <c r="P784" s="46">
        <v>1</v>
      </c>
      <c r="Q784" s="43">
        <v>2200.4525070959103</v>
      </c>
      <c r="R784" s="43">
        <v>2203.6788659170165</v>
      </c>
      <c r="S784" s="47">
        <v>0</v>
      </c>
      <c r="T784" s="48">
        <v>2203.6788659170165</v>
      </c>
      <c r="U784" s="48">
        <v>2201.4511973463814</v>
      </c>
      <c r="V784" s="48">
        <v>2201.9268287627351</v>
      </c>
      <c r="W784" s="48">
        <v>2203.037867952502</v>
      </c>
    </row>
    <row r="785" spans="1:23" ht="13.2" x14ac:dyDescent="0.25">
      <c r="A785" s="41">
        <v>783</v>
      </c>
      <c r="B785" s="42">
        <v>0.10855567786309667</v>
      </c>
      <c r="C785" s="14" t="s">
        <v>5073</v>
      </c>
      <c r="D785" s="42">
        <v>0.11183101689062594</v>
      </c>
      <c r="E785" s="43">
        <v>293.41972202687509</v>
      </c>
      <c r="F785" s="42">
        <v>0.99552581505641613</v>
      </c>
      <c r="G785" s="43">
        <v>11.495995801126583</v>
      </c>
      <c r="H785" s="42">
        <v>7.9442726950832987E-2</v>
      </c>
      <c r="I785" s="43">
        <v>2.8452015214715161</v>
      </c>
      <c r="J785" s="42">
        <v>0.87721378117670012</v>
      </c>
      <c r="K785" s="43">
        <v>0.38249504276220841</v>
      </c>
      <c r="L785" s="43">
        <v>2200.8350021386723</v>
      </c>
      <c r="M785" s="44">
        <v>2043.954464849548</v>
      </c>
      <c r="N785" s="44">
        <v>3667.7465253359387</v>
      </c>
      <c r="O785" s="45" t="s">
        <v>5074</v>
      </c>
      <c r="P785" s="46">
        <v>2</v>
      </c>
      <c r="Q785" s="43">
        <v>2201.4511973463814</v>
      </c>
      <c r="R785" s="43">
        <v>2212.9471931475082</v>
      </c>
      <c r="S785" s="43">
        <v>0.6161952077090973</v>
      </c>
      <c r="T785" s="48">
        <v>2203.6788659170165</v>
      </c>
      <c r="U785" s="48">
        <v>2212.9471931475082</v>
      </c>
      <c r="V785" s="48">
        <v>2201.9268287627351</v>
      </c>
      <c r="W785" s="48">
        <v>2203.037867952502</v>
      </c>
    </row>
    <row r="786" spans="1:23" ht="13.2" x14ac:dyDescent="0.25">
      <c r="A786" s="41">
        <v>784</v>
      </c>
      <c r="B786" s="42">
        <v>0.74124909273406914</v>
      </c>
      <c r="C786" s="14" t="s">
        <v>5079</v>
      </c>
      <c r="D786" s="42">
        <v>0.11821912234566134</v>
      </c>
      <c r="E786" s="43">
        <v>7.3546573670369844</v>
      </c>
      <c r="F786" s="42">
        <v>0.15675835784373729</v>
      </c>
      <c r="G786" s="43">
        <v>1.457243419362811</v>
      </c>
      <c r="H786" s="42">
        <v>0.6777257927124043</v>
      </c>
      <c r="I786" s="43">
        <v>0.48013383367798634</v>
      </c>
      <c r="J786" s="42">
        <v>0.99725056066981077</v>
      </c>
      <c r="K786" s="43">
        <v>8.0386160025535218E-3</v>
      </c>
      <c r="L786" s="43">
        <v>2200.8430407546748</v>
      </c>
      <c r="M786" s="44">
        <v>51.708778565781635</v>
      </c>
      <c r="N786" s="44">
        <v>91.933217087962305</v>
      </c>
      <c r="O786" s="45" t="s">
        <v>5074</v>
      </c>
      <c r="P786" s="46">
        <v>3</v>
      </c>
      <c r="Q786" s="43">
        <v>2201.9268287627351</v>
      </c>
      <c r="R786" s="43">
        <v>2203.384072182098</v>
      </c>
      <c r="S786" s="43">
        <v>1.0837880080603099</v>
      </c>
      <c r="T786" s="48">
        <v>2203.6788659170165</v>
      </c>
      <c r="U786" s="48">
        <v>2212.9471931475082</v>
      </c>
      <c r="V786" s="48">
        <v>2203.384072182098</v>
      </c>
      <c r="W786" s="48">
        <v>2203.037867952502</v>
      </c>
    </row>
    <row r="787" spans="1:23" ht="13.2" x14ac:dyDescent="0.25">
      <c r="A787" s="41">
        <v>785</v>
      </c>
      <c r="B787" s="42">
        <v>0.96163486268447473</v>
      </c>
      <c r="C787" s="14" t="s">
        <v>5080</v>
      </c>
      <c r="D787" s="42">
        <v>0.74194582120606012</v>
      </c>
      <c r="E787" s="43">
        <v>103.5486455301515</v>
      </c>
      <c r="F787" s="42">
        <v>0.84017896318816532</v>
      </c>
      <c r="G787" s="43">
        <v>4.6636966401216089</v>
      </c>
      <c r="H787" s="42">
        <v>0.36083672678137046</v>
      </c>
      <c r="I787" s="43">
        <v>1.9208362411568758</v>
      </c>
      <c r="J787" s="42">
        <v>0.22478170656821769</v>
      </c>
      <c r="K787" s="43">
        <v>4.3580307759116668</v>
      </c>
      <c r="L787" s="43">
        <v>2205.2010715305864</v>
      </c>
      <c r="M787" s="44">
        <v>720.69857288985452</v>
      </c>
      <c r="N787" s="44">
        <v>1294.3580691268937</v>
      </c>
      <c r="O787" s="45" t="s">
        <v>5074</v>
      </c>
      <c r="P787" s="46">
        <v>4</v>
      </c>
      <c r="Q787" s="43">
        <v>2205.2010715305864</v>
      </c>
      <c r="R787" s="43">
        <v>2209.864768170708</v>
      </c>
      <c r="S787" s="47">
        <v>0</v>
      </c>
      <c r="T787" s="48">
        <v>2203.6788659170165</v>
      </c>
      <c r="U787" s="48">
        <v>2212.9471931475082</v>
      </c>
      <c r="V787" s="48">
        <v>2203.384072182098</v>
      </c>
      <c r="W787" s="48">
        <v>2209.864768170708</v>
      </c>
    </row>
    <row r="788" spans="1:23" ht="13.2" x14ac:dyDescent="0.25">
      <c r="A788" s="41">
        <v>786</v>
      </c>
      <c r="B788" s="42">
        <v>0.24226140847534938</v>
      </c>
      <c r="C788" s="14" t="s">
        <v>5077</v>
      </c>
      <c r="D788" s="42">
        <v>0.64307837683850821</v>
      </c>
      <c r="E788" s="43">
        <v>45.787705391546574</v>
      </c>
      <c r="F788" s="42">
        <v>0.50734306383288608</v>
      </c>
      <c r="G788" s="43">
        <v>3.3635246706397854</v>
      </c>
      <c r="H788" s="42">
        <v>0.68546238061295006</v>
      </c>
      <c r="I788" s="43">
        <v>1.3237794148053932</v>
      </c>
      <c r="J788" s="42">
        <v>0.74122571653743541</v>
      </c>
      <c r="K788" s="43">
        <v>0.87430683024433609</v>
      </c>
      <c r="L788" s="43">
        <v>2206.0753783608307</v>
      </c>
      <c r="M788" s="44">
        <v>318.68242952516414</v>
      </c>
      <c r="N788" s="44">
        <v>572.34631739433212</v>
      </c>
      <c r="O788" s="45" t="s">
        <v>5074</v>
      </c>
      <c r="P788" s="46">
        <v>3</v>
      </c>
      <c r="Q788" s="43">
        <v>2206.0753783608307</v>
      </c>
      <c r="R788" s="43">
        <v>2209.4389030314705</v>
      </c>
      <c r="S788" s="47">
        <v>0</v>
      </c>
      <c r="T788" s="48">
        <v>2203.6788659170165</v>
      </c>
      <c r="U788" s="48">
        <v>2212.9471931475082</v>
      </c>
      <c r="V788" s="48">
        <v>2209.4389030314705</v>
      </c>
      <c r="W788" s="48">
        <v>2209.864768170708</v>
      </c>
    </row>
    <row r="789" spans="1:23" ht="13.2" x14ac:dyDescent="0.25">
      <c r="A789" s="41">
        <v>787</v>
      </c>
      <c r="B789" s="42">
        <v>0.20795542057974051</v>
      </c>
      <c r="C789" s="14" t="s">
        <v>5073</v>
      </c>
      <c r="D789" s="42">
        <v>0.46857643847753128</v>
      </c>
      <c r="E789" s="43">
        <v>336.22917261730373</v>
      </c>
      <c r="F789" s="42">
        <v>0.66839275866206393</v>
      </c>
      <c r="G789" s="43">
        <v>10.472069334612261</v>
      </c>
      <c r="H789" s="42">
        <v>0.9287479179579522</v>
      </c>
      <c r="I789" s="43">
        <v>3.7688310973951387</v>
      </c>
      <c r="J789" s="42">
        <v>0.60027490630758684</v>
      </c>
      <c r="K789" s="43">
        <v>1.4901242380081547</v>
      </c>
      <c r="L789" s="43">
        <v>2207.565502598839</v>
      </c>
      <c r="M789" s="44">
        <v>2340.155041416434</v>
      </c>
      <c r="N789" s="44">
        <v>4202.8646577162963</v>
      </c>
      <c r="O789" s="45" t="s">
        <v>5074</v>
      </c>
      <c r="P789" s="46">
        <v>1</v>
      </c>
      <c r="Q789" s="43">
        <v>2207.565502598839</v>
      </c>
      <c r="R789" s="43">
        <v>2218.0375719334511</v>
      </c>
      <c r="S789" s="47">
        <v>0</v>
      </c>
      <c r="T789" s="48">
        <v>2218.0375719334511</v>
      </c>
      <c r="U789" s="48">
        <v>2212.9471931475082</v>
      </c>
      <c r="V789" s="48">
        <v>2209.4389030314705</v>
      </c>
      <c r="W789" s="48">
        <v>2209.864768170708</v>
      </c>
    </row>
    <row r="790" spans="1:23" ht="13.2" x14ac:dyDescent="0.25">
      <c r="A790" s="41">
        <v>788</v>
      </c>
      <c r="B790" s="42">
        <v>6.0557581978178392E-2</v>
      </c>
      <c r="C790" s="14" t="s">
        <v>5073</v>
      </c>
      <c r="D790" s="42">
        <v>8.1278173290788278E-2</v>
      </c>
      <c r="E790" s="43">
        <v>289.75338079489461</v>
      </c>
      <c r="F790" s="42">
        <v>2.3532795265099403E-2</v>
      </c>
      <c r="G790" s="43">
        <v>8.4536576491797621</v>
      </c>
      <c r="H790" s="42">
        <v>0.39817458549429413</v>
      </c>
      <c r="I790" s="43">
        <v>3.2728271981765662</v>
      </c>
      <c r="J790" s="42">
        <v>2.4055835802134051E-2</v>
      </c>
      <c r="K790" s="43">
        <v>10.882854478745788</v>
      </c>
      <c r="L790" s="43">
        <v>2218.4483570775847</v>
      </c>
      <c r="M790" s="44">
        <v>2016.6835303324665</v>
      </c>
      <c r="N790" s="44">
        <v>3621.9172599361827</v>
      </c>
      <c r="O790" s="45" t="s">
        <v>5074</v>
      </c>
      <c r="P790" s="46">
        <v>3</v>
      </c>
      <c r="Q790" s="43">
        <v>2218.4483570775847</v>
      </c>
      <c r="R790" s="43">
        <v>2226.9020147267643</v>
      </c>
      <c r="S790" s="47">
        <v>0</v>
      </c>
      <c r="T790" s="48">
        <v>2218.0375719334511</v>
      </c>
      <c r="U790" s="48">
        <v>2212.9471931475082</v>
      </c>
      <c r="V790" s="48">
        <v>2226.9020147267643</v>
      </c>
      <c r="W790" s="48">
        <v>2209.864768170708</v>
      </c>
    </row>
    <row r="791" spans="1:23" ht="13.2" x14ac:dyDescent="0.25">
      <c r="A791" s="41">
        <v>789</v>
      </c>
      <c r="B791" s="42">
        <v>1.2224493088305225E-2</v>
      </c>
      <c r="C791" s="14" t="s">
        <v>5073</v>
      </c>
      <c r="D791" s="42">
        <v>0.44649375716526701</v>
      </c>
      <c r="E791" s="43">
        <v>333.57925085983203</v>
      </c>
      <c r="F791" s="42">
        <v>0.49328146199382911</v>
      </c>
      <c r="G791" s="43">
        <v>9.9239709760406853</v>
      </c>
      <c r="H791" s="42">
        <v>0.79766122428591424</v>
      </c>
      <c r="I791" s="43">
        <v>3.6104437373298124</v>
      </c>
      <c r="J791" s="42">
        <v>0.5214904572449115</v>
      </c>
      <c r="K791" s="43">
        <v>1.9009176740911187</v>
      </c>
      <c r="L791" s="43">
        <v>2220.3492747516757</v>
      </c>
      <c r="M791" s="44">
        <v>2321.7115859844307</v>
      </c>
      <c r="N791" s="44">
        <v>4169.7406357479003</v>
      </c>
      <c r="O791" s="45" t="s">
        <v>5074</v>
      </c>
      <c r="P791" s="46">
        <v>4</v>
      </c>
      <c r="Q791" s="43">
        <v>2220.3492747516757</v>
      </c>
      <c r="R791" s="43">
        <v>2230.2732457277166</v>
      </c>
      <c r="S791" s="47">
        <v>0</v>
      </c>
      <c r="T791" s="48">
        <v>2218.0375719334511</v>
      </c>
      <c r="U791" s="48">
        <v>2212.9471931475082</v>
      </c>
      <c r="V791" s="48">
        <v>2226.9020147267643</v>
      </c>
      <c r="W791" s="48">
        <v>2230.2732457277166</v>
      </c>
    </row>
    <row r="792" spans="1:23" ht="13.2" x14ac:dyDescent="0.25">
      <c r="A792" s="41">
        <v>790</v>
      </c>
      <c r="B792" s="42">
        <v>0.37548153213014895</v>
      </c>
      <c r="C792" s="14" t="s">
        <v>5077</v>
      </c>
      <c r="D792" s="42">
        <v>0.86940488213179856</v>
      </c>
      <c r="E792" s="43">
        <v>47.824643939186188</v>
      </c>
      <c r="F792" s="42">
        <v>0.63356637797950133</v>
      </c>
      <c r="G792" s="43">
        <v>3.4241118614301609</v>
      </c>
      <c r="H792" s="42">
        <v>0.54744227535437895</v>
      </c>
      <c r="I792" s="43">
        <v>1.2487229497409276</v>
      </c>
      <c r="J792" s="42">
        <v>0.82552019358869655</v>
      </c>
      <c r="K792" s="43">
        <v>0.55982935377970644</v>
      </c>
      <c r="L792" s="43">
        <v>2220.9091041054553</v>
      </c>
      <c r="M792" s="44">
        <v>332.85952181673588</v>
      </c>
      <c r="N792" s="44">
        <v>597.80804923982737</v>
      </c>
      <c r="O792" s="45" t="s">
        <v>5074</v>
      </c>
      <c r="P792" s="46">
        <v>2</v>
      </c>
      <c r="Q792" s="43">
        <v>2220.9091041054553</v>
      </c>
      <c r="R792" s="43">
        <v>2224.3332159668853</v>
      </c>
      <c r="S792" s="47">
        <v>0</v>
      </c>
      <c r="T792" s="48">
        <v>2218.0375719334511</v>
      </c>
      <c r="U792" s="48">
        <v>2224.3332159668853</v>
      </c>
      <c r="V792" s="48">
        <v>2226.9020147267643</v>
      </c>
      <c r="W792" s="48">
        <v>2230.2732457277166</v>
      </c>
    </row>
    <row r="793" spans="1:23" ht="13.2" x14ac:dyDescent="0.25">
      <c r="A793" s="41">
        <v>791</v>
      </c>
      <c r="B793" s="42">
        <v>0.4723691709676614</v>
      </c>
      <c r="C793" s="14" t="s">
        <v>5077</v>
      </c>
      <c r="D793" s="42">
        <v>0.76644089248331304</v>
      </c>
      <c r="E793" s="43">
        <v>46.897968032349816</v>
      </c>
      <c r="F793" s="42">
        <v>0.49869673256701635</v>
      </c>
      <c r="G793" s="43">
        <v>3.3593744316321681</v>
      </c>
      <c r="H793" s="42">
        <v>0.65091205884279313</v>
      </c>
      <c r="I793" s="43">
        <v>1.3036547294078771</v>
      </c>
      <c r="J793" s="42">
        <v>0.86688124615088158</v>
      </c>
      <c r="K793" s="43">
        <v>0.41708987612813841</v>
      </c>
      <c r="L793" s="43">
        <v>2221.3261939815834</v>
      </c>
      <c r="M793" s="44">
        <v>326.40985750515472</v>
      </c>
      <c r="N793" s="44">
        <v>586.22460040437272</v>
      </c>
      <c r="O793" s="45" t="s">
        <v>5074</v>
      </c>
      <c r="P793" s="46">
        <v>1</v>
      </c>
      <c r="Q793" s="43">
        <v>2221.3261939815834</v>
      </c>
      <c r="R793" s="43">
        <v>2224.6855684132156</v>
      </c>
      <c r="S793" s="47">
        <v>0</v>
      </c>
      <c r="T793" s="48">
        <v>2224.6855684132156</v>
      </c>
      <c r="U793" s="48">
        <v>2224.3332159668853</v>
      </c>
      <c r="V793" s="48">
        <v>2226.9020147267643</v>
      </c>
      <c r="W793" s="48">
        <v>2230.2732457277166</v>
      </c>
    </row>
    <row r="794" spans="1:23" ht="13.2" x14ac:dyDescent="0.25">
      <c r="A794" s="41">
        <v>792</v>
      </c>
      <c r="B794" s="42">
        <v>0.9783852421577951</v>
      </c>
      <c r="C794" s="14" t="s">
        <v>5080</v>
      </c>
      <c r="D794" s="42">
        <v>0.16733864982022842</v>
      </c>
      <c r="E794" s="43">
        <v>89.183466245505713</v>
      </c>
      <c r="F794" s="42">
        <v>0.83822796160272695</v>
      </c>
      <c r="G794" s="43">
        <v>4.6626430992654724</v>
      </c>
      <c r="H794" s="42">
        <v>0.86992272495754186</v>
      </c>
      <c r="I794" s="43">
        <v>2.5161207846203513</v>
      </c>
      <c r="J794" s="42">
        <v>0.5958958983402215</v>
      </c>
      <c r="K794" s="43">
        <v>1.5115015894518984</v>
      </c>
      <c r="L794" s="43">
        <v>2222.8376955710355</v>
      </c>
      <c r="M794" s="44">
        <v>624.47983502054103</v>
      </c>
      <c r="N794" s="44">
        <v>1114.7933280688214</v>
      </c>
      <c r="O794" s="45" t="s">
        <v>5074</v>
      </c>
      <c r="P794" s="46">
        <v>2</v>
      </c>
      <c r="Q794" s="43">
        <v>2224.3332159668853</v>
      </c>
      <c r="R794" s="43">
        <v>2228.9958590661508</v>
      </c>
      <c r="S794" s="43">
        <v>1.4955203958497805</v>
      </c>
      <c r="T794" s="48">
        <v>2224.6855684132156</v>
      </c>
      <c r="U794" s="48">
        <v>2228.9958590661508</v>
      </c>
      <c r="V794" s="48">
        <v>2226.9020147267643</v>
      </c>
      <c r="W794" s="48">
        <v>2230.2732457277166</v>
      </c>
    </row>
    <row r="795" spans="1:23" ht="13.2" x14ac:dyDescent="0.25">
      <c r="A795" s="41">
        <v>793</v>
      </c>
      <c r="B795" s="42">
        <v>9.2320703013018104E-2</v>
      </c>
      <c r="C795" s="14" t="s">
        <v>5073</v>
      </c>
      <c r="D795" s="42">
        <v>0.5903186898633459</v>
      </c>
      <c r="E795" s="43">
        <v>350.83824278360152</v>
      </c>
      <c r="F795" s="42">
        <v>0.68938073175464787</v>
      </c>
      <c r="G795" s="43">
        <v>10.537761690392049</v>
      </c>
      <c r="H795" s="42">
        <v>0.93465985121888107</v>
      </c>
      <c r="I795" s="43">
        <v>3.7786290181938038</v>
      </c>
      <c r="J795" s="42">
        <v>0.1609860538323345</v>
      </c>
      <c r="K795" s="43">
        <v>5.3326643500992796</v>
      </c>
      <c r="L795" s="43">
        <v>2228.1703599211346</v>
      </c>
      <c r="M795" s="44">
        <v>2441.8341697738665</v>
      </c>
      <c r="N795" s="44">
        <v>4385.4780347950191</v>
      </c>
      <c r="O795" s="45" t="s">
        <v>5074</v>
      </c>
      <c r="P795" s="46">
        <v>1</v>
      </c>
      <c r="Q795" s="43">
        <v>2228.1703599211346</v>
      </c>
      <c r="R795" s="43">
        <v>2238.7081216115266</v>
      </c>
      <c r="S795" s="47">
        <v>0</v>
      </c>
      <c r="T795" s="48">
        <v>2238.7081216115266</v>
      </c>
      <c r="U795" s="48">
        <v>2228.9958590661508</v>
      </c>
      <c r="V795" s="48">
        <v>2226.9020147267643</v>
      </c>
      <c r="W795" s="48">
        <v>2230.2732457277166</v>
      </c>
    </row>
    <row r="796" spans="1:23" ht="13.2" x14ac:dyDescent="0.25">
      <c r="A796" s="41">
        <v>794</v>
      </c>
      <c r="B796" s="42">
        <v>0.78339121247799659</v>
      </c>
      <c r="C796" s="14" t="s">
        <v>5078</v>
      </c>
      <c r="D796" s="42">
        <v>0.73008588316388701</v>
      </c>
      <c r="E796" s="43">
        <v>199.20343532655548</v>
      </c>
      <c r="F796" s="42">
        <v>0.67680931495354013</v>
      </c>
      <c r="G796" s="43">
        <v>6.0358964766077214</v>
      </c>
      <c r="H796" s="42">
        <v>0.49710898729837916</v>
      </c>
      <c r="I796" s="43">
        <v>3.1267406298768328</v>
      </c>
      <c r="J796" s="42">
        <v>0.80921878051442042</v>
      </c>
      <c r="K796" s="43">
        <v>0.61806121230767419</v>
      </c>
      <c r="L796" s="43">
        <v>2228.7884211334422</v>
      </c>
      <c r="M796" s="44">
        <v>1386.4559098728262</v>
      </c>
      <c r="N796" s="44">
        <v>2490.0429415819435</v>
      </c>
      <c r="O796" s="45" t="s">
        <v>5074</v>
      </c>
      <c r="P796" s="46">
        <v>3</v>
      </c>
      <c r="Q796" s="43">
        <v>2228.7884211334422</v>
      </c>
      <c r="R796" s="43">
        <v>2234.82431761005</v>
      </c>
      <c r="S796" s="47">
        <v>0</v>
      </c>
      <c r="T796" s="48">
        <v>2238.7081216115266</v>
      </c>
      <c r="U796" s="48">
        <v>2228.9958590661508</v>
      </c>
      <c r="V796" s="48">
        <v>2234.82431761005</v>
      </c>
      <c r="W796" s="48">
        <v>2230.2732457277166</v>
      </c>
    </row>
    <row r="797" spans="1:23" ht="13.2" x14ac:dyDescent="0.25">
      <c r="A797" s="41">
        <v>795</v>
      </c>
      <c r="B797" s="42">
        <v>0.36277171148116316</v>
      </c>
      <c r="C797" s="14" t="s">
        <v>5077</v>
      </c>
      <c r="D797" s="42">
        <v>5.5189128990838832E-2</v>
      </c>
      <c r="E797" s="43">
        <v>40.49670216091755</v>
      </c>
      <c r="F797" s="42">
        <v>0.15706942191211015</v>
      </c>
      <c r="G797" s="43">
        <v>3.1953933225178131</v>
      </c>
      <c r="H797" s="42">
        <v>0.4516442010419649</v>
      </c>
      <c r="I797" s="43">
        <v>1.2032504559326545</v>
      </c>
      <c r="J797" s="42">
        <v>0.53587532254675185</v>
      </c>
      <c r="K797" s="43">
        <v>1.8214708092189167</v>
      </c>
      <c r="L797" s="43">
        <v>2230.6098919426613</v>
      </c>
      <c r="M797" s="44">
        <v>281.85704703998613</v>
      </c>
      <c r="N797" s="44">
        <v>506.20877701146935</v>
      </c>
      <c r="O797" s="45" t="s">
        <v>5074</v>
      </c>
      <c r="P797" s="46">
        <v>2</v>
      </c>
      <c r="Q797" s="43">
        <v>2230.6098919426613</v>
      </c>
      <c r="R797" s="43">
        <v>2233.805285265179</v>
      </c>
      <c r="S797" s="47">
        <v>0</v>
      </c>
      <c r="T797" s="48">
        <v>2238.7081216115266</v>
      </c>
      <c r="U797" s="48">
        <v>2233.805285265179</v>
      </c>
      <c r="V797" s="48">
        <v>2234.82431761005</v>
      </c>
      <c r="W797" s="48">
        <v>2230.2732457277166</v>
      </c>
    </row>
    <row r="798" spans="1:23" ht="13.2" x14ac:dyDescent="0.25">
      <c r="A798" s="41">
        <v>796</v>
      </c>
      <c r="B798" s="42">
        <v>0.34339807803900824</v>
      </c>
      <c r="C798" s="14" t="s">
        <v>5077</v>
      </c>
      <c r="D798" s="42">
        <v>0.15798382608126096</v>
      </c>
      <c r="E798" s="43">
        <v>41.421854434731351</v>
      </c>
      <c r="F798" s="42">
        <v>0.50024385680455896</v>
      </c>
      <c r="G798" s="43">
        <v>3.3601170512661884</v>
      </c>
      <c r="H798" s="42">
        <v>0.87788355437940158</v>
      </c>
      <c r="I798" s="43">
        <v>1.4655807163877739</v>
      </c>
      <c r="J798" s="42">
        <v>0.59548931922553539</v>
      </c>
      <c r="K798" s="43">
        <v>1.5134943829400735</v>
      </c>
      <c r="L798" s="43">
        <v>2232.1233863256016</v>
      </c>
      <c r="M798" s="44">
        <v>288.29610686573022</v>
      </c>
      <c r="N798" s="44">
        <v>517.77318043414186</v>
      </c>
      <c r="O798" s="45" t="s">
        <v>5074</v>
      </c>
      <c r="P798" s="46">
        <v>4</v>
      </c>
      <c r="Q798" s="43">
        <v>2232.1233863256016</v>
      </c>
      <c r="R798" s="43">
        <v>2235.4835033768677</v>
      </c>
      <c r="S798" s="47">
        <v>0</v>
      </c>
      <c r="T798" s="48">
        <v>2238.7081216115266</v>
      </c>
      <c r="U798" s="48">
        <v>2233.805285265179</v>
      </c>
      <c r="V798" s="48">
        <v>2234.82431761005</v>
      </c>
      <c r="W798" s="48">
        <v>2235.4835033768677</v>
      </c>
    </row>
    <row r="799" spans="1:23" ht="13.2" x14ac:dyDescent="0.25">
      <c r="A799" s="41">
        <v>797</v>
      </c>
      <c r="B799" s="42">
        <v>0.33121983023882834</v>
      </c>
      <c r="C799" s="14" t="s">
        <v>5077</v>
      </c>
      <c r="D799" s="42">
        <v>0.1600642316788734</v>
      </c>
      <c r="E799" s="43">
        <v>41.440578085109863</v>
      </c>
      <c r="F799" s="42">
        <v>0.3873712226689659</v>
      </c>
      <c r="G799" s="43">
        <v>3.3059381868811037</v>
      </c>
      <c r="H799" s="42">
        <v>0.55654900640088556</v>
      </c>
      <c r="I799" s="43">
        <v>1.2532865044353354</v>
      </c>
      <c r="J799" s="42">
        <v>0.20701537989406632</v>
      </c>
      <c r="K799" s="43">
        <v>4.5984297502821931</v>
      </c>
      <c r="L799" s="43">
        <v>2236.7218160758839</v>
      </c>
      <c r="M799" s="44">
        <v>288.42642347236466</v>
      </c>
      <c r="N799" s="44">
        <v>518.0072260638733</v>
      </c>
      <c r="O799" s="45" t="s">
        <v>5074</v>
      </c>
      <c r="P799" s="46">
        <v>2</v>
      </c>
      <c r="Q799" s="43">
        <v>2236.7218160758839</v>
      </c>
      <c r="R799" s="43">
        <v>2240.027754262765</v>
      </c>
      <c r="S799" s="47">
        <v>0</v>
      </c>
      <c r="T799" s="48">
        <v>2238.7081216115266</v>
      </c>
      <c r="U799" s="48">
        <v>2240.027754262765</v>
      </c>
      <c r="V799" s="48">
        <v>2234.82431761005</v>
      </c>
      <c r="W799" s="48">
        <v>2235.4835033768677</v>
      </c>
    </row>
    <row r="800" spans="1:23" ht="13.2" x14ac:dyDescent="0.25">
      <c r="A800" s="41">
        <v>798</v>
      </c>
      <c r="B800" s="42">
        <v>0.74735411663882156</v>
      </c>
      <c r="C800" s="14" t="s">
        <v>5079</v>
      </c>
      <c r="D800" s="42">
        <v>8.313418043923293E-2</v>
      </c>
      <c r="E800" s="43">
        <v>7.249402541317699</v>
      </c>
      <c r="F800" s="42">
        <v>0.39383156010593828</v>
      </c>
      <c r="G800" s="43">
        <v>1.4833214716116532</v>
      </c>
      <c r="H800" s="42">
        <v>0.94972128279028523</v>
      </c>
      <c r="I800" s="43">
        <v>0.61315641888166272</v>
      </c>
      <c r="J800" s="42">
        <v>0.29037244538328261</v>
      </c>
      <c r="K800" s="43">
        <v>3.6104843374515596</v>
      </c>
      <c r="L800" s="43">
        <v>2240.3323004133354</v>
      </c>
      <c r="M800" s="44">
        <v>50.455841687571187</v>
      </c>
      <c r="N800" s="44">
        <v>90.617531766471231</v>
      </c>
      <c r="O800" s="45" t="s">
        <v>5074</v>
      </c>
      <c r="P800" s="46">
        <v>3</v>
      </c>
      <c r="Q800" s="43">
        <v>2240.3323004133354</v>
      </c>
      <c r="R800" s="43">
        <v>2241.8156218849472</v>
      </c>
      <c r="S800" s="47">
        <v>0</v>
      </c>
      <c r="T800" s="48">
        <v>2238.7081216115266</v>
      </c>
      <c r="U800" s="48">
        <v>2240.027754262765</v>
      </c>
      <c r="V800" s="48">
        <v>2241.8156218849472</v>
      </c>
      <c r="W800" s="48">
        <v>2235.4835033768677</v>
      </c>
    </row>
    <row r="801" spans="1:23" ht="13.2" x14ac:dyDescent="0.25">
      <c r="A801" s="41">
        <v>799</v>
      </c>
      <c r="B801" s="42">
        <v>0.66678755435477366</v>
      </c>
      <c r="C801" s="14" t="s">
        <v>5079</v>
      </c>
      <c r="D801" s="42">
        <v>2.6048325479984435E-2</v>
      </c>
      <c r="E801" s="43">
        <v>7.0781449764399529</v>
      </c>
      <c r="F801" s="42">
        <v>0.56110551700047473</v>
      </c>
      <c r="G801" s="43">
        <v>1.5017216068700523</v>
      </c>
      <c r="H801" s="42">
        <v>0.63282116112896292</v>
      </c>
      <c r="I801" s="43">
        <v>0.46531547594556738</v>
      </c>
      <c r="J801" s="42">
        <v>0.11536413296841277</v>
      </c>
      <c r="K801" s="43">
        <v>6.305581837619421</v>
      </c>
      <c r="L801" s="43">
        <v>2246.6378822509546</v>
      </c>
      <c r="M801" s="44">
        <v>49.263889036022071</v>
      </c>
      <c r="N801" s="44">
        <v>88.476812205499414</v>
      </c>
      <c r="O801" s="45" t="s">
        <v>5074</v>
      </c>
      <c r="P801" s="46">
        <v>4</v>
      </c>
      <c r="Q801" s="43">
        <v>2246.6378822509546</v>
      </c>
      <c r="R801" s="43">
        <v>2248.1396038578246</v>
      </c>
      <c r="S801" s="47">
        <v>0</v>
      </c>
      <c r="T801" s="48">
        <v>2238.7081216115266</v>
      </c>
      <c r="U801" s="48">
        <v>2240.027754262765</v>
      </c>
      <c r="V801" s="48">
        <v>2241.8156218849472</v>
      </c>
      <c r="W801" s="48">
        <v>2248.1396038578246</v>
      </c>
    </row>
    <row r="802" spans="1:23" ht="13.2" x14ac:dyDescent="0.25">
      <c r="A802" s="41">
        <v>800</v>
      </c>
      <c r="B802" s="42">
        <v>0.955565193181655</v>
      </c>
      <c r="C802" s="14" t="s">
        <v>5080</v>
      </c>
      <c r="D802" s="42">
        <v>0.62531664018766797</v>
      </c>
      <c r="E802" s="43">
        <v>100.63291600469169</v>
      </c>
      <c r="F802" s="42">
        <v>0.65264432395465877</v>
      </c>
      <c r="G802" s="43">
        <v>4.5624279349355161</v>
      </c>
      <c r="H802" s="42">
        <v>0.26546657423743353</v>
      </c>
      <c r="I802" s="43">
        <v>1.8182813816555567</v>
      </c>
      <c r="J802" s="42">
        <v>0.22161850995459526</v>
      </c>
      <c r="K802" s="43">
        <v>4.39940963188719</v>
      </c>
      <c r="L802" s="43">
        <v>2251.0372918828416</v>
      </c>
      <c r="M802" s="44">
        <v>700.40509539265418</v>
      </c>
      <c r="N802" s="44">
        <v>1257.9114500586461</v>
      </c>
      <c r="O802" s="45" t="s">
        <v>5074</v>
      </c>
      <c r="P802" s="46">
        <v>1</v>
      </c>
      <c r="Q802" s="43">
        <v>2251.0372918828416</v>
      </c>
      <c r="R802" s="43">
        <v>2255.599719817777</v>
      </c>
      <c r="S802" s="47">
        <v>0</v>
      </c>
      <c r="T802" s="48">
        <v>2255.599719817777</v>
      </c>
      <c r="U802" s="48">
        <v>2240.027754262765</v>
      </c>
      <c r="V802" s="48">
        <v>2241.8156218849472</v>
      </c>
      <c r="W802" s="48">
        <v>2248.1396038578246</v>
      </c>
    </row>
    <row r="803" spans="1:23" ht="13.2" x14ac:dyDescent="0.25">
      <c r="A803" s="41">
        <v>801</v>
      </c>
      <c r="B803" s="42">
        <v>2.2418118558087442E-2</v>
      </c>
      <c r="C803" s="14" t="s">
        <v>5073</v>
      </c>
      <c r="D803" s="42">
        <v>0.99092884640718293</v>
      </c>
      <c r="E803" s="43">
        <v>398.91146156886197</v>
      </c>
      <c r="F803" s="42">
        <v>0.31020186204006983</v>
      </c>
      <c r="G803" s="43">
        <v>9.3509318281854199</v>
      </c>
      <c r="H803" s="42">
        <v>0.22654819312810348</v>
      </c>
      <c r="I803" s="43">
        <v>3.08294278423543</v>
      </c>
      <c r="J803" s="42">
        <v>0.60330250235428218</v>
      </c>
      <c r="K803" s="43">
        <v>1.4754351701206716</v>
      </c>
      <c r="L803" s="43">
        <v>2252.5127270529624</v>
      </c>
      <c r="M803" s="44">
        <v>2776.4237725192793</v>
      </c>
      <c r="N803" s="44">
        <v>4986.393269610775</v>
      </c>
      <c r="O803" s="45" t="s">
        <v>5074</v>
      </c>
      <c r="P803" s="46">
        <v>2</v>
      </c>
      <c r="Q803" s="43">
        <v>2252.5127270529624</v>
      </c>
      <c r="R803" s="43">
        <v>2261.8636588811478</v>
      </c>
      <c r="S803" s="47">
        <v>0</v>
      </c>
      <c r="T803" s="48">
        <v>2255.599719817777</v>
      </c>
      <c r="U803" s="48">
        <v>2261.8636588811478</v>
      </c>
      <c r="V803" s="48">
        <v>2241.8156218849472</v>
      </c>
      <c r="W803" s="48">
        <v>2248.1396038578246</v>
      </c>
    </row>
    <row r="804" spans="1:23" ht="13.2" x14ac:dyDescent="0.25">
      <c r="A804" s="41">
        <v>802</v>
      </c>
      <c r="B804" s="42">
        <v>0.56986720746842545</v>
      </c>
      <c r="C804" s="14" t="s">
        <v>5076</v>
      </c>
      <c r="D804" s="42">
        <v>0.68564732684085483</v>
      </c>
      <c r="E804" s="43">
        <v>41.85647326840855</v>
      </c>
      <c r="F804" s="42">
        <v>0.5888457198575352</v>
      </c>
      <c r="G804" s="43">
        <v>3.3108690311344664</v>
      </c>
      <c r="H804" s="42">
        <v>0.89398180967847896</v>
      </c>
      <c r="I804" s="43">
        <v>1.0277063747841322</v>
      </c>
      <c r="J804" s="42">
        <v>0.54389101618150759</v>
      </c>
      <c r="K804" s="43">
        <v>1.7781208470019063</v>
      </c>
      <c r="L804" s="43">
        <v>2254.2908478999643</v>
      </c>
      <c r="M804" s="44">
        <v>291.32105394812351</v>
      </c>
      <c r="N804" s="44">
        <v>523.20591585510692</v>
      </c>
      <c r="O804" s="45" t="s">
        <v>5074</v>
      </c>
      <c r="P804" s="46">
        <v>3</v>
      </c>
      <c r="Q804" s="43">
        <v>2254.2908478999643</v>
      </c>
      <c r="R804" s="43">
        <v>2257.601716931099</v>
      </c>
      <c r="S804" s="47">
        <v>0</v>
      </c>
      <c r="T804" s="48">
        <v>2255.599719817777</v>
      </c>
      <c r="U804" s="48">
        <v>2261.8636588811478</v>
      </c>
      <c r="V804" s="48">
        <v>2257.601716931099</v>
      </c>
      <c r="W804" s="48">
        <v>2248.1396038578246</v>
      </c>
    </row>
    <row r="805" spans="1:23" ht="13.2" x14ac:dyDescent="0.25">
      <c r="A805" s="41">
        <v>803</v>
      </c>
      <c r="B805" s="42">
        <v>0.66584546988170845</v>
      </c>
      <c r="C805" s="14" t="s">
        <v>5079</v>
      </c>
      <c r="D805" s="42">
        <v>0.90289079672791561</v>
      </c>
      <c r="E805" s="43">
        <v>9.7086723901837466</v>
      </c>
      <c r="F805" s="42">
        <v>0.77555947973186123</v>
      </c>
      <c r="G805" s="43">
        <v>1.5253115427705048</v>
      </c>
      <c r="H805" s="42">
        <v>0.61513662227202981</v>
      </c>
      <c r="I805" s="43">
        <v>0.45973034594606932</v>
      </c>
      <c r="J805" s="42">
        <v>0.75832329632636308</v>
      </c>
      <c r="K805" s="43">
        <v>0.80772400574123981</v>
      </c>
      <c r="L805" s="43">
        <v>2255.0985719057057</v>
      </c>
      <c r="M805" s="44">
        <v>67.572359835678881</v>
      </c>
      <c r="N805" s="44">
        <v>121.35840487729683</v>
      </c>
      <c r="O805" s="45" t="s">
        <v>5074</v>
      </c>
      <c r="P805" s="46">
        <v>4</v>
      </c>
      <c r="Q805" s="43">
        <v>2255.0985719057057</v>
      </c>
      <c r="R805" s="43">
        <v>2256.6238834484761</v>
      </c>
      <c r="S805" s="47">
        <v>0</v>
      </c>
      <c r="T805" s="48">
        <v>2255.599719817777</v>
      </c>
      <c r="U805" s="48">
        <v>2261.8636588811478</v>
      </c>
      <c r="V805" s="48">
        <v>2257.601716931099</v>
      </c>
      <c r="W805" s="48">
        <v>2256.6238834484761</v>
      </c>
    </row>
    <row r="806" spans="1:23" ht="13.2" x14ac:dyDescent="0.25">
      <c r="A806" s="41">
        <v>804</v>
      </c>
      <c r="B806" s="42">
        <v>0.55695358550034169</v>
      </c>
      <c r="C806" s="14" t="s">
        <v>5076</v>
      </c>
      <c r="D806" s="42">
        <v>0.63904090208888098</v>
      </c>
      <c r="E806" s="43">
        <v>41.390409020888811</v>
      </c>
      <c r="F806" s="42">
        <v>2.9685440487081854E-2</v>
      </c>
      <c r="G806" s="43">
        <v>3.0536553026240578</v>
      </c>
      <c r="H806" s="42">
        <v>0.62996270583475134</v>
      </c>
      <c r="I806" s="43">
        <v>0.87811424019340401</v>
      </c>
      <c r="J806" s="42">
        <v>0.1450655353931084</v>
      </c>
      <c r="K806" s="43">
        <v>5.6366997677083317</v>
      </c>
      <c r="L806" s="43">
        <v>2260.735271673414</v>
      </c>
      <c r="M806" s="44">
        <v>288.07724678538614</v>
      </c>
      <c r="N806" s="44">
        <v>517.38011276111013</v>
      </c>
      <c r="O806" s="45" t="s">
        <v>5074</v>
      </c>
      <c r="P806" s="46">
        <v>1</v>
      </c>
      <c r="Q806" s="43">
        <v>2260.735271673414</v>
      </c>
      <c r="R806" s="43">
        <v>2263.7889269760381</v>
      </c>
      <c r="S806" s="47">
        <v>0</v>
      </c>
      <c r="T806" s="48">
        <v>2263.7889269760381</v>
      </c>
      <c r="U806" s="48">
        <v>2261.8636588811478</v>
      </c>
      <c r="V806" s="48">
        <v>2257.601716931099</v>
      </c>
      <c r="W806" s="48">
        <v>2256.6238834484761</v>
      </c>
    </row>
    <row r="807" spans="1:23" ht="13.2" x14ac:dyDescent="0.25">
      <c r="A807" s="41">
        <v>805</v>
      </c>
      <c r="B807" s="42">
        <v>0.68243615966403681</v>
      </c>
      <c r="C807" s="14" t="s">
        <v>5079</v>
      </c>
      <c r="D807" s="42">
        <v>0.5208007267307494</v>
      </c>
      <c r="E807" s="43">
        <v>8.5624021801922474</v>
      </c>
      <c r="F807" s="42">
        <v>0.30179744646968198</v>
      </c>
      <c r="G807" s="43">
        <v>1.473197719111665</v>
      </c>
      <c r="H807" s="42">
        <v>0.86672089335821612</v>
      </c>
      <c r="I807" s="43">
        <v>0.55860740473324788</v>
      </c>
      <c r="J807" s="42">
        <v>6.7153030572064704E-2</v>
      </c>
      <c r="K807" s="43">
        <v>7.8854926296432239</v>
      </c>
      <c r="L807" s="43">
        <v>2268.6207643030571</v>
      </c>
      <c r="M807" s="44">
        <v>59.594319174138043</v>
      </c>
      <c r="N807" s="44">
        <v>107.03002725240309</v>
      </c>
      <c r="O807" s="45" t="s">
        <v>5074</v>
      </c>
      <c r="P807" s="46">
        <v>4</v>
      </c>
      <c r="Q807" s="43">
        <v>2268.6207643030571</v>
      </c>
      <c r="R807" s="43">
        <v>2270.0939620221689</v>
      </c>
      <c r="S807" s="47">
        <v>0</v>
      </c>
      <c r="T807" s="48">
        <v>2263.7889269760381</v>
      </c>
      <c r="U807" s="48">
        <v>2261.8636588811478</v>
      </c>
      <c r="V807" s="48">
        <v>2257.601716931099</v>
      </c>
      <c r="W807" s="48">
        <v>2270.0939620221689</v>
      </c>
    </row>
    <row r="808" spans="1:23" ht="13.2" x14ac:dyDescent="0.25">
      <c r="A808" s="41">
        <v>806</v>
      </c>
      <c r="B808" s="42">
        <v>0.37034891190489239</v>
      </c>
      <c r="C808" s="14" t="s">
        <v>5077</v>
      </c>
      <c r="D808" s="42">
        <v>0.49472443689346518</v>
      </c>
      <c r="E808" s="43">
        <v>44.452519932041184</v>
      </c>
      <c r="F808" s="42">
        <v>0.66545604107224199</v>
      </c>
      <c r="G808" s="43">
        <v>3.4394188997146764</v>
      </c>
      <c r="H808" s="42">
        <v>0.68890171949234869</v>
      </c>
      <c r="I808" s="43">
        <v>1.3258419769289409</v>
      </c>
      <c r="J808" s="42">
        <v>0.60677394764813308</v>
      </c>
      <c r="K808" s="43">
        <v>1.4586831136658382</v>
      </c>
      <c r="L808" s="43">
        <v>2270.0794474167228</v>
      </c>
      <c r="M808" s="44">
        <v>309.38953872700665</v>
      </c>
      <c r="N808" s="44">
        <v>555.65649915051483</v>
      </c>
      <c r="O808" s="45" t="s">
        <v>5074</v>
      </c>
      <c r="P808" s="46">
        <v>3</v>
      </c>
      <c r="Q808" s="43">
        <v>2270.0794474167228</v>
      </c>
      <c r="R808" s="43">
        <v>2273.5188663164377</v>
      </c>
      <c r="S808" s="47">
        <v>0</v>
      </c>
      <c r="T808" s="48">
        <v>2263.7889269760381</v>
      </c>
      <c r="U808" s="48">
        <v>2261.8636588811478</v>
      </c>
      <c r="V808" s="48">
        <v>2273.5188663164377</v>
      </c>
      <c r="W808" s="48">
        <v>2270.0939620221689</v>
      </c>
    </row>
    <row r="809" spans="1:23" ht="13.2" x14ac:dyDescent="0.25">
      <c r="A809" s="41">
        <v>807</v>
      </c>
      <c r="B809" s="42">
        <v>0.87734495470176677</v>
      </c>
      <c r="C809" s="14" t="s">
        <v>5081</v>
      </c>
      <c r="D809" s="42">
        <v>8.2860904318681414E-2</v>
      </c>
      <c r="E809" s="43">
        <v>263.31443617274726</v>
      </c>
      <c r="F809" s="42">
        <v>0.51889699907922049</v>
      </c>
      <c r="G809" s="43">
        <v>8.7037080290884283</v>
      </c>
      <c r="H809" s="42">
        <v>0.49952828534856825</v>
      </c>
      <c r="I809" s="43">
        <v>3.9995281740386992</v>
      </c>
      <c r="J809" s="42">
        <v>0.79130577146602132</v>
      </c>
      <c r="K809" s="43">
        <v>0.68341846056235578</v>
      </c>
      <c r="L809" s="43">
        <v>2270.7628658772851</v>
      </c>
      <c r="M809" s="44">
        <v>1832.6684757623209</v>
      </c>
      <c r="N809" s="44">
        <v>3291.4304521593408</v>
      </c>
      <c r="O809" s="45" t="s">
        <v>5074</v>
      </c>
      <c r="P809" s="46">
        <v>2</v>
      </c>
      <c r="Q809" s="43">
        <v>2270.7628658772851</v>
      </c>
      <c r="R809" s="43">
        <v>2279.4665739063735</v>
      </c>
      <c r="S809" s="47">
        <v>0</v>
      </c>
      <c r="T809" s="48">
        <v>2263.7889269760381</v>
      </c>
      <c r="U809" s="48">
        <v>2279.4665739063735</v>
      </c>
      <c r="V809" s="48">
        <v>2273.5188663164377</v>
      </c>
      <c r="W809" s="48">
        <v>2270.0939620221689</v>
      </c>
    </row>
    <row r="810" spans="1:23" ht="13.2" x14ac:dyDescent="0.25">
      <c r="A810" s="41">
        <v>808</v>
      </c>
      <c r="B810" s="42">
        <v>0.71138542504580016</v>
      </c>
      <c r="C810" s="14" t="s">
        <v>5079</v>
      </c>
      <c r="D810" s="42">
        <v>0.29676030636614203</v>
      </c>
      <c r="E810" s="43">
        <v>7.8902809190984264</v>
      </c>
      <c r="F810" s="42">
        <v>0.42109004846824799</v>
      </c>
      <c r="G810" s="43">
        <v>1.4863199053315073</v>
      </c>
      <c r="H810" s="42">
        <v>0.38506255642746695</v>
      </c>
      <c r="I810" s="43">
        <v>0.3962301089097866</v>
      </c>
      <c r="J810" s="42">
        <v>0.72387337532074814</v>
      </c>
      <c r="K810" s="43">
        <v>0.94347094265203246</v>
      </c>
      <c r="L810" s="43">
        <v>2271.706336819937</v>
      </c>
      <c r="M810" s="44">
        <v>54.916355196925046</v>
      </c>
      <c r="N810" s="44">
        <v>98.628511488730325</v>
      </c>
      <c r="O810" s="45" t="s">
        <v>5074</v>
      </c>
      <c r="P810" s="46">
        <v>1</v>
      </c>
      <c r="Q810" s="43">
        <v>2271.706336819937</v>
      </c>
      <c r="R810" s="43">
        <v>2273.1926567252685</v>
      </c>
      <c r="S810" s="47">
        <v>0</v>
      </c>
      <c r="T810" s="48">
        <v>2273.1926567252685</v>
      </c>
      <c r="U810" s="48">
        <v>2279.4665739063735</v>
      </c>
      <c r="V810" s="48">
        <v>2273.5188663164377</v>
      </c>
      <c r="W810" s="48">
        <v>2270.0939620221689</v>
      </c>
    </row>
    <row r="811" spans="1:23" ht="13.2" x14ac:dyDescent="0.25">
      <c r="A811" s="41">
        <v>809</v>
      </c>
      <c r="B811" s="42">
        <v>0.80219171419841784</v>
      </c>
      <c r="C811" s="14" t="s">
        <v>5078</v>
      </c>
      <c r="D811" s="42">
        <v>0.63521206734479041</v>
      </c>
      <c r="E811" s="43">
        <v>195.40848269379163</v>
      </c>
      <c r="F811" s="42">
        <v>0.83853303307599059</v>
      </c>
      <c r="G811" s="43">
        <v>6.1830650600991515</v>
      </c>
      <c r="H811" s="42">
        <v>0.66901675922284687</v>
      </c>
      <c r="I811" s="43">
        <v>3.3859142075610498</v>
      </c>
      <c r="J811" s="42">
        <v>0.59328135503143131</v>
      </c>
      <c r="K811" s="43">
        <v>1.5243402396530512</v>
      </c>
      <c r="L811" s="43">
        <v>2273.2306770595901</v>
      </c>
      <c r="M811" s="44">
        <v>1360.0430395487897</v>
      </c>
      <c r="N811" s="44">
        <v>2442.6060336723954</v>
      </c>
      <c r="O811" s="45" t="s">
        <v>5074</v>
      </c>
      <c r="P811" s="46">
        <v>4</v>
      </c>
      <c r="Q811" s="43">
        <v>2273.2306770595901</v>
      </c>
      <c r="R811" s="43">
        <v>2279.4137421196892</v>
      </c>
      <c r="S811" s="47">
        <v>0</v>
      </c>
      <c r="T811" s="48">
        <v>2273.1926567252685</v>
      </c>
      <c r="U811" s="48">
        <v>2279.4665739063735</v>
      </c>
      <c r="V811" s="48">
        <v>2273.5188663164377</v>
      </c>
      <c r="W811" s="48">
        <v>2279.4137421196892</v>
      </c>
    </row>
    <row r="812" spans="1:23" ht="13.2" x14ac:dyDescent="0.25">
      <c r="A812" s="41">
        <v>810</v>
      </c>
      <c r="B812" s="42">
        <v>0.11961963918042352</v>
      </c>
      <c r="C812" s="14" t="s">
        <v>5073</v>
      </c>
      <c r="D812" s="42">
        <v>0.35204274037482347</v>
      </c>
      <c r="E812" s="43">
        <v>322.24512884497881</v>
      </c>
      <c r="F812" s="42">
        <v>0.41455834890462379</v>
      </c>
      <c r="G812" s="43">
        <v>9.6775676320714723</v>
      </c>
      <c r="H812" s="42">
        <v>0.20784641486026645</v>
      </c>
      <c r="I812" s="43">
        <v>3.0583633425381715</v>
      </c>
      <c r="J812" s="42">
        <v>2.5831230928111463E-2</v>
      </c>
      <c r="K812" s="43">
        <v>10.674951877461897</v>
      </c>
      <c r="L812" s="43">
        <v>2283.9056289370519</v>
      </c>
      <c r="M812" s="44">
        <v>2242.8260967610527</v>
      </c>
      <c r="N812" s="44">
        <v>4028.0641105622353</v>
      </c>
      <c r="O812" s="45" t="s">
        <v>5074</v>
      </c>
      <c r="P812" s="46">
        <v>1</v>
      </c>
      <c r="Q812" s="43">
        <v>2283.9056289370519</v>
      </c>
      <c r="R812" s="43">
        <v>2293.5831965691232</v>
      </c>
      <c r="S812" s="47">
        <v>0</v>
      </c>
      <c r="T812" s="48">
        <v>2293.5831965691232</v>
      </c>
      <c r="U812" s="48">
        <v>2279.4665739063735</v>
      </c>
      <c r="V812" s="48">
        <v>2273.5188663164377</v>
      </c>
      <c r="W812" s="48">
        <v>2279.4137421196892</v>
      </c>
    </row>
    <row r="813" spans="1:23" ht="13.2" x14ac:dyDescent="0.25">
      <c r="A813" s="41">
        <v>811</v>
      </c>
      <c r="B813" s="42">
        <v>0.20179656064221474</v>
      </c>
      <c r="C813" s="14" t="s">
        <v>5073</v>
      </c>
      <c r="D813" s="42">
        <v>0.89223892842058039</v>
      </c>
      <c r="E813" s="43">
        <v>387.06867141046962</v>
      </c>
      <c r="F813" s="42">
        <v>0.47446521253998636</v>
      </c>
      <c r="G813" s="43">
        <v>9.865076115250158</v>
      </c>
      <c r="H813" s="42">
        <v>0.68003906667234337</v>
      </c>
      <c r="I813" s="43">
        <v>3.5101319565477427</v>
      </c>
      <c r="J813" s="42">
        <v>0.49958872818368893</v>
      </c>
      <c r="K813" s="43">
        <v>2.0261899639918268</v>
      </c>
      <c r="L813" s="43">
        <v>2285.9318189010437</v>
      </c>
      <c r="M813" s="44">
        <v>2693.9979530168685</v>
      </c>
      <c r="N813" s="44">
        <v>4838.3583926308702</v>
      </c>
      <c r="O813" s="45" t="s">
        <v>5074</v>
      </c>
      <c r="P813" s="46">
        <v>3</v>
      </c>
      <c r="Q813" s="43">
        <v>2285.9318189010437</v>
      </c>
      <c r="R813" s="43">
        <v>2295.796895016294</v>
      </c>
      <c r="S813" s="47">
        <v>0</v>
      </c>
      <c r="T813" s="48">
        <v>2293.5831965691232</v>
      </c>
      <c r="U813" s="48">
        <v>2279.4665739063735</v>
      </c>
      <c r="V813" s="48">
        <v>2295.796895016294</v>
      </c>
      <c r="W813" s="48">
        <v>2279.4137421196892</v>
      </c>
    </row>
    <row r="814" spans="1:23" ht="13.2" x14ac:dyDescent="0.25">
      <c r="A814" s="41">
        <v>812</v>
      </c>
      <c r="B814" s="42">
        <v>0.39991590073328276</v>
      </c>
      <c r="C814" s="14" t="s">
        <v>5077</v>
      </c>
      <c r="D814" s="42">
        <v>0.48680401336718537</v>
      </c>
      <c r="E814" s="43">
        <v>44.381236120304671</v>
      </c>
      <c r="F814" s="42">
        <v>0.92248596014570727</v>
      </c>
      <c r="G814" s="43">
        <v>3.5627932608699395</v>
      </c>
      <c r="H814" s="42">
        <v>0.41494747922520503</v>
      </c>
      <c r="I814" s="43">
        <v>1.1864985026116839</v>
      </c>
      <c r="J814" s="42">
        <v>0.92499328028643191</v>
      </c>
      <c r="K814" s="43">
        <v>0.22764614905491273</v>
      </c>
      <c r="L814" s="43">
        <v>2286.1594650500988</v>
      </c>
      <c r="M814" s="44">
        <v>308.89340339732053</v>
      </c>
      <c r="N814" s="44">
        <v>554.76545150380844</v>
      </c>
      <c r="O814" s="45" t="s">
        <v>5074</v>
      </c>
      <c r="P814" s="46">
        <v>4</v>
      </c>
      <c r="Q814" s="43">
        <v>2286.1594650500988</v>
      </c>
      <c r="R814" s="43">
        <v>2289.7222583109688</v>
      </c>
      <c r="S814" s="47">
        <v>0</v>
      </c>
      <c r="T814" s="48">
        <v>2293.5831965691232</v>
      </c>
      <c r="U814" s="48">
        <v>2279.4665739063735</v>
      </c>
      <c r="V814" s="48">
        <v>2295.796895016294</v>
      </c>
      <c r="W814" s="48">
        <v>2289.7222583109688</v>
      </c>
    </row>
    <row r="815" spans="1:23" ht="13.2" x14ac:dyDescent="0.25">
      <c r="A815" s="41">
        <v>813</v>
      </c>
      <c r="B815" s="42">
        <v>0.91200471898168545</v>
      </c>
      <c r="C815" s="14" t="s">
        <v>5075</v>
      </c>
      <c r="D815" s="42">
        <v>0.12699893588526126</v>
      </c>
      <c r="E815" s="43">
        <v>288.88992551196827</v>
      </c>
      <c r="F815" s="42">
        <v>0.37589036038885376</v>
      </c>
      <c r="G815" s="43">
        <v>9.0980218171738194</v>
      </c>
      <c r="H815" s="42">
        <v>0.37426220270537874</v>
      </c>
      <c r="I815" s="43">
        <v>2.3651730494015388</v>
      </c>
      <c r="J815" s="42">
        <v>0.26509411645359088</v>
      </c>
      <c r="K815" s="43">
        <v>3.8764098091106156</v>
      </c>
      <c r="L815" s="43">
        <v>2290.0358748592093</v>
      </c>
      <c r="M815" s="44">
        <v>2010.6738815632991</v>
      </c>
      <c r="N815" s="44">
        <v>3611.1240688996036</v>
      </c>
      <c r="O815" s="45" t="s">
        <v>5074</v>
      </c>
      <c r="P815" s="46">
        <v>2</v>
      </c>
      <c r="Q815" s="43">
        <v>2290.0358748592093</v>
      </c>
      <c r="R815" s="43">
        <v>2299.1338966763833</v>
      </c>
      <c r="S815" s="47">
        <v>0</v>
      </c>
      <c r="T815" s="48">
        <v>2293.5831965691232</v>
      </c>
      <c r="U815" s="48">
        <v>2299.1338966763833</v>
      </c>
      <c r="V815" s="48">
        <v>2295.796895016294</v>
      </c>
      <c r="W815" s="48">
        <v>2289.7222583109688</v>
      </c>
    </row>
    <row r="816" spans="1:23" ht="13.2" x14ac:dyDescent="0.25">
      <c r="A816" s="41">
        <v>814</v>
      </c>
      <c r="B816" s="42">
        <v>0.25632585923016343</v>
      </c>
      <c r="C816" s="14" t="s">
        <v>5077</v>
      </c>
      <c r="D816" s="42">
        <v>0.27297103371143855</v>
      </c>
      <c r="E816" s="43">
        <v>42.456739303402948</v>
      </c>
      <c r="F816" s="42">
        <v>0.582024478158925</v>
      </c>
      <c r="G816" s="43">
        <v>3.3993717495162841</v>
      </c>
      <c r="H816" s="42">
        <v>0.76664343046333805</v>
      </c>
      <c r="I816" s="43">
        <v>1.375946831073205</v>
      </c>
      <c r="J816" s="42">
        <v>0.62822793360251372</v>
      </c>
      <c r="K816" s="43">
        <v>1.3572327788863541</v>
      </c>
      <c r="L816" s="43">
        <v>2291.3931076380959</v>
      </c>
      <c r="M816" s="44">
        <v>295.49890555168452</v>
      </c>
      <c r="N816" s="44">
        <v>530.70924129253683</v>
      </c>
      <c r="O816" s="45" t="s">
        <v>5074</v>
      </c>
      <c r="P816" s="46">
        <v>4</v>
      </c>
      <c r="Q816" s="43">
        <v>2291.3931076380959</v>
      </c>
      <c r="R816" s="43">
        <v>2294.7924793876123</v>
      </c>
      <c r="S816" s="47">
        <v>0</v>
      </c>
      <c r="T816" s="48">
        <v>2293.5831965691232</v>
      </c>
      <c r="U816" s="48">
        <v>2299.1338966763833</v>
      </c>
      <c r="V816" s="48">
        <v>2295.796895016294</v>
      </c>
      <c r="W816" s="48">
        <v>2294.7924793876123</v>
      </c>
    </row>
    <row r="817" spans="1:23" ht="13.2" x14ac:dyDescent="0.25">
      <c r="A817" s="41">
        <v>815</v>
      </c>
      <c r="B817" s="42">
        <v>0.57331567004943063</v>
      </c>
      <c r="C817" s="14" t="s">
        <v>5076</v>
      </c>
      <c r="D817" s="42">
        <v>0.73782497445951445</v>
      </c>
      <c r="E817" s="43">
        <v>42.378249744595145</v>
      </c>
      <c r="F817" s="42">
        <v>0.58774816924135576</v>
      </c>
      <c r="G817" s="43">
        <v>3.3103641578510237</v>
      </c>
      <c r="H817" s="42">
        <v>0.99354241368991436</v>
      </c>
      <c r="I817" s="43">
        <v>1.1574779566950977</v>
      </c>
      <c r="J817" s="42">
        <v>0.65828315059574471</v>
      </c>
      <c r="K817" s="43">
        <v>1.2207886720105641</v>
      </c>
      <c r="L817" s="43">
        <v>2292.6138963101066</v>
      </c>
      <c r="M817" s="44">
        <v>296.07456190561277</v>
      </c>
      <c r="N817" s="44">
        <v>529.72812180743927</v>
      </c>
      <c r="O817" s="45" t="s">
        <v>5074</v>
      </c>
      <c r="P817" s="46">
        <v>1</v>
      </c>
      <c r="Q817" s="43">
        <v>2293.5831965691232</v>
      </c>
      <c r="R817" s="43">
        <v>2296.8935607269741</v>
      </c>
      <c r="S817" s="43">
        <v>0.96930025901656336</v>
      </c>
      <c r="T817" s="48">
        <v>2296.8935607269741</v>
      </c>
      <c r="U817" s="48">
        <v>2299.1338966763833</v>
      </c>
      <c r="V817" s="48">
        <v>2295.796895016294</v>
      </c>
      <c r="W817" s="48">
        <v>2294.7924793876123</v>
      </c>
    </row>
    <row r="818" spans="1:23" ht="13.2" x14ac:dyDescent="0.25">
      <c r="A818" s="41">
        <v>816</v>
      </c>
      <c r="B818" s="42">
        <v>0.2333813278159971</v>
      </c>
      <c r="C818" s="14" t="s">
        <v>5073</v>
      </c>
      <c r="D818" s="42">
        <v>0.526818868483798</v>
      </c>
      <c r="E818" s="43">
        <v>343.21826421805577</v>
      </c>
      <c r="F818" s="42">
        <v>0.64919893986042543</v>
      </c>
      <c r="G818" s="43">
        <v>10.411992681763131</v>
      </c>
      <c r="H818" s="42">
        <v>0.33750712049077597</v>
      </c>
      <c r="I818" s="43">
        <v>3.211519979154601</v>
      </c>
      <c r="J818" s="42">
        <v>0.51187085477256722</v>
      </c>
      <c r="K818" s="43">
        <v>1.9552786059328584</v>
      </c>
      <c r="L818" s="43">
        <v>2294.5691749160396</v>
      </c>
      <c r="M818" s="44">
        <v>2389.5162657295582</v>
      </c>
      <c r="N818" s="44">
        <v>4290.2283027256972</v>
      </c>
      <c r="O818" s="45" t="s">
        <v>5074</v>
      </c>
      <c r="P818" s="46">
        <v>4</v>
      </c>
      <c r="Q818" s="43">
        <v>2294.7924793876123</v>
      </c>
      <c r="R818" s="43">
        <v>2305.2044720693752</v>
      </c>
      <c r="S818" s="43">
        <v>0.22330447157264643</v>
      </c>
      <c r="T818" s="48">
        <v>2296.8935607269741</v>
      </c>
      <c r="U818" s="48">
        <v>2299.1338966763833</v>
      </c>
      <c r="V818" s="48">
        <v>2295.796895016294</v>
      </c>
      <c r="W818" s="48">
        <v>2305.2044720693752</v>
      </c>
    </row>
    <row r="819" spans="1:23" ht="13.2" x14ac:dyDescent="0.25">
      <c r="A819" s="41">
        <v>817</v>
      </c>
      <c r="B819" s="42">
        <v>0.30667625335356047</v>
      </c>
      <c r="C819" s="14" t="s">
        <v>5077</v>
      </c>
      <c r="D819" s="42">
        <v>0.76274928113573659</v>
      </c>
      <c r="E819" s="43">
        <v>46.864743530221631</v>
      </c>
      <c r="F819" s="42">
        <v>0.71931840792266577</v>
      </c>
      <c r="G819" s="43">
        <v>3.4652728358028795</v>
      </c>
      <c r="H819" s="42">
        <v>0.94508342116376542</v>
      </c>
      <c r="I819" s="43">
        <v>1.542798026487243</v>
      </c>
      <c r="J819" s="42">
        <v>0.45374856258451407</v>
      </c>
      <c r="K819" s="43">
        <v>2.3071885000464656</v>
      </c>
      <c r="L819" s="43">
        <v>2296.876363416086</v>
      </c>
      <c r="M819" s="44">
        <v>326.17861497034255</v>
      </c>
      <c r="N819" s="44">
        <v>585.80929412777039</v>
      </c>
      <c r="O819" s="45" t="s">
        <v>5074</v>
      </c>
      <c r="P819" s="46">
        <v>3</v>
      </c>
      <c r="Q819" s="43">
        <v>2296.876363416086</v>
      </c>
      <c r="R819" s="43">
        <v>2300.3416362518888</v>
      </c>
      <c r="S819" s="47">
        <v>0</v>
      </c>
      <c r="T819" s="48">
        <v>2296.8935607269741</v>
      </c>
      <c r="U819" s="48">
        <v>2299.1338966763833</v>
      </c>
      <c r="V819" s="48">
        <v>2300.3416362518888</v>
      </c>
      <c r="W819" s="48">
        <v>2305.2044720693752</v>
      </c>
    </row>
    <row r="820" spans="1:23" ht="13.2" x14ac:dyDescent="0.25">
      <c r="A820" s="41">
        <v>818</v>
      </c>
      <c r="B820" s="42">
        <v>0.29827193417505915</v>
      </c>
      <c r="C820" s="14" t="s">
        <v>5077</v>
      </c>
      <c r="D820" s="42">
        <v>0.56336868627153747</v>
      </c>
      <c r="E820" s="43">
        <v>45.070318176443834</v>
      </c>
      <c r="F820" s="42">
        <v>0.734652076724289</v>
      </c>
      <c r="G820" s="43">
        <v>3.4726329968276586</v>
      </c>
      <c r="H820" s="42">
        <v>0.22014544309123674</v>
      </c>
      <c r="I820" s="43">
        <v>1.0815179559332675</v>
      </c>
      <c r="J820" s="42">
        <v>6.5797386721613532E-2</v>
      </c>
      <c r="K820" s="43">
        <v>7.9450369545008579</v>
      </c>
      <c r="L820" s="43">
        <v>2304.8214003705866</v>
      </c>
      <c r="M820" s="44">
        <v>313.68941450804908</v>
      </c>
      <c r="N820" s="44">
        <v>563.37897720554793</v>
      </c>
      <c r="O820" s="45" t="s">
        <v>5074</v>
      </c>
      <c r="P820" s="46">
        <v>1</v>
      </c>
      <c r="Q820" s="43">
        <v>2304.8214003705866</v>
      </c>
      <c r="R820" s="43">
        <v>2308.2940333674142</v>
      </c>
      <c r="S820" s="47">
        <v>0</v>
      </c>
      <c r="T820" s="48">
        <v>2308.2940333674142</v>
      </c>
      <c r="U820" s="48">
        <v>2299.1338966763833</v>
      </c>
      <c r="V820" s="48">
        <v>2300.3416362518888</v>
      </c>
      <c r="W820" s="48">
        <v>2305.2044720693752</v>
      </c>
    </row>
    <row r="821" spans="1:23" ht="13.2" x14ac:dyDescent="0.25">
      <c r="A821" s="41">
        <v>819</v>
      </c>
      <c r="B821" s="42">
        <v>0.86726873967203721</v>
      </c>
      <c r="C821" s="14" t="s">
        <v>5081</v>
      </c>
      <c r="D821" s="42">
        <v>0.97103854360572928</v>
      </c>
      <c r="E821" s="43">
        <v>298.84154174422918</v>
      </c>
      <c r="F821" s="42">
        <v>0.40393127240423637</v>
      </c>
      <c r="G821" s="43">
        <v>8.5898919596801928</v>
      </c>
      <c r="H821" s="42">
        <v>0.17333460746953944</v>
      </c>
      <c r="I821" s="43">
        <v>3.5887862217639599</v>
      </c>
      <c r="J821" s="42">
        <v>0.25963418104668806</v>
      </c>
      <c r="K821" s="43">
        <v>3.937172656026716</v>
      </c>
      <c r="L821" s="43">
        <v>2308.7585730266132</v>
      </c>
      <c r="M821" s="44">
        <v>2079.9371305398349</v>
      </c>
      <c r="N821" s="44">
        <v>3735.5192718028648</v>
      </c>
      <c r="O821" s="45" t="s">
        <v>5074</v>
      </c>
      <c r="P821" s="46">
        <v>2</v>
      </c>
      <c r="Q821" s="43">
        <v>2308.7585730266132</v>
      </c>
      <c r="R821" s="43">
        <v>2317.3484649862935</v>
      </c>
      <c r="S821" s="47">
        <v>0</v>
      </c>
      <c r="T821" s="48">
        <v>2308.2940333674142</v>
      </c>
      <c r="U821" s="48">
        <v>2317.3484649862935</v>
      </c>
      <c r="V821" s="48">
        <v>2300.3416362518888</v>
      </c>
      <c r="W821" s="48">
        <v>2305.2044720693752</v>
      </c>
    </row>
    <row r="822" spans="1:23" ht="13.2" x14ac:dyDescent="0.25">
      <c r="A822" s="41">
        <v>820</v>
      </c>
      <c r="B822" s="42">
        <v>5.7342684388785939E-2</v>
      </c>
      <c r="C822" s="14" t="s">
        <v>5073</v>
      </c>
      <c r="D822" s="42">
        <v>0.80386818982840902</v>
      </c>
      <c r="E822" s="43">
        <v>376.4641827794091</v>
      </c>
      <c r="F822" s="42">
        <v>0.17081007835027301</v>
      </c>
      <c r="G822" s="43">
        <v>8.9146355452363544</v>
      </c>
      <c r="H822" s="42">
        <v>0.11780193406986163</v>
      </c>
      <c r="I822" s="43">
        <v>2.920360441888616</v>
      </c>
      <c r="J822" s="42">
        <v>0.73644358233383089</v>
      </c>
      <c r="K822" s="43">
        <v>0.89320481288065057</v>
      </c>
      <c r="L822" s="43">
        <v>2309.6517778394941</v>
      </c>
      <c r="M822" s="44">
        <v>2620.1907121446875</v>
      </c>
      <c r="N822" s="44">
        <v>4705.8022847426137</v>
      </c>
      <c r="O822" s="45" t="s">
        <v>5074</v>
      </c>
      <c r="P822" s="46">
        <v>3</v>
      </c>
      <c r="Q822" s="43">
        <v>2309.6517778394941</v>
      </c>
      <c r="R822" s="43">
        <v>2318.5664133847304</v>
      </c>
      <c r="S822" s="47">
        <v>0</v>
      </c>
      <c r="T822" s="48">
        <v>2308.2940333674142</v>
      </c>
      <c r="U822" s="48">
        <v>2317.3484649862935</v>
      </c>
      <c r="V822" s="48">
        <v>2318.5664133847304</v>
      </c>
      <c r="W822" s="48">
        <v>2305.2044720693752</v>
      </c>
    </row>
    <row r="823" spans="1:23" ht="13.2" x14ac:dyDescent="0.25">
      <c r="A823" s="41">
        <v>821</v>
      </c>
      <c r="B823" s="42">
        <v>0.22602016582434073</v>
      </c>
      <c r="C823" s="14" t="s">
        <v>5073</v>
      </c>
      <c r="D823" s="42">
        <v>0.68865470666841355</v>
      </c>
      <c r="E823" s="43">
        <v>362.63856480020962</v>
      </c>
      <c r="F823" s="42">
        <v>0.44775318701181244</v>
      </c>
      <c r="G823" s="43">
        <v>9.7814674753469735</v>
      </c>
      <c r="H823" s="42">
        <v>0.84574678300216177</v>
      </c>
      <c r="I823" s="43">
        <v>3.6598678010708503</v>
      </c>
      <c r="J823" s="42">
        <v>0.13611261925479054</v>
      </c>
      <c r="K823" s="43">
        <v>5.8226938778441957</v>
      </c>
      <c r="L823" s="43">
        <v>2315.4744717173385</v>
      </c>
      <c r="M823" s="44">
        <v>2523.9644110094591</v>
      </c>
      <c r="N823" s="44">
        <v>4532.9820600026205</v>
      </c>
      <c r="O823" s="45" t="s">
        <v>5074</v>
      </c>
      <c r="P823" s="46">
        <v>4</v>
      </c>
      <c r="Q823" s="43">
        <v>2315.4744717173385</v>
      </c>
      <c r="R823" s="43">
        <v>2325.2559391926857</v>
      </c>
      <c r="S823" s="47">
        <v>0</v>
      </c>
      <c r="T823" s="48">
        <v>2308.2940333674142</v>
      </c>
      <c r="U823" s="48">
        <v>2317.3484649862935</v>
      </c>
      <c r="V823" s="48">
        <v>2318.5664133847304</v>
      </c>
      <c r="W823" s="48">
        <v>2325.2559391926857</v>
      </c>
    </row>
    <row r="824" spans="1:23" ht="13.2" x14ac:dyDescent="0.25">
      <c r="A824" s="41">
        <v>822</v>
      </c>
      <c r="B824" s="42">
        <v>0.32970102612380919</v>
      </c>
      <c r="C824" s="14" t="s">
        <v>5077</v>
      </c>
      <c r="D824" s="42">
        <v>7.264467937529305E-2</v>
      </c>
      <c r="E824" s="43">
        <v>40.65380211437764</v>
      </c>
      <c r="F824" s="42">
        <v>0.35707310557229122</v>
      </c>
      <c r="G824" s="43">
        <v>3.2913950906746998</v>
      </c>
      <c r="H824" s="42">
        <v>0.58318866397402658</v>
      </c>
      <c r="I824" s="43">
        <v>1.2669121322275489</v>
      </c>
      <c r="J824" s="42">
        <v>0.58303731241404888</v>
      </c>
      <c r="K824" s="43">
        <v>1.5751944349471498</v>
      </c>
      <c r="L824" s="43">
        <v>2317.0496661522857</v>
      </c>
      <c r="M824" s="44">
        <v>282.95046271606839</v>
      </c>
      <c r="N824" s="44">
        <v>508.17252642972051</v>
      </c>
      <c r="O824" s="45" t="s">
        <v>5074</v>
      </c>
      <c r="P824" s="46">
        <v>1</v>
      </c>
      <c r="Q824" s="43">
        <v>2317.0496661522857</v>
      </c>
      <c r="R824" s="43">
        <v>2320.3410612429602</v>
      </c>
      <c r="S824" s="47">
        <v>0</v>
      </c>
      <c r="T824" s="48">
        <v>2320.3410612429602</v>
      </c>
      <c r="U824" s="48">
        <v>2317.3484649862935</v>
      </c>
      <c r="V824" s="48">
        <v>2318.5664133847304</v>
      </c>
      <c r="W824" s="48">
        <v>2325.2559391926857</v>
      </c>
    </row>
    <row r="825" spans="1:23" ht="13.2" x14ac:dyDescent="0.25">
      <c r="A825" s="41">
        <v>823</v>
      </c>
      <c r="B825" s="42">
        <v>0.65458194057204855</v>
      </c>
      <c r="C825" s="14" t="s">
        <v>5079</v>
      </c>
      <c r="D825" s="42">
        <v>0.47676663495449656</v>
      </c>
      <c r="E825" s="43">
        <v>8.4302999048634888</v>
      </c>
      <c r="F825" s="42">
        <v>0.45518357933274639</v>
      </c>
      <c r="G825" s="43">
        <v>1.4900701937266021</v>
      </c>
      <c r="H825" s="42">
        <v>0.91952478555940309</v>
      </c>
      <c r="I825" s="43">
        <v>0.59013061315321025</v>
      </c>
      <c r="J825" s="42">
        <v>0.4658192114279695</v>
      </c>
      <c r="K825" s="43">
        <v>2.2305333677105521</v>
      </c>
      <c r="L825" s="43">
        <v>2319.2801995199961</v>
      </c>
      <c r="M825" s="44">
        <v>58.674887337849881</v>
      </c>
      <c r="N825" s="44">
        <v>105.37874881079361</v>
      </c>
      <c r="O825" s="45" t="s">
        <v>5074</v>
      </c>
      <c r="P825" s="46">
        <v>2</v>
      </c>
      <c r="Q825" s="43">
        <v>2319.2801995199961</v>
      </c>
      <c r="R825" s="43">
        <v>2320.7702697137229</v>
      </c>
      <c r="S825" s="47">
        <v>0</v>
      </c>
      <c r="T825" s="48">
        <v>2320.3410612429602</v>
      </c>
      <c r="U825" s="48">
        <v>2320.7702697137229</v>
      </c>
      <c r="V825" s="48">
        <v>2318.5664133847304</v>
      </c>
      <c r="W825" s="48">
        <v>2325.2559391926857</v>
      </c>
    </row>
    <row r="826" spans="1:23" ht="13.2" x14ac:dyDescent="0.25">
      <c r="A826" s="41">
        <v>824</v>
      </c>
      <c r="B826" s="42">
        <v>0.19503808682553381</v>
      </c>
      <c r="C826" s="14" t="s">
        <v>5073</v>
      </c>
      <c r="D826" s="42">
        <v>0.24360921757463794</v>
      </c>
      <c r="E826" s="43">
        <v>309.23310610895658</v>
      </c>
      <c r="F826" s="42">
        <v>0.10501937014284514</v>
      </c>
      <c r="G826" s="43">
        <v>8.7087106285471059</v>
      </c>
      <c r="H826" s="42">
        <v>0.8392229652214902</v>
      </c>
      <c r="I826" s="43">
        <v>3.6527496924639484</v>
      </c>
      <c r="J826" s="42">
        <v>7.8321246932410285E-2</v>
      </c>
      <c r="K826" s="43">
        <v>7.4363105398264944</v>
      </c>
      <c r="L826" s="43">
        <v>2326.7165100598227</v>
      </c>
      <c r="M826" s="44">
        <v>2152.2624185183377</v>
      </c>
      <c r="N826" s="44">
        <v>3865.413826361957</v>
      </c>
      <c r="O826" s="45" t="s">
        <v>5074</v>
      </c>
      <c r="P826" s="46">
        <v>3</v>
      </c>
      <c r="Q826" s="43">
        <v>2326.7165100598227</v>
      </c>
      <c r="R826" s="43">
        <v>2335.4252206883698</v>
      </c>
      <c r="S826" s="47">
        <v>0</v>
      </c>
      <c r="T826" s="48">
        <v>2320.3410612429602</v>
      </c>
      <c r="U826" s="48">
        <v>2320.7702697137229</v>
      </c>
      <c r="V826" s="48">
        <v>2335.4252206883698</v>
      </c>
      <c r="W826" s="48">
        <v>2325.2559391926857</v>
      </c>
    </row>
    <row r="827" spans="1:23" ht="13.2" x14ac:dyDescent="0.25">
      <c r="A827" s="41">
        <v>825</v>
      </c>
      <c r="B827" s="42">
        <v>0.14568611613739565</v>
      </c>
      <c r="C827" s="14" t="s">
        <v>5073</v>
      </c>
      <c r="D827" s="42">
        <v>0.65459954443136203</v>
      </c>
      <c r="E827" s="43">
        <v>358.55194533176348</v>
      </c>
      <c r="F827" s="42">
        <v>0.77883055888993225</v>
      </c>
      <c r="G827" s="43">
        <v>10.817739649325489</v>
      </c>
      <c r="H827" s="42">
        <v>0.40817221040286694</v>
      </c>
      <c r="I827" s="43">
        <v>3.2824693703936916</v>
      </c>
      <c r="J827" s="42">
        <v>0.32065677797452397</v>
      </c>
      <c r="K827" s="43">
        <v>3.3208290667951053</v>
      </c>
      <c r="L827" s="43">
        <v>2330.0373391266176</v>
      </c>
      <c r="M827" s="44">
        <v>2495.5215395090736</v>
      </c>
      <c r="N827" s="44">
        <v>4481.8993166470436</v>
      </c>
      <c r="O827" s="45" t="s">
        <v>5074</v>
      </c>
      <c r="P827" s="46">
        <v>1</v>
      </c>
      <c r="Q827" s="43">
        <v>2330.0373391266176</v>
      </c>
      <c r="R827" s="43">
        <v>2340.8550787759432</v>
      </c>
      <c r="S827" s="47">
        <v>0</v>
      </c>
      <c r="T827" s="48">
        <v>2340.8550787759432</v>
      </c>
      <c r="U827" s="48">
        <v>2320.7702697137229</v>
      </c>
      <c r="V827" s="48">
        <v>2335.4252206883698</v>
      </c>
      <c r="W827" s="48">
        <v>2325.2559391926857</v>
      </c>
    </row>
    <row r="828" spans="1:23" ht="13.2" x14ac:dyDescent="0.25">
      <c r="A828" s="41">
        <v>826</v>
      </c>
      <c r="B828" s="42">
        <v>0.69549399041360893</v>
      </c>
      <c r="C828" s="14" t="s">
        <v>5079</v>
      </c>
      <c r="D828" s="42">
        <v>0.60652915835684595</v>
      </c>
      <c r="E828" s="43">
        <v>8.8195874750705379</v>
      </c>
      <c r="F828" s="42">
        <v>0.41944987486090973</v>
      </c>
      <c r="G828" s="43">
        <v>1.4861394862347002</v>
      </c>
      <c r="H828" s="42">
        <v>0.27508880164245553</v>
      </c>
      <c r="I828" s="43">
        <v>0.36585801205924773</v>
      </c>
      <c r="J828" s="42">
        <v>0.65968985420637294</v>
      </c>
      <c r="K828" s="43">
        <v>1.2145561234359163</v>
      </c>
      <c r="L828" s="43">
        <v>2331.2518952500536</v>
      </c>
      <c r="M828" s="44">
        <v>61.384328826490943</v>
      </c>
      <c r="N828" s="44">
        <v>110.24484343838172</v>
      </c>
      <c r="O828" s="45" t="s">
        <v>5074</v>
      </c>
      <c r="P828" s="46">
        <v>2</v>
      </c>
      <c r="Q828" s="43">
        <v>2331.2518952500536</v>
      </c>
      <c r="R828" s="43">
        <v>2332.7380347362882</v>
      </c>
      <c r="S828" s="47">
        <v>0</v>
      </c>
      <c r="T828" s="48">
        <v>2340.8550787759432</v>
      </c>
      <c r="U828" s="48">
        <v>2332.7380347362882</v>
      </c>
      <c r="V828" s="48">
        <v>2335.4252206883698</v>
      </c>
      <c r="W828" s="48">
        <v>2325.2559391926857</v>
      </c>
    </row>
    <row r="829" spans="1:23" ht="13.2" x14ac:dyDescent="0.25">
      <c r="A829" s="41">
        <v>827</v>
      </c>
      <c r="B829" s="42">
        <v>0.72670880878656585</v>
      </c>
      <c r="C829" s="14" t="s">
        <v>5079</v>
      </c>
      <c r="D829" s="42">
        <v>0.45208140437122502</v>
      </c>
      <c r="E829" s="43">
        <v>8.3562442131136745</v>
      </c>
      <c r="F829" s="42">
        <v>0.27174695919814845</v>
      </c>
      <c r="G829" s="43">
        <v>1.4698921655117962</v>
      </c>
      <c r="H829" s="42">
        <v>7.9395243935005383E-2</v>
      </c>
      <c r="I829" s="43">
        <v>0.2891040088520182</v>
      </c>
      <c r="J829" s="42">
        <v>0.84054686075101925</v>
      </c>
      <c r="K829" s="43">
        <v>0.50716080077616166</v>
      </c>
      <c r="L829" s="43">
        <v>2331.7590560508297</v>
      </c>
      <c r="M829" s="44">
        <v>58.159459723271176</v>
      </c>
      <c r="N829" s="44">
        <v>104.45305266392093</v>
      </c>
      <c r="O829" s="45" t="s">
        <v>5074</v>
      </c>
      <c r="P829" s="46">
        <v>4</v>
      </c>
      <c r="Q829" s="43">
        <v>2331.7590560508297</v>
      </c>
      <c r="R829" s="43">
        <v>2333.2289482163415</v>
      </c>
      <c r="S829" s="47">
        <v>0</v>
      </c>
      <c r="T829" s="48">
        <v>2340.8550787759432</v>
      </c>
      <c r="U829" s="48">
        <v>2332.7380347362882</v>
      </c>
      <c r="V829" s="48">
        <v>2335.4252206883698</v>
      </c>
      <c r="W829" s="48">
        <v>2333.2289482163415</v>
      </c>
    </row>
    <row r="830" spans="1:23" ht="13.2" x14ac:dyDescent="0.25">
      <c r="A830" s="41">
        <v>828</v>
      </c>
      <c r="B830" s="42">
        <v>0.73552753624298028</v>
      </c>
      <c r="C830" s="14" t="s">
        <v>5079</v>
      </c>
      <c r="D830" s="42">
        <v>0.44440079268273003</v>
      </c>
      <c r="E830" s="43">
        <v>8.3332023780481901</v>
      </c>
      <c r="F830" s="42">
        <v>0.70157616711295034</v>
      </c>
      <c r="G830" s="43">
        <v>1.5171733783824246</v>
      </c>
      <c r="H830" s="42">
        <v>0.54169962952923945</v>
      </c>
      <c r="I830" s="43">
        <v>0.43780721678388235</v>
      </c>
      <c r="J830" s="42">
        <v>4.79781031831997E-2</v>
      </c>
      <c r="K830" s="43">
        <v>8.8671841046453075</v>
      </c>
      <c r="L830" s="43">
        <v>2340.626240155475</v>
      </c>
      <c r="M830" s="44">
        <v>57.999088551215401</v>
      </c>
      <c r="N830" s="44">
        <v>104.16502972560238</v>
      </c>
      <c r="O830" s="45" t="s">
        <v>5074</v>
      </c>
      <c r="P830" s="46">
        <v>2</v>
      </c>
      <c r="Q830" s="43">
        <v>2340.626240155475</v>
      </c>
      <c r="R830" s="43">
        <v>2342.1434135338573</v>
      </c>
      <c r="S830" s="47">
        <v>0</v>
      </c>
      <c r="T830" s="48">
        <v>2340.8550787759432</v>
      </c>
      <c r="U830" s="48">
        <v>2342.1434135338573</v>
      </c>
      <c r="V830" s="48">
        <v>2335.4252206883698</v>
      </c>
      <c r="W830" s="48">
        <v>2333.2289482163415</v>
      </c>
    </row>
    <row r="831" spans="1:23" ht="13.2" x14ac:dyDescent="0.25">
      <c r="A831" s="41">
        <v>829</v>
      </c>
      <c r="B831" s="42">
        <v>0.22433696138874487</v>
      </c>
      <c r="C831" s="14" t="s">
        <v>5073</v>
      </c>
      <c r="D831" s="42">
        <v>0.95279154644943376</v>
      </c>
      <c r="E831" s="43">
        <v>394.33498557393204</v>
      </c>
      <c r="F831" s="42">
        <v>0.82098968970635422</v>
      </c>
      <c r="G831" s="43">
        <v>10.949697728780889</v>
      </c>
      <c r="H831" s="42">
        <v>0.33539441522927693</v>
      </c>
      <c r="I831" s="43">
        <v>3.2092895197617932</v>
      </c>
      <c r="J831" s="42">
        <v>0.86114545811952348</v>
      </c>
      <c r="K831" s="43">
        <v>0.43647254866553009</v>
      </c>
      <c r="L831" s="43">
        <v>2341.0627127041407</v>
      </c>
      <c r="M831" s="44">
        <v>2744.5714995945668</v>
      </c>
      <c r="N831" s="44">
        <v>4929.1873196741508</v>
      </c>
      <c r="O831" s="45" t="s">
        <v>5074</v>
      </c>
      <c r="P831" s="46">
        <v>4</v>
      </c>
      <c r="Q831" s="43">
        <v>2341.0627127041407</v>
      </c>
      <c r="R831" s="43">
        <v>2352.0124104329216</v>
      </c>
      <c r="S831" s="47">
        <v>0</v>
      </c>
      <c r="T831" s="48">
        <v>2340.8550787759432</v>
      </c>
      <c r="U831" s="48">
        <v>2342.1434135338573</v>
      </c>
      <c r="V831" s="48">
        <v>2335.4252206883698</v>
      </c>
      <c r="W831" s="48">
        <v>2352.0124104329216</v>
      </c>
    </row>
    <row r="832" spans="1:23" ht="13.2" x14ac:dyDescent="0.25">
      <c r="A832" s="41">
        <v>830</v>
      </c>
      <c r="B832" s="42">
        <v>0.61581234569466314</v>
      </c>
      <c r="C832" s="14" t="s">
        <v>5076</v>
      </c>
      <c r="D832" s="42">
        <v>0.51685335511195163</v>
      </c>
      <c r="E832" s="43">
        <v>40.168533551119516</v>
      </c>
      <c r="F832" s="42">
        <v>0.80305366721146443</v>
      </c>
      <c r="G832" s="43">
        <v>3.4094046869172736</v>
      </c>
      <c r="H832" s="42">
        <v>0.37755110877452003</v>
      </c>
      <c r="I832" s="43">
        <v>0.7815772235864421</v>
      </c>
      <c r="J832" s="42">
        <v>0.73146885388133531</v>
      </c>
      <c r="K832" s="43">
        <v>0.91299456307885374</v>
      </c>
      <c r="L832" s="43">
        <v>2341.9757072672196</v>
      </c>
      <c r="M832" s="44">
        <v>279.57299351579184</v>
      </c>
      <c r="N832" s="44">
        <v>502.10666938899396</v>
      </c>
      <c r="O832" s="45" t="s">
        <v>5074</v>
      </c>
      <c r="P832" s="46">
        <v>3</v>
      </c>
      <c r="Q832" s="43">
        <v>2341.9757072672196</v>
      </c>
      <c r="R832" s="43">
        <v>2345.3851119541368</v>
      </c>
      <c r="S832" s="47">
        <v>0</v>
      </c>
      <c r="T832" s="48">
        <v>2340.8550787759432</v>
      </c>
      <c r="U832" s="48">
        <v>2342.1434135338573</v>
      </c>
      <c r="V832" s="48">
        <v>2345.3851119541368</v>
      </c>
      <c r="W832" s="48">
        <v>2352.0124104329216</v>
      </c>
    </row>
    <row r="833" spans="1:23" ht="13.2" x14ac:dyDescent="0.25">
      <c r="A833" s="41">
        <v>831</v>
      </c>
      <c r="B833" s="42">
        <v>0.66614277552168011</v>
      </c>
      <c r="C833" s="14" t="s">
        <v>5079</v>
      </c>
      <c r="D833" s="42">
        <v>0.77556117054799623</v>
      </c>
      <c r="E833" s="43">
        <v>9.3266835116439886</v>
      </c>
      <c r="F833" s="42">
        <v>0.42954234938581581</v>
      </c>
      <c r="G833" s="43">
        <v>1.4872496584324397</v>
      </c>
      <c r="H833" s="42">
        <v>0.45124737101199447</v>
      </c>
      <c r="I833" s="43">
        <v>0.41309776168840923</v>
      </c>
      <c r="J833" s="42">
        <v>2.3696860309549077E-3</v>
      </c>
      <c r="K833" s="43">
        <v>17.649628639419571</v>
      </c>
      <c r="L833" s="43">
        <v>2359.6253359066391</v>
      </c>
      <c r="M833" s="44">
        <v>64.913717241042164</v>
      </c>
      <c r="N833" s="44">
        <v>116.58354389554985</v>
      </c>
      <c r="O833" s="45" t="s">
        <v>5074</v>
      </c>
      <c r="P833" s="46">
        <v>1</v>
      </c>
      <c r="Q833" s="43">
        <v>2359.6253359066391</v>
      </c>
      <c r="R833" s="43">
        <v>2361.1125855650716</v>
      </c>
      <c r="S833" s="47">
        <v>0</v>
      </c>
      <c r="T833" s="48">
        <v>2361.1125855650716</v>
      </c>
      <c r="U833" s="48">
        <v>2342.1434135338573</v>
      </c>
      <c r="V833" s="48">
        <v>2345.3851119541368</v>
      </c>
      <c r="W833" s="48">
        <v>2352.0124104329216</v>
      </c>
    </row>
    <row r="834" spans="1:23" ht="13.2" x14ac:dyDescent="0.25">
      <c r="A834" s="41">
        <v>832</v>
      </c>
      <c r="B834" s="42">
        <v>0.87377662112646581</v>
      </c>
      <c r="C834" s="14" t="s">
        <v>5081</v>
      </c>
      <c r="D834" s="42">
        <v>0.50241647637561726</v>
      </c>
      <c r="E834" s="43">
        <v>280.0966590550247</v>
      </c>
      <c r="F834" s="42">
        <v>0.25747507030958078</v>
      </c>
      <c r="G834" s="43">
        <v>8.444900319606484</v>
      </c>
      <c r="H834" s="42">
        <v>0.16354300089345453</v>
      </c>
      <c r="I834" s="43">
        <v>3.5719143308109258</v>
      </c>
      <c r="J834" s="42">
        <v>0.88569812331613995</v>
      </c>
      <c r="K834" s="43">
        <v>0.35439154756098118</v>
      </c>
      <c r="L834" s="43">
        <v>2359.9797274542002</v>
      </c>
      <c r="M834" s="44">
        <v>1949.4727470229718</v>
      </c>
      <c r="N834" s="44">
        <v>3501.208238187809</v>
      </c>
      <c r="O834" s="45" t="s">
        <v>5074</v>
      </c>
      <c r="P834" s="46">
        <v>2</v>
      </c>
      <c r="Q834" s="43">
        <v>2359.9797274542002</v>
      </c>
      <c r="R834" s="43">
        <v>2368.4246277738066</v>
      </c>
      <c r="S834" s="47">
        <v>0</v>
      </c>
      <c r="T834" s="48">
        <v>2361.1125855650716</v>
      </c>
      <c r="U834" s="48">
        <v>2368.4246277738066</v>
      </c>
      <c r="V834" s="48">
        <v>2345.3851119541368</v>
      </c>
      <c r="W834" s="48">
        <v>2352.0124104329216</v>
      </c>
    </row>
    <row r="835" spans="1:23" ht="13.2" x14ac:dyDescent="0.25">
      <c r="A835" s="41">
        <v>833</v>
      </c>
      <c r="B835" s="42">
        <v>0.14084874379488116</v>
      </c>
      <c r="C835" s="14" t="s">
        <v>5073</v>
      </c>
      <c r="D835" s="42">
        <v>0.72740112046124461</v>
      </c>
      <c r="E835" s="43">
        <v>367.28813445534934</v>
      </c>
      <c r="F835" s="42">
        <v>0.82217169917289712</v>
      </c>
      <c r="G835" s="43">
        <v>10.953397418411168</v>
      </c>
      <c r="H835" s="42">
        <v>0.81970171249457713</v>
      </c>
      <c r="I835" s="43">
        <v>3.6322722261929794</v>
      </c>
      <c r="J835" s="42">
        <v>0.46512598193489296</v>
      </c>
      <c r="K835" s="43">
        <v>2.2348816969259633</v>
      </c>
      <c r="L835" s="43">
        <v>2362.2146091511263</v>
      </c>
      <c r="M835" s="44">
        <v>2556.3254158092313</v>
      </c>
      <c r="N835" s="44">
        <v>4591.1016806918669</v>
      </c>
      <c r="O835" s="45" t="s">
        <v>5074</v>
      </c>
      <c r="P835" s="46">
        <v>3</v>
      </c>
      <c r="Q835" s="43">
        <v>2362.2146091511263</v>
      </c>
      <c r="R835" s="43">
        <v>2373.1680065695373</v>
      </c>
      <c r="S835" s="47">
        <v>0</v>
      </c>
      <c r="T835" s="48">
        <v>2361.1125855650716</v>
      </c>
      <c r="U835" s="48">
        <v>2368.4246277738066</v>
      </c>
      <c r="V835" s="48">
        <v>2373.1680065695373</v>
      </c>
      <c r="W835" s="48">
        <v>2352.0124104329216</v>
      </c>
    </row>
    <row r="836" spans="1:23" ht="13.2" x14ac:dyDescent="0.25">
      <c r="A836" s="41">
        <v>834</v>
      </c>
      <c r="B836" s="42">
        <v>0.29721612357404836</v>
      </c>
      <c r="C836" s="14" t="s">
        <v>5077</v>
      </c>
      <c r="D836" s="42">
        <v>0.14022803871903011</v>
      </c>
      <c r="E836" s="43">
        <v>41.262052348471272</v>
      </c>
      <c r="F836" s="42">
        <v>0.54828473951122014</v>
      </c>
      <c r="G836" s="43">
        <v>3.3831766749653855</v>
      </c>
      <c r="H836" s="42">
        <v>0.12817085959397762</v>
      </c>
      <c r="I836" s="43">
        <v>1.0148057481861972</v>
      </c>
      <c r="J836" s="42">
        <v>7.2201611507777874E-2</v>
      </c>
      <c r="K836" s="43">
        <v>7.6738479219857521</v>
      </c>
      <c r="L836" s="43">
        <v>2369.888457073112</v>
      </c>
      <c r="M836" s="44">
        <v>287.18388434536007</v>
      </c>
      <c r="N836" s="44">
        <v>515.77565435589088</v>
      </c>
      <c r="O836" s="45" t="s">
        <v>5074</v>
      </c>
      <c r="P836" s="46">
        <v>4</v>
      </c>
      <c r="Q836" s="43">
        <v>2369.888457073112</v>
      </c>
      <c r="R836" s="43">
        <v>2373.2716337480774</v>
      </c>
      <c r="S836" s="47">
        <v>0</v>
      </c>
      <c r="T836" s="48">
        <v>2361.1125855650716</v>
      </c>
      <c r="U836" s="48">
        <v>2368.4246277738066</v>
      </c>
      <c r="V836" s="48">
        <v>2373.1680065695373</v>
      </c>
      <c r="W836" s="48">
        <v>2373.2716337480774</v>
      </c>
    </row>
    <row r="837" spans="1:23" ht="13.2" x14ac:dyDescent="0.25">
      <c r="A837" s="41">
        <v>835</v>
      </c>
      <c r="B837" s="42">
        <v>0.859530929876273</v>
      </c>
      <c r="C837" s="14" t="s">
        <v>5081</v>
      </c>
      <c r="D837" s="42">
        <v>0.19318824922348757</v>
      </c>
      <c r="E837" s="43">
        <v>267.72752996893951</v>
      </c>
      <c r="F837" s="42">
        <v>0.14267467155245817</v>
      </c>
      <c r="G837" s="43">
        <v>8.3312479248369335</v>
      </c>
      <c r="H837" s="42">
        <v>2.980180132659236E-2</v>
      </c>
      <c r="I837" s="43">
        <v>3.2441384907243935</v>
      </c>
      <c r="J837" s="42">
        <v>0.31548909205733289</v>
      </c>
      <c r="K837" s="43">
        <v>3.3682661930200806</v>
      </c>
      <c r="L837" s="43">
        <v>2373.2567232661322</v>
      </c>
      <c r="M837" s="44">
        <v>1863.3836085838191</v>
      </c>
      <c r="N837" s="44">
        <v>3346.5941246117436</v>
      </c>
      <c r="O837" s="45" t="s">
        <v>5074</v>
      </c>
      <c r="P837" s="46">
        <v>1</v>
      </c>
      <c r="Q837" s="43">
        <v>2373.2567232661322</v>
      </c>
      <c r="R837" s="43">
        <v>2381.5879711909693</v>
      </c>
      <c r="S837" s="47">
        <v>0</v>
      </c>
      <c r="T837" s="48">
        <v>2381.5879711909693</v>
      </c>
      <c r="U837" s="48">
        <v>2368.4246277738066</v>
      </c>
      <c r="V837" s="48">
        <v>2373.1680065695373</v>
      </c>
      <c r="W837" s="48">
        <v>2373.2716337480774</v>
      </c>
    </row>
    <row r="838" spans="1:23" ht="13.2" x14ac:dyDescent="0.25">
      <c r="A838" s="41">
        <v>836</v>
      </c>
      <c r="B838" s="42">
        <v>0.95309267796254371</v>
      </c>
      <c r="C838" s="14" t="s">
        <v>5080</v>
      </c>
      <c r="D838" s="42">
        <v>6.1921549058482774E-2</v>
      </c>
      <c r="E838" s="43">
        <v>86.548038726462067</v>
      </c>
      <c r="F838" s="42">
        <v>0.43858251694523848</v>
      </c>
      <c r="G838" s="43">
        <v>4.446834559150429</v>
      </c>
      <c r="H838" s="42">
        <v>3.615421896621316E-2</v>
      </c>
      <c r="I838" s="43">
        <v>1.428171153547829</v>
      </c>
      <c r="J838" s="42">
        <v>7.3460681863809316E-2</v>
      </c>
      <c r="K838" s="43">
        <v>7.6233721358352575</v>
      </c>
      <c r="L838" s="43">
        <v>2380.8800954019675</v>
      </c>
      <c r="M838" s="44">
        <v>602.37434953617594</v>
      </c>
      <c r="N838" s="44">
        <v>1081.8504840807759</v>
      </c>
      <c r="O838" s="45" t="s">
        <v>5074</v>
      </c>
      <c r="P838" s="46">
        <v>2</v>
      </c>
      <c r="Q838" s="43">
        <v>2380.8800954019675</v>
      </c>
      <c r="R838" s="43">
        <v>2385.3269299611179</v>
      </c>
      <c r="S838" s="47">
        <v>0</v>
      </c>
      <c r="T838" s="48">
        <v>2381.5879711909693</v>
      </c>
      <c r="U838" s="48">
        <v>2385.3269299611179</v>
      </c>
      <c r="V838" s="48">
        <v>2373.1680065695373</v>
      </c>
      <c r="W838" s="48">
        <v>2373.2716337480774</v>
      </c>
    </row>
    <row r="839" spans="1:23" ht="13.2" x14ac:dyDescent="0.25">
      <c r="A839" s="41">
        <v>837</v>
      </c>
      <c r="B839" s="42">
        <v>0.61361530312039669</v>
      </c>
      <c r="C839" s="14" t="s">
        <v>5076</v>
      </c>
      <c r="D839" s="42">
        <v>0.48456242423717044</v>
      </c>
      <c r="E839" s="43">
        <v>39.845624242371706</v>
      </c>
      <c r="F839" s="42">
        <v>0.74133932205910757</v>
      </c>
      <c r="G839" s="43">
        <v>3.3810160881471893</v>
      </c>
      <c r="H839" s="42">
        <v>0.30718638203441462</v>
      </c>
      <c r="I839" s="43">
        <v>0.75398649615132507</v>
      </c>
      <c r="J839" s="42">
        <v>0.88469177991370285</v>
      </c>
      <c r="K839" s="43">
        <v>0.35771084939762732</v>
      </c>
      <c r="L839" s="43">
        <v>2381.2378062513653</v>
      </c>
      <c r="M839" s="44">
        <v>277.32554472690708</v>
      </c>
      <c r="N839" s="44">
        <v>498.07030302964631</v>
      </c>
      <c r="O839" s="45" t="s">
        <v>5074</v>
      </c>
      <c r="P839" s="46">
        <v>3</v>
      </c>
      <c r="Q839" s="43">
        <v>2381.2378062513653</v>
      </c>
      <c r="R839" s="43">
        <v>2384.6188223395125</v>
      </c>
      <c r="S839" s="47">
        <v>0</v>
      </c>
      <c r="T839" s="48">
        <v>2381.5879711909693</v>
      </c>
      <c r="U839" s="48">
        <v>2385.3269299611179</v>
      </c>
      <c r="V839" s="48">
        <v>2384.6188223395125</v>
      </c>
      <c r="W839" s="48">
        <v>2373.2716337480774</v>
      </c>
    </row>
    <row r="840" spans="1:23" ht="13.2" x14ac:dyDescent="0.25">
      <c r="A840" s="41">
        <v>838</v>
      </c>
      <c r="B840" s="42">
        <v>5.7096802190456916E-2</v>
      </c>
      <c r="C840" s="14" t="s">
        <v>5073</v>
      </c>
      <c r="D840" s="42">
        <v>0.52680201620180256</v>
      </c>
      <c r="E840" s="43">
        <v>343.21624194421634</v>
      </c>
      <c r="F840" s="42">
        <v>0.59815425127658728</v>
      </c>
      <c r="G840" s="43">
        <v>10.252222806495718</v>
      </c>
      <c r="H840" s="42">
        <v>0.17724210730625414</v>
      </c>
      <c r="I840" s="43">
        <v>3.0156192015037657</v>
      </c>
      <c r="J840" s="42">
        <v>0.39079988859165454</v>
      </c>
      <c r="K840" s="43">
        <v>2.7432398361786849</v>
      </c>
      <c r="L840" s="43">
        <v>2383.9810460875442</v>
      </c>
      <c r="M840" s="44">
        <v>2388.7850439317458</v>
      </c>
      <c r="N840" s="44">
        <v>4290.2030243027039</v>
      </c>
      <c r="O840" s="45" t="s">
        <v>5074</v>
      </c>
      <c r="P840" s="46">
        <v>4</v>
      </c>
      <c r="Q840" s="43">
        <v>2383.9810460875442</v>
      </c>
      <c r="R840" s="43">
        <v>2394.2332688940401</v>
      </c>
      <c r="S840" s="47">
        <v>0</v>
      </c>
      <c r="T840" s="48">
        <v>2381.5879711909693</v>
      </c>
      <c r="U840" s="48">
        <v>2385.3269299611179</v>
      </c>
      <c r="V840" s="48">
        <v>2384.6188223395125</v>
      </c>
      <c r="W840" s="48">
        <v>2394.2332688940401</v>
      </c>
    </row>
    <row r="841" spans="1:23" ht="13.2" x14ac:dyDescent="0.25">
      <c r="A841" s="41">
        <v>839</v>
      </c>
      <c r="B841" s="42">
        <v>0.65669396969335803</v>
      </c>
      <c r="C841" s="14" t="s">
        <v>5079</v>
      </c>
      <c r="D841" s="42">
        <v>2.0397827038726689E-3</v>
      </c>
      <c r="E841" s="43">
        <v>7.0061193481116177</v>
      </c>
      <c r="F841" s="42">
        <v>0.74144110956296372</v>
      </c>
      <c r="G841" s="43">
        <v>1.5215585220519261</v>
      </c>
      <c r="H841" s="42">
        <v>0.73503123816802685</v>
      </c>
      <c r="I841" s="43">
        <v>0.50063773106528919</v>
      </c>
      <c r="J841" s="42">
        <v>0.34384758087985573</v>
      </c>
      <c r="K841" s="43">
        <v>3.116954156597957</v>
      </c>
      <c r="L841" s="43">
        <v>2387.098000244142</v>
      </c>
      <c r="M841" s="44">
        <v>48.762590662856859</v>
      </c>
      <c r="N841" s="44">
        <v>87.576491851395218</v>
      </c>
      <c r="O841" s="45" t="s">
        <v>5074</v>
      </c>
      <c r="P841" s="46">
        <v>1</v>
      </c>
      <c r="Q841" s="43">
        <v>2387.098000244142</v>
      </c>
      <c r="R841" s="43">
        <v>2388.6195587661941</v>
      </c>
      <c r="S841" s="47">
        <v>0</v>
      </c>
      <c r="T841" s="48">
        <v>2388.6195587661941</v>
      </c>
      <c r="U841" s="48">
        <v>2385.3269299611179</v>
      </c>
      <c r="V841" s="48">
        <v>2384.6188223395125</v>
      </c>
      <c r="W841" s="48">
        <v>2394.2332688940401</v>
      </c>
    </row>
    <row r="842" spans="1:23" ht="13.2" x14ac:dyDescent="0.25">
      <c r="A842" s="41">
        <v>840</v>
      </c>
      <c r="B842" s="42">
        <v>0.36669998772754331</v>
      </c>
      <c r="C842" s="14" t="s">
        <v>5077</v>
      </c>
      <c r="D842" s="42">
        <v>0.76920813497584695</v>
      </c>
      <c r="E842" s="43">
        <v>46.922873214782626</v>
      </c>
      <c r="F842" s="42">
        <v>0.6430066175027781</v>
      </c>
      <c r="G842" s="43">
        <v>3.4286431764013336</v>
      </c>
      <c r="H842" s="42">
        <v>6.2134757666911351E-2</v>
      </c>
      <c r="I842" s="43">
        <v>0.94956106699301157</v>
      </c>
      <c r="J842" s="42">
        <v>0.32964146152587676</v>
      </c>
      <c r="K842" s="43">
        <v>3.2401450960400671</v>
      </c>
      <c r="L842" s="43">
        <v>2390.3381453401821</v>
      </c>
      <c r="M842" s="44">
        <v>326.58319757488709</v>
      </c>
      <c r="N842" s="44">
        <v>586.53591518478288</v>
      </c>
      <c r="O842" s="45" t="s">
        <v>5074</v>
      </c>
      <c r="P842" s="46">
        <v>3</v>
      </c>
      <c r="Q842" s="43">
        <v>2390.3381453401821</v>
      </c>
      <c r="R842" s="43">
        <v>2393.7667885165833</v>
      </c>
      <c r="S842" s="47">
        <v>0</v>
      </c>
      <c r="T842" s="48">
        <v>2388.6195587661941</v>
      </c>
      <c r="U842" s="48">
        <v>2385.3269299611179</v>
      </c>
      <c r="V842" s="48">
        <v>2393.7667885165833</v>
      </c>
      <c r="W842" s="48">
        <v>2394.2332688940401</v>
      </c>
    </row>
    <row r="843" spans="1:23" ht="13.2" x14ac:dyDescent="0.25">
      <c r="A843" s="41">
        <v>841</v>
      </c>
      <c r="B843" s="42">
        <v>0.92588230591541265</v>
      </c>
      <c r="C843" s="14" t="s">
        <v>5075</v>
      </c>
      <c r="D843" s="42">
        <v>0.71738979812589931</v>
      </c>
      <c r="E843" s="43">
        <v>330.21728586881295</v>
      </c>
      <c r="F843" s="42">
        <v>0.72586145844583472</v>
      </c>
      <c r="G843" s="43">
        <v>9.7944643023072118</v>
      </c>
      <c r="H843" s="42">
        <v>1.6255498871326213E-2</v>
      </c>
      <c r="I843" s="43">
        <v>1.6803080634432428</v>
      </c>
      <c r="J843" s="42">
        <v>0.15639474017377697</v>
      </c>
      <c r="K843" s="43">
        <v>5.4171447650770705</v>
      </c>
      <c r="L843" s="43">
        <v>2395.7552901052591</v>
      </c>
      <c r="M843" s="44">
        <v>2298.312309646938</v>
      </c>
      <c r="N843" s="44">
        <v>4127.7160733601622</v>
      </c>
      <c r="O843" s="45" t="s">
        <v>5074</v>
      </c>
      <c r="P843" s="46">
        <v>2</v>
      </c>
      <c r="Q843" s="43">
        <v>2395.7552901052591</v>
      </c>
      <c r="R843" s="43">
        <v>2405.5497544075661</v>
      </c>
      <c r="S843" s="47">
        <v>0</v>
      </c>
      <c r="T843" s="48">
        <v>2388.6195587661941</v>
      </c>
      <c r="U843" s="48">
        <v>2405.5497544075661</v>
      </c>
      <c r="V843" s="48">
        <v>2393.7667885165833</v>
      </c>
      <c r="W843" s="48">
        <v>2394.2332688940401</v>
      </c>
    </row>
    <row r="844" spans="1:23" ht="13.2" x14ac:dyDescent="0.25">
      <c r="A844" s="41">
        <v>842</v>
      </c>
      <c r="B844" s="42">
        <v>0.42702370203427209</v>
      </c>
      <c r="C844" s="14" t="s">
        <v>5077</v>
      </c>
      <c r="D844" s="42">
        <v>9.9764542700613176E-2</v>
      </c>
      <c r="E844" s="43">
        <v>40.897880884305522</v>
      </c>
      <c r="F844" s="42">
        <v>4.7574684046010805E-2</v>
      </c>
      <c r="G844" s="43">
        <v>3.1428358483420853</v>
      </c>
      <c r="H844" s="42">
        <v>0.72309763204450606</v>
      </c>
      <c r="I844" s="43">
        <v>1.3470041564267756</v>
      </c>
      <c r="J844" s="42">
        <v>0.55811482740478346</v>
      </c>
      <c r="K844" s="43">
        <v>1.7027461427500263</v>
      </c>
      <c r="L844" s="43">
        <v>2397.4580362480092</v>
      </c>
      <c r="M844" s="44">
        <v>284.64925095476644</v>
      </c>
      <c r="N844" s="44">
        <v>511.22351105381904</v>
      </c>
      <c r="O844" s="45" t="s">
        <v>5074</v>
      </c>
      <c r="P844" s="46">
        <v>1</v>
      </c>
      <c r="Q844" s="43">
        <v>2397.4580362480092</v>
      </c>
      <c r="R844" s="43">
        <v>2400.6008720963514</v>
      </c>
      <c r="S844" s="47">
        <v>0</v>
      </c>
      <c r="T844" s="48">
        <v>2400.6008720963514</v>
      </c>
      <c r="U844" s="48">
        <v>2405.5497544075661</v>
      </c>
      <c r="V844" s="48">
        <v>2393.7667885165833</v>
      </c>
      <c r="W844" s="48">
        <v>2394.2332688940401</v>
      </c>
    </row>
    <row r="845" spans="1:23" ht="13.2" x14ac:dyDescent="0.25">
      <c r="A845" s="41">
        <v>843</v>
      </c>
      <c r="B845" s="42">
        <v>0.55522189315185966</v>
      </c>
      <c r="C845" s="14" t="s">
        <v>5076</v>
      </c>
      <c r="D845" s="42">
        <v>0.19383454518105581</v>
      </c>
      <c r="E845" s="43">
        <v>36.938345451810555</v>
      </c>
      <c r="F845" s="42">
        <v>0.91845344282614694</v>
      </c>
      <c r="G845" s="43">
        <v>3.4624885837000274</v>
      </c>
      <c r="H845" s="42">
        <v>0.18905613813039668</v>
      </c>
      <c r="I845" s="43">
        <v>0.69925307778647561</v>
      </c>
      <c r="J845" s="42">
        <v>0.14045744442402266</v>
      </c>
      <c r="K845" s="43">
        <v>5.7309510153270846</v>
      </c>
      <c r="L845" s="43">
        <v>2403.1889872633365</v>
      </c>
      <c r="M845" s="44">
        <v>257.09088434460148</v>
      </c>
      <c r="N845" s="44">
        <v>461.72931814763194</v>
      </c>
      <c r="O845" s="45" t="s">
        <v>5074</v>
      </c>
      <c r="P845" s="46">
        <v>3</v>
      </c>
      <c r="Q845" s="43">
        <v>2403.1889872633365</v>
      </c>
      <c r="R845" s="43">
        <v>2406.6514758470366</v>
      </c>
      <c r="S845" s="47">
        <v>0</v>
      </c>
      <c r="T845" s="48">
        <v>2400.6008720963514</v>
      </c>
      <c r="U845" s="48">
        <v>2405.5497544075661</v>
      </c>
      <c r="V845" s="48">
        <v>2406.6514758470366</v>
      </c>
      <c r="W845" s="48">
        <v>2394.2332688940401</v>
      </c>
    </row>
    <row r="846" spans="1:23" ht="13.2" x14ac:dyDescent="0.25">
      <c r="A846" s="41">
        <v>844</v>
      </c>
      <c r="B846" s="42">
        <v>0.39981584222978717</v>
      </c>
      <c r="C846" s="14" t="s">
        <v>5077</v>
      </c>
      <c r="D846" s="42">
        <v>0.93692348242594092</v>
      </c>
      <c r="E846" s="43">
        <v>48.432311341833469</v>
      </c>
      <c r="F846" s="42">
        <v>3.1720985207576761E-2</v>
      </c>
      <c r="G846" s="43">
        <v>3.1352260728996368</v>
      </c>
      <c r="H846" s="42">
        <v>0.84503858762096551</v>
      </c>
      <c r="I846" s="43">
        <v>1.4359306235653866</v>
      </c>
      <c r="J846" s="42">
        <v>0.32719573347233039</v>
      </c>
      <c r="K846" s="43">
        <v>3.2618882156162132</v>
      </c>
      <c r="L846" s="43">
        <v>2406.4508754789526</v>
      </c>
      <c r="M846" s="44">
        <v>337.08888693916094</v>
      </c>
      <c r="N846" s="44">
        <v>605.40389177291831</v>
      </c>
      <c r="O846" s="45" t="s">
        <v>5074</v>
      </c>
      <c r="P846" s="46">
        <v>4</v>
      </c>
      <c r="Q846" s="43">
        <v>2406.4508754789526</v>
      </c>
      <c r="R846" s="43">
        <v>2409.5861015518522</v>
      </c>
      <c r="S846" s="47">
        <v>0</v>
      </c>
      <c r="T846" s="48">
        <v>2400.6008720963514</v>
      </c>
      <c r="U846" s="48">
        <v>2405.5497544075661</v>
      </c>
      <c r="V846" s="48">
        <v>2406.6514758470366</v>
      </c>
      <c r="W846" s="48">
        <v>2409.5861015518522</v>
      </c>
    </row>
    <row r="847" spans="1:23" ht="13.2" x14ac:dyDescent="0.25">
      <c r="A847" s="41">
        <v>845</v>
      </c>
      <c r="B847" s="42">
        <v>0.95039397662058189</v>
      </c>
      <c r="C847" s="14" t="s">
        <v>5080</v>
      </c>
      <c r="D847" s="42">
        <v>6.070320031638406E-3</v>
      </c>
      <c r="E847" s="43">
        <v>85.151758000790963</v>
      </c>
      <c r="F847" s="42">
        <v>0.67158660882692156</v>
      </c>
      <c r="G847" s="43">
        <v>4.5726567687665378</v>
      </c>
      <c r="H847" s="42">
        <v>0.1721935775932826</v>
      </c>
      <c r="I847" s="43">
        <v>1.6979545679420232</v>
      </c>
      <c r="J847" s="42">
        <v>0.98687940462812751</v>
      </c>
      <c r="K847" s="43">
        <v>3.8561841677260275E-2</v>
      </c>
      <c r="L847" s="43">
        <v>2406.4894373206298</v>
      </c>
      <c r="M847" s="44">
        <v>592.65623568550507</v>
      </c>
      <c r="N847" s="44">
        <v>1064.396975009887</v>
      </c>
      <c r="O847" s="45" t="s">
        <v>5074</v>
      </c>
      <c r="P847" s="46">
        <v>1</v>
      </c>
      <c r="Q847" s="43">
        <v>2406.4894373206298</v>
      </c>
      <c r="R847" s="43">
        <v>2411.0620940893964</v>
      </c>
      <c r="S847" s="47">
        <v>0</v>
      </c>
      <c r="T847" s="48">
        <v>2411.0620940893964</v>
      </c>
      <c r="U847" s="48">
        <v>2405.5497544075661</v>
      </c>
      <c r="V847" s="48">
        <v>2406.6514758470366</v>
      </c>
      <c r="W847" s="48">
        <v>2409.5861015518522</v>
      </c>
    </row>
    <row r="848" spans="1:23" ht="13.2" x14ac:dyDescent="0.25">
      <c r="A848" s="41">
        <v>846</v>
      </c>
      <c r="B848" s="42">
        <v>0.91312457989581142</v>
      </c>
      <c r="C848" s="14" t="s">
        <v>5075</v>
      </c>
      <c r="D848" s="42">
        <v>0.16348702142177476</v>
      </c>
      <c r="E848" s="43">
        <v>291.44409149952423</v>
      </c>
      <c r="F848" s="42">
        <v>0.70646802555139554</v>
      </c>
      <c r="G848" s="43">
        <v>9.7558713708472773</v>
      </c>
      <c r="H848" s="42">
        <v>0.16236688250786013</v>
      </c>
      <c r="I848" s="43">
        <v>2.0698541611813677</v>
      </c>
      <c r="J848" s="42">
        <v>0.20724234180862194</v>
      </c>
      <c r="K848" s="43">
        <v>4.5952304733304938</v>
      </c>
      <c r="L848" s="43">
        <v>2411.0846677939603</v>
      </c>
      <c r="M848" s="44">
        <v>2028.4508768366886</v>
      </c>
      <c r="N848" s="44">
        <v>3643.0511437440528</v>
      </c>
      <c r="O848" s="45" t="s">
        <v>5074</v>
      </c>
      <c r="P848" s="46">
        <v>2</v>
      </c>
      <c r="Q848" s="43">
        <v>2411.0846677939603</v>
      </c>
      <c r="R848" s="43">
        <v>2420.8405391648075</v>
      </c>
      <c r="S848" s="47">
        <v>0</v>
      </c>
      <c r="T848" s="48">
        <v>2411.0620940893964</v>
      </c>
      <c r="U848" s="48">
        <v>2420.8405391648075</v>
      </c>
      <c r="V848" s="48">
        <v>2406.6514758470366</v>
      </c>
      <c r="W848" s="48">
        <v>2409.5861015518522</v>
      </c>
    </row>
    <row r="849" spans="1:23" ht="13.2" x14ac:dyDescent="0.25">
      <c r="A849" s="41">
        <v>847</v>
      </c>
      <c r="B849" s="42">
        <v>0.5311349423281545</v>
      </c>
      <c r="C849" s="14" t="s">
        <v>5076</v>
      </c>
      <c r="D849" s="42">
        <v>0.86201471735817137</v>
      </c>
      <c r="E849" s="43">
        <v>43.620147173581714</v>
      </c>
      <c r="F849" s="42">
        <v>0.51954655606278521</v>
      </c>
      <c r="G849" s="43">
        <v>3.2789914157888811</v>
      </c>
      <c r="H849" s="42">
        <v>0.70336635350406462</v>
      </c>
      <c r="I849" s="43">
        <v>0.91180315577914128</v>
      </c>
      <c r="J849" s="42">
        <v>0.35170229913280454</v>
      </c>
      <c r="K849" s="43">
        <v>3.0510078899994326</v>
      </c>
      <c r="L849" s="43">
        <v>2414.1356756839596</v>
      </c>
      <c r="M849" s="44">
        <v>303.5962243281287</v>
      </c>
      <c r="N849" s="44">
        <v>545.25183966977147</v>
      </c>
      <c r="O849" s="45" t="s">
        <v>5074</v>
      </c>
      <c r="P849" s="46">
        <v>3</v>
      </c>
      <c r="Q849" s="43">
        <v>2414.1356756839596</v>
      </c>
      <c r="R849" s="43">
        <v>2417.4146670997484</v>
      </c>
      <c r="S849" s="47">
        <v>0</v>
      </c>
      <c r="T849" s="48">
        <v>2411.0620940893964</v>
      </c>
      <c r="U849" s="48">
        <v>2420.8405391648075</v>
      </c>
      <c r="V849" s="48">
        <v>2417.4146670997484</v>
      </c>
      <c r="W849" s="48">
        <v>2409.5861015518522</v>
      </c>
    </row>
    <row r="850" spans="1:23" ht="13.2" x14ac:dyDescent="0.25">
      <c r="A850" s="41">
        <v>848</v>
      </c>
      <c r="B850" s="42">
        <v>0.7415999773617834</v>
      </c>
      <c r="C850" s="14" t="s">
        <v>5079</v>
      </c>
      <c r="D850" s="42">
        <v>0.17445406838061944</v>
      </c>
      <c r="E850" s="43">
        <v>7.5233622051418578</v>
      </c>
      <c r="F850" s="42">
        <v>0.63030719646732658</v>
      </c>
      <c r="G850" s="43">
        <v>1.509333791611406</v>
      </c>
      <c r="H850" s="42">
        <v>0.55833572268408527</v>
      </c>
      <c r="I850" s="43">
        <v>0.4426099426990483</v>
      </c>
      <c r="J850" s="42">
        <v>0.24093667289285767</v>
      </c>
      <c r="K850" s="43">
        <v>4.1553902134320921</v>
      </c>
      <c r="L850" s="43">
        <v>2418.2910658973915</v>
      </c>
      <c r="M850" s="44">
        <v>52.362600947787328</v>
      </c>
      <c r="N850" s="44">
        <v>94.042027564273226</v>
      </c>
      <c r="O850" s="45" t="s">
        <v>5074</v>
      </c>
      <c r="P850" s="46">
        <v>4</v>
      </c>
      <c r="Q850" s="43">
        <v>2418.2910658973915</v>
      </c>
      <c r="R850" s="43">
        <v>2419.8003996890029</v>
      </c>
      <c r="S850" s="47">
        <v>0</v>
      </c>
      <c r="T850" s="48">
        <v>2411.0620940893964</v>
      </c>
      <c r="U850" s="48">
        <v>2420.8405391648075</v>
      </c>
      <c r="V850" s="48">
        <v>2417.4146670997484</v>
      </c>
      <c r="W850" s="48">
        <v>2419.8003996890029</v>
      </c>
    </row>
    <row r="851" spans="1:23" ht="13.2" x14ac:dyDescent="0.25">
      <c r="A851" s="41">
        <v>849</v>
      </c>
      <c r="B851" s="42">
        <v>0.58758292979913895</v>
      </c>
      <c r="C851" s="14" t="s">
        <v>5076</v>
      </c>
      <c r="D851" s="42">
        <v>0.94835985775494946</v>
      </c>
      <c r="E851" s="43">
        <v>44.483598577549493</v>
      </c>
      <c r="F851" s="42">
        <v>0.16436550308222209</v>
      </c>
      <c r="G851" s="43">
        <v>3.1156081314178223</v>
      </c>
      <c r="H851" s="42">
        <v>0.96115388160625193</v>
      </c>
      <c r="I851" s="43">
        <v>1.0957075594769714</v>
      </c>
      <c r="J851" s="42">
        <v>0.13691659231526618</v>
      </c>
      <c r="K851" s="43">
        <v>5.8054988431366024</v>
      </c>
      <c r="L851" s="43">
        <v>2424.0965647405283</v>
      </c>
      <c r="M851" s="44">
        <v>309.6058460997445</v>
      </c>
      <c r="N851" s="44">
        <v>556.04498221936865</v>
      </c>
      <c r="O851" s="45" t="s">
        <v>5074</v>
      </c>
      <c r="P851" s="46">
        <v>1</v>
      </c>
      <c r="Q851" s="43">
        <v>2424.0965647405283</v>
      </c>
      <c r="R851" s="43">
        <v>2427.2121728719462</v>
      </c>
      <c r="S851" s="47">
        <v>0</v>
      </c>
      <c r="T851" s="48">
        <v>2427.2121728719462</v>
      </c>
      <c r="U851" s="48">
        <v>2420.8405391648075</v>
      </c>
      <c r="V851" s="48">
        <v>2417.4146670997484</v>
      </c>
      <c r="W851" s="48">
        <v>2419.8003996890029</v>
      </c>
    </row>
    <row r="852" spans="1:23" ht="13.2" x14ac:dyDescent="0.25">
      <c r="A852" s="41">
        <v>850</v>
      </c>
      <c r="B852" s="42">
        <v>0.5629595143548024</v>
      </c>
      <c r="C852" s="14" t="s">
        <v>5076</v>
      </c>
      <c r="D852" s="42">
        <v>0.6577673734434728</v>
      </c>
      <c r="E852" s="43">
        <v>41.577673734434725</v>
      </c>
      <c r="F852" s="42">
        <v>0.70941694253562804</v>
      </c>
      <c r="G852" s="43">
        <v>3.3663317935663888</v>
      </c>
      <c r="H852" s="42">
        <v>0.70841006222572644</v>
      </c>
      <c r="I852" s="43">
        <v>0.9142637884747602</v>
      </c>
      <c r="J852" s="42">
        <v>0.73096222324807303</v>
      </c>
      <c r="K852" s="43">
        <v>0.91501751460126268</v>
      </c>
      <c r="L852" s="43">
        <v>2425.0115822551297</v>
      </c>
      <c r="M852" s="44">
        <v>289.38060919166571</v>
      </c>
      <c r="N852" s="44">
        <v>519.72092168043412</v>
      </c>
      <c r="O852" s="45" t="s">
        <v>5074</v>
      </c>
      <c r="P852" s="46">
        <v>3</v>
      </c>
      <c r="Q852" s="43">
        <v>2425.0115822551297</v>
      </c>
      <c r="R852" s="43">
        <v>2428.3779140486963</v>
      </c>
      <c r="S852" s="47">
        <v>0</v>
      </c>
      <c r="T852" s="48">
        <v>2427.2121728719462</v>
      </c>
      <c r="U852" s="48">
        <v>2420.8405391648075</v>
      </c>
      <c r="V852" s="48">
        <v>2428.3779140486963</v>
      </c>
      <c r="W852" s="48">
        <v>2419.8003996890029</v>
      </c>
    </row>
    <row r="853" spans="1:23" ht="13.2" x14ac:dyDescent="0.25">
      <c r="A853" s="41">
        <v>851</v>
      </c>
      <c r="B853" s="42">
        <v>0.36678794462549869</v>
      </c>
      <c r="C853" s="14" t="s">
        <v>5077</v>
      </c>
      <c r="D853" s="42">
        <v>0.17566370413436727</v>
      </c>
      <c r="E853" s="43">
        <v>41.580973337209308</v>
      </c>
      <c r="F853" s="42">
        <v>9.9260203586546802E-2</v>
      </c>
      <c r="G853" s="43">
        <v>3.1676448977215426</v>
      </c>
      <c r="H853" s="42">
        <v>0.56251084271935314</v>
      </c>
      <c r="I853" s="43">
        <v>1.256299514563832</v>
      </c>
      <c r="J853" s="42">
        <v>0.83261337728826956</v>
      </c>
      <c r="K853" s="43">
        <v>0.53484927727168152</v>
      </c>
      <c r="L853" s="43">
        <v>2425.5464315324016</v>
      </c>
      <c r="M853" s="44">
        <v>289.40357442697677</v>
      </c>
      <c r="N853" s="44">
        <v>519.76216671511634</v>
      </c>
      <c r="O853" s="45" t="s">
        <v>5074</v>
      </c>
      <c r="P853" s="46">
        <v>4</v>
      </c>
      <c r="Q853" s="43">
        <v>2425.5464315324016</v>
      </c>
      <c r="R853" s="43">
        <v>2428.714076430123</v>
      </c>
      <c r="S853" s="47">
        <v>0</v>
      </c>
      <c r="T853" s="48">
        <v>2427.2121728719462</v>
      </c>
      <c r="U853" s="48">
        <v>2420.8405391648075</v>
      </c>
      <c r="V853" s="48">
        <v>2428.3779140486963</v>
      </c>
      <c r="W853" s="48">
        <v>2428.714076430123</v>
      </c>
    </row>
    <row r="854" spans="1:23" ht="13.2" x14ac:dyDescent="0.25">
      <c r="A854" s="41">
        <v>852</v>
      </c>
      <c r="B854" s="42">
        <v>0.25396670273224203</v>
      </c>
      <c r="C854" s="14" t="s">
        <v>5077</v>
      </c>
      <c r="D854" s="42">
        <v>0.39800133108999641</v>
      </c>
      <c r="E854" s="43">
        <v>43.58201197980997</v>
      </c>
      <c r="F854" s="42">
        <v>0.63776852220192948</v>
      </c>
      <c r="G854" s="43">
        <v>3.4261288906569263</v>
      </c>
      <c r="H854" s="42">
        <v>0.12155411258412251</v>
      </c>
      <c r="I854" s="43">
        <v>1.0091876682079612</v>
      </c>
      <c r="J854" s="42">
        <v>0.33138503242814216</v>
      </c>
      <c r="K854" s="43">
        <v>3.224742597606693</v>
      </c>
      <c r="L854" s="43">
        <v>2428.7711741300081</v>
      </c>
      <c r="M854" s="44">
        <v>303.3308033794774</v>
      </c>
      <c r="N854" s="44">
        <v>544.7751497476246</v>
      </c>
      <c r="O854" s="45" t="s">
        <v>5074</v>
      </c>
      <c r="P854" s="46">
        <v>2</v>
      </c>
      <c r="Q854" s="43">
        <v>2428.7711741300081</v>
      </c>
      <c r="R854" s="43">
        <v>2432.197303020665</v>
      </c>
      <c r="S854" s="47">
        <v>0</v>
      </c>
      <c r="T854" s="48">
        <v>2427.2121728719462</v>
      </c>
      <c r="U854" s="48">
        <v>2432.197303020665</v>
      </c>
      <c r="V854" s="48">
        <v>2428.3779140486963</v>
      </c>
      <c r="W854" s="48">
        <v>2428.714076430123</v>
      </c>
    </row>
    <row r="855" spans="1:23" ht="13.2" x14ac:dyDescent="0.25">
      <c r="A855" s="41">
        <v>853</v>
      </c>
      <c r="B855" s="42">
        <v>0.14323839924449028</v>
      </c>
      <c r="C855" s="14" t="s">
        <v>5073</v>
      </c>
      <c r="D855" s="42">
        <v>0.36863838106796071</v>
      </c>
      <c r="E855" s="43">
        <v>324.23660572815527</v>
      </c>
      <c r="F855" s="42">
        <v>0.27338309319381748</v>
      </c>
      <c r="G855" s="43">
        <v>9.2356890816966484</v>
      </c>
      <c r="H855" s="42">
        <v>0.46533438491883428</v>
      </c>
      <c r="I855" s="43">
        <v>3.3354648869810459</v>
      </c>
      <c r="J855" s="42">
        <v>0.18919296850878417</v>
      </c>
      <c r="K855" s="43">
        <v>4.8612782113426665</v>
      </c>
      <c r="L855" s="43">
        <v>2433.6324523413509</v>
      </c>
      <c r="M855" s="44">
        <v>2256.6867758679605</v>
      </c>
      <c r="N855" s="44">
        <v>4052.9575716019408</v>
      </c>
      <c r="O855" s="45" t="s">
        <v>5074</v>
      </c>
      <c r="P855" s="46">
        <v>1</v>
      </c>
      <c r="Q855" s="43">
        <v>2433.6324523413509</v>
      </c>
      <c r="R855" s="43">
        <v>2442.8681414230477</v>
      </c>
      <c r="S855" s="47">
        <v>0</v>
      </c>
      <c r="T855" s="48">
        <v>2442.8681414230477</v>
      </c>
      <c r="U855" s="48">
        <v>2432.197303020665</v>
      </c>
      <c r="V855" s="48">
        <v>2428.3779140486963</v>
      </c>
      <c r="W855" s="48">
        <v>2428.714076430123</v>
      </c>
    </row>
    <row r="856" spans="1:23" ht="13.2" x14ac:dyDescent="0.25">
      <c r="A856" s="41">
        <v>854</v>
      </c>
      <c r="B856" s="42">
        <v>0.89804302989414098</v>
      </c>
      <c r="C856" s="14" t="s">
        <v>5075</v>
      </c>
      <c r="D856" s="42">
        <v>0.54647049100439549</v>
      </c>
      <c r="E856" s="43">
        <v>318.25293437030768</v>
      </c>
      <c r="F856" s="42">
        <v>0.26617503737387016</v>
      </c>
      <c r="G856" s="43">
        <v>8.8796883243740012</v>
      </c>
      <c r="H856" s="42">
        <v>0.47622068714174476</v>
      </c>
      <c r="I856" s="43">
        <v>2.4759310294705714</v>
      </c>
      <c r="J856" s="42">
        <v>0.71140055857198337</v>
      </c>
      <c r="K856" s="43">
        <v>0.99421791035099372</v>
      </c>
      <c r="L856" s="43">
        <v>2434.6266702517019</v>
      </c>
      <c r="M856" s="44">
        <v>2215.0404232173414</v>
      </c>
      <c r="N856" s="44">
        <v>3978.1616796288463</v>
      </c>
      <c r="O856" s="45" t="s">
        <v>5074</v>
      </c>
      <c r="P856" s="46">
        <v>3</v>
      </c>
      <c r="Q856" s="43">
        <v>2434.6266702517019</v>
      </c>
      <c r="R856" s="43">
        <v>2443.5063585760759</v>
      </c>
      <c r="S856" s="47">
        <v>0</v>
      </c>
      <c r="T856" s="48">
        <v>2442.8681414230477</v>
      </c>
      <c r="U856" s="48">
        <v>2432.197303020665</v>
      </c>
      <c r="V856" s="48">
        <v>2443.5063585760759</v>
      </c>
      <c r="W856" s="48">
        <v>2428.714076430123</v>
      </c>
    </row>
    <row r="857" spans="1:23" ht="13.2" x14ac:dyDescent="0.25">
      <c r="A857" s="41">
        <v>855</v>
      </c>
      <c r="B857" s="42">
        <v>0.48689297655918307</v>
      </c>
      <c r="C857" s="14" t="s">
        <v>5077</v>
      </c>
      <c r="D857" s="42">
        <v>3.943120131242611E-3</v>
      </c>
      <c r="E857" s="43">
        <v>40.035488081181185</v>
      </c>
      <c r="F857" s="42">
        <v>0.89417240251515639</v>
      </c>
      <c r="G857" s="43">
        <v>3.5492027532072754</v>
      </c>
      <c r="H857" s="42">
        <v>0.79043248658554277</v>
      </c>
      <c r="I857" s="43">
        <v>1.3929081879363994</v>
      </c>
      <c r="J857" s="42">
        <v>0.10686974651500106</v>
      </c>
      <c r="K857" s="43">
        <v>6.5288890754702908</v>
      </c>
      <c r="L857" s="43">
        <v>2441.1555593271723</v>
      </c>
      <c r="M857" s="44">
        <v>278.64699704502107</v>
      </c>
      <c r="N857" s="44">
        <v>500.44360101476479</v>
      </c>
      <c r="O857" s="45" t="s">
        <v>5074</v>
      </c>
      <c r="P857" s="46">
        <v>4</v>
      </c>
      <c r="Q857" s="43">
        <v>2441.1555593271723</v>
      </c>
      <c r="R857" s="43">
        <v>2444.7047620803796</v>
      </c>
      <c r="S857" s="47">
        <v>0</v>
      </c>
      <c r="T857" s="48">
        <v>2442.8681414230477</v>
      </c>
      <c r="U857" s="48">
        <v>2432.197303020665</v>
      </c>
      <c r="V857" s="48">
        <v>2443.5063585760759</v>
      </c>
      <c r="W857" s="48">
        <v>2444.7047620803796</v>
      </c>
    </row>
    <row r="858" spans="1:23" ht="13.2" x14ac:dyDescent="0.25">
      <c r="A858" s="41">
        <v>856</v>
      </c>
      <c r="B858" s="42">
        <v>0.83695382803536666</v>
      </c>
      <c r="C858" s="14" t="s">
        <v>5081</v>
      </c>
      <c r="D858" s="42">
        <v>4.274651456752164E-2</v>
      </c>
      <c r="E858" s="43">
        <v>261.70986058270086</v>
      </c>
      <c r="F858" s="42">
        <v>0.11429644986721521</v>
      </c>
      <c r="G858" s="43">
        <v>8.3031534853685418</v>
      </c>
      <c r="H858" s="42">
        <v>0.77035117231791428</v>
      </c>
      <c r="I858" s="43">
        <v>4.3222849748130328</v>
      </c>
      <c r="J858" s="42">
        <v>0.25723842217458337</v>
      </c>
      <c r="K858" s="43">
        <v>3.9642391573864311</v>
      </c>
      <c r="L858" s="43">
        <v>2445.1197984845589</v>
      </c>
      <c r="M858" s="44">
        <v>1821.500629655598</v>
      </c>
      <c r="N858" s="44">
        <v>3271.3732572837607</v>
      </c>
      <c r="O858" s="45" t="s">
        <v>5074</v>
      </c>
      <c r="P858" s="46">
        <v>2</v>
      </c>
      <c r="Q858" s="43">
        <v>2445.1197984845589</v>
      </c>
      <c r="R858" s="43">
        <v>2453.4229519699275</v>
      </c>
      <c r="S858" s="47">
        <v>0</v>
      </c>
      <c r="T858" s="48">
        <v>2442.8681414230477</v>
      </c>
      <c r="U858" s="48">
        <v>2453.4229519699275</v>
      </c>
      <c r="V858" s="48">
        <v>2443.5063585760759</v>
      </c>
      <c r="W858" s="48">
        <v>2444.7047620803796</v>
      </c>
    </row>
    <row r="859" spans="1:23" ht="13.2" x14ac:dyDescent="0.25">
      <c r="A859" s="41">
        <v>857</v>
      </c>
      <c r="B859" s="42">
        <v>0.2568060943190037</v>
      </c>
      <c r="C859" s="14" t="s">
        <v>5077</v>
      </c>
      <c r="D859" s="42">
        <v>0.63628228550603716</v>
      </c>
      <c r="E859" s="43">
        <v>45.726540569554331</v>
      </c>
      <c r="F859" s="42">
        <v>0.24341788247386825</v>
      </c>
      <c r="G859" s="43">
        <v>3.236840583587457</v>
      </c>
      <c r="H859" s="42">
        <v>0.62296076147954949</v>
      </c>
      <c r="I859" s="43">
        <v>1.2880926592858502</v>
      </c>
      <c r="J859" s="42">
        <v>0.23363769298123088</v>
      </c>
      <c r="K859" s="43">
        <v>4.2452078368014465</v>
      </c>
      <c r="L859" s="43">
        <v>2449.3650063213604</v>
      </c>
      <c r="M859" s="44">
        <v>318.25672236409815</v>
      </c>
      <c r="N859" s="44">
        <v>571.58175711942908</v>
      </c>
      <c r="O859" s="45" t="s">
        <v>5074</v>
      </c>
      <c r="P859" s="46">
        <v>1</v>
      </c>
      <c r="Q859" s="43">
        <v>2449.3650063213604</v>
      </c>
      <c r="R859" s="43">
        <v>2452.6018469049477</v>
      </c>
      <c r="S859" s="47">
        <v>0</v>
      </c>
      <c r="T859" s="48">
        <v>2452.6018469049477</v>
      </c>
      <c r="U859" s="48">
        <v>2453.4229519699275</v>
      </c>
      <c r="V859" s="48">
        <v>2443.5063585760759</v>
      </c>
      <c r="W859" s="48">
        <v>2444.7047620803796</v>
      </c>
    </row>
    <row r="860" spans="1:23" ht="13.2" x14ac:dyDescent="0.25">
      <c r="A860" s="41">
        <v>858</v>
      </c>
      <c r="B860" s="42">
        <v>0.25304552924495449</v>
      </c>
      <c r="C860" s="14" t="s">
        <v>5077</v>
      </c>
      <c r="D860" s="42">
        <v>8.1702403762239223E-2</v>
      </c>
      <c r="E860" s="43">
        <v>40.735321633860153</v>
      </c>
      <c r="F860" s="42">
        <v>0.16575828714564364</v>
      </c>
      <c r="G860" s="43">
        <v>3.199563977829909</v>
      </c>
      <c r="H860" s="42">
        <v>0.28504704836991013</v>
      </c>
      <c r="I860" s="43">
        <v>1.1203387853713123</v>
      </c>
      <c r="J860" s="42">
        <v>0.4103238705593738</v>
      </c>
      <c r="K860" s="43">
        <v>2.6009007384503948</v>
      </c>
      <c r="L860" s="43">
        <v>2451.9659070598109</v>
      </c>
      <c r="M860" s="44">
        <v>283.51783857166669</v>
      </c>
      <c r="N860" s="44">
        <v>509.19152042325192</v>
      </c>
      <c r="O860" s="45" t="s">
        <v>5074</v>
      </c>
      <c r="P860" s="46">
        <v>3</v>
      </c>
      <c r="Q860" s="43">
        <v>2451.9659070598109</v>
      </c>
      <c r="R860" s="43">
        <v>2455.1654710376406</v>
      </c>
      <c r="S860" s="47">
        <v>0</v>
      </c>
      <c r="T860" s="48">
        <v>2452.6018469049477</v>
      </c>
      <c r="U860" s="48">
        <v>2453.4229519699275</v>
      </c>
      <c r="V860" s="48">
        <v>2455.1654710376406</v>
      </c>
      <c r="W860" s="48">
        <v>2444.7047620803796</v>
      </c>
    </row>
    <row r="861" spans="1:23" ht="13.2" x14ac:dyDescent="0.25">
      <c r="A861" s="41">
        <v>859</v>
      </c>
      <c r="B861" s="42">
        <v>0.81277878760023914</v>
      </c>
      <c r="C861" s="14" t="s">
        <v>5078</v>
      </c>
      <c r="D861" s="42">
        <v>8.3566234020314295E-2</v>
      </c>
      <c r="E861" s="43">
        <v>173.34264936081257</v>
      </c>
      <c r="F861" s="42">
        <v>0.55781860954957951</v>
      </c>
      <c r="G861" s="43">
        <v>5.9276149346901175</v>
      </c>
      <c r="H861" s="42">
        <v>0.49319645971674309</v>
      </c>
      <c r="I861" s="43">
        <v>3.1214089525670734</v>
      </c>
      <c r="J861" s="42">
        <v>0.30924595767131352</v>
      </c>
      <c r="K861" s="43">
        <v>3.4266228881438496</v>
      </c>
      <c r="L861" s="43">
        <v>2455.3925299479547</v>
      </c>
      <c r="M861" s="44">
        <v>1206.4648395512554</v>
      </c>
      <c r="N861" s="44">
        <v>2166.7831170101572</v>
      </c>
      <c r="O861" s="45" t="s">
        <v>5074</v>
      </c>
      <c r="P861" s="46">
        <v>4</v>
      </c>
      <c r="Q861" s="43">
        <v>2455.3925299479547</v>
      </c>
      <c r="R861" s="43">
        <v>2461.3201448826449</v>
      </c>
      <c r="S861" s="47">
        <v>0</v>
      </c>
      <c r="T861" s="48">
        <v>2452.6018469049477</v>
      </c>
      <c r="U861" s="48">
        <v>2453.4229519699275</v>
      </c>
      <c r="V861" s="48">
        <v>2455.1654710376406</v>
      </c>
      <c r="W861" s="48">
        <v>2461.3201448826449</v>
      </c>
    </row>
    <row r="862" spans="1:23" ht="13.2" x14ac:dyDescent="0.25">
      <c r="A862" s="41">
        <v>860</v>
      </c>
      <c r="B862" s="42">
        <v>9.9828789057130357E-2</v>
      </c>
      <c r="C862" s="14" t="s">
        <v>5073</v>
      </c>
      <c r="D862" s="42">
        <v>0.9872412658237113</v>
      </c>
      <c r="E862" s="43">
        <v>398.46895189884538</v>
      </c>
      <c r="F862" s="42">
        <v>0.24013115895918158</v>
      </c>
      <c r="G862" s="43">
        <v>9.1316105275422395</v>
      </c>
      <c r="H862" s="42">
        <v>0.78950247764098569</v>
      </c>
      <c r="I862" s="43">
        <v>3.6026674670137608</v>
      </c>
      <c r="J862" s="42">
        <v>8.3731307687112733E-2</v>
      </c>
      <c r="K862" s="43">
        <v>7.2412914598062059</v>
      </c>
      <c r="L862" s="43">
        <v>2462.6338214077609</v>
      </c>
      <c r="M862" s="44">
        <v>2773.3439052159638</v>
      </c>
      <c r="N862" s="44">
        <v>4980.8618987355676</v>
      </c>
      <c r="O862" s="45" t="s">
        <v>5074</v>
      </c>
      <c r="P862" s="46">
        <v>1</v>
      </c>
      <c r="Q862" s="43">
        <v>2462.6338214077609</v>
      </c>
      <c r="R862" s="43">
        <v>2471.7654319353032</v>
      </c>
      <c r="S862" s="47">
        <v>0</v>
      </c>
      <c r="T862" s="48">
        <v>2471.7654319353032</v>
      </c>
      <c r="U862" s="48">
        <v>2453.4229519699275</v>
      </c>
      <c r="V862" s="48">
        <v>2455.1654710376406</v>
      </c>
      <c r="W862" s="48">
        <v>2461.3201448826449</v>
      </c>
    </row>
    <row r="863" spans="1:23" ht="13.2" x14ac:dyDescent="0.25">
      <c r="A863" s="41">
        <v>861</v>
      </c>
      <c r="B863" s="42">
        <v>0.32706383724094545</v>
      </c>
      <c r="C863" s="14" t="s">
        <v>5077</v>
      </c>
      <c r="D863" s="42">
        <v>0.40581943067061688</v>
      </c>
      <c r="E863" s="43">
        <v>43.652374876035552</v>
      </c>
      <c r="F863" s="42">
        <v>5.9972954476239605E-2</v>
      </c>
      <c r="G863" s="43">
        <v>3.1487870181485951</v>
      </c>
      <c r="H863" s="42">
        <v>0.95418550863591278</v>
      </c>
      <c r="I863" s="43">
        <v>1.5564154565636006</v>
      </c>
      <c r="J863" s="42">
        <v>0.10589813865064557</v>
      </c>
      <c r="K863" s="43">
        <v>6.5555550452858409</v>
      </c>
      <c r="L863" s="43">
        <v>2469.1893764530469</v>
      </c>
      <c r="M863" s="44">
        <v>303.82052913720742</v>
      </c>
      <c r="N863" s="44">
        <v>545.65468595044445</v>
      </c>
      <c r="O863" s="45" t="s">
        <v>5074</v>
      </c>
      <c r="P863" s="46">
        <v>2</v>
      </c>
      <c r="Q863" s="43">
        <v>2469.1893764530469</v>
      </c>
      <c r="R863" s="43">
        <v>2472.3381634711955</v>
      </c>
      <c r="S863" s="47">
        <v>0</v>
      </c>
      <c r="T863" s="48">
        <v>2471.7654319353032</v>
      </c>
      <c r="U863" s="48">
        <v>2472.3381634711955</v>
      </c>
      <c r="V863" s="48">
        <v>2455.1654710376406</v>
      </c>
      <c r="W863" s="48">
        <v>2461.3201448826449</v>
      </c>
    </row>
    <row r="864" spans="1:23" ht="13.2" x14ac:dyDescent="0.25">
      <c r="A864" s="41">
        <v>862</v>
      </c>
      <c r="B864" s="42">
        <v>0.57137341172032685</v>
      </c>
      <c r="C864" s="14" t="s">
        <v>5076</v>
      </c>
      <c r="D864" s="42">
        <v>0.80027972292168048</v>
      </c>
      <c r="E864" s="43">
        <v>43.002797229216803</v>
      </c>
      <c r="F864" s="42">
        <v>7.7932156193038518E-2</v>
      </c>
      <c r="G864" s="43">
        <v>3.0758487918487978</v>
      </c>
      <c r="H864" s="42">
        <v>0.49442316335366254</v>
      </c>
      <c r="I864" s="43">
        <v>0.82375338637939277</v>
      </c>
      <c r="J864" s="42">
        <v>0.18811720106197391</v>
      </c>
      <c r="K864" s="43">
        <v>4.8779273006928543</v>
      </c>
      <c r="L864" s="43">
        <v>2474.0673037537399</v>
      </c>
      <c r="M864" s="44">
        <v>299.29946871534895</v>
      </c>
      <c r="N864" s="44">
        <v>537.53496536521004</v>
      </c>
      <c r="O864" s="45" t="s">
        <v>5074</v>
      </c>
      <c r="P864" s="46">
        <v>3</v>
      </c>
      <c r="Q864" s="43">
        <v>2474.0673037537399</v>
      </c>
      <c r="R864" s="43">
        <v>2477.1431525455887</v>
      </c>
      <c r="S864" s="47">
        <v>0</v>
      </c>
      <c r="T864" s="48">
        <v>2471.7654319353032</v>
      </c>
      <c r="U864" s="48">
        <v>2472.3381634711955</v>
      </c>
      <c r="V864" s="48">
        <v>2477.1431525455887</v>
      </c>
      <c r="W864" s="48">
        <v>2461.3201448826449</v>
      </c>
    </row>
    <row r="865" spans="1:23" ht="13.2" x14ac:dyDescent="0.25">
      <c r="A865" s="41">
        <v>863</v>
      </c>
      <c r="B865" s="42">
        <v>0.25623362802724986</v>
      </c>
      <c r="C865" s="14" t="s">
        <v>5077</v>
      </c>
      <c r="D865" s="42">
        <v>0.75182800402484273</v>
      </c>
      <c r="E865" s="43">
        <v>46.766452036223583</v>
      </c>
      <c r="F865" s="42">
        <v>0.98053539729702077</v>
      </c>
      <c r="G865" s="43">
        <v>3.5906569907025698</v>
      </c>
      <c r="H865" s="42">
        <v>0.15432176932428116</v>
      </c>
      <c r="I865" s="43">
        <v>1.0357028573368199</v>
      </c>
      <c r="J865" s="42">
        <v>0.91522044498250843</v>
      </c>
      <c r="K865" s="43">
        <v>0.2586578664112848</v>
      </c>
      <c r="L865" s="43">
        <v>2474.3259616201512</v>
      </c>
      <c r="M865" s="44">
        <v>325.49450617211613</v>
      </c>
      <c r="N865" s="44">
        <v>584.58065045279477</v>
      </c>
      <c r="O865" s="45" t="s">
        <v>5074</v>
      </c>
      <c r="P865" s="46">
        <v>4</v>
      </c>
      <c r="Q865" s="43">
        <v>2474.3259616201512</v>
      </c>
      <c r="R865" s="43">
        <v>2477.9166186108537</v>
      </c>
      <c r="S865" s="47">
        <v>0</v>
      </c>
      <c r="T865" s="48">
        <v>2471.7654319353032</v>
      </c>
      <c r="U865" s="48">
        <v>2472.3381634711955</v>
      </c>
      <c r="V865" s="48">
        <v>2477.1431525455887</v>
      </c>
      <c r="W865" s="48">
        <v>2477.9166186108537</v>
      </c>
    </row>
    <row r="866" spans="1:23" ht="13.2" x14ac:dyDescent="0.25">
      <c r="A866" s="41">
        <v>864</v>
      </c>
      <c r="B866" s="42">
        <v>0.78332045571101849</v>
      </c>
      <c r="C866" s="14" t="s">
        <v>5078</v>
      </c>
      <c r="D866" s="42">
        <v>0.95367832898799254</v>
      </c>
      <c r="E866" s="43">
        <v>208.14713315951971</v>
      </c>
      <c r="F866" s="42">
        <v>0.89269468416119679</v>
      </c>
      <c r="G866" s="43">
        <v>6.2323521625866896</v>
      </c>
      <c r="H866" s="42">
        <v>9.1289361981344117E-2</v>
      </c>
      <c r="I866" s="43">
        <v>2.4777273332700993</v>
      </c>
      <c r="J866" s="42">
        <v>0.89738794271712563</v>
      </c>
      <c r="K866" s="43">
        <v>0.31610809146279423</v>
      </c>
      <c r="L866" s="43">
        <v>2474.6420697116141</v>
      </c>
      <c r="M866" s="44">
        <v>1448.7040467902573</v>
      </c>
      <c r="N866" s="44">
        <v>2601.8391644939966</v>
      </c>
      <c r="O866" s="45" t="s">
        <v>5074</v>
      </c>
      <c r="P866" s="46">
        <v>1</v>
      </c>
      <c r="Q866" s="43">
        <v>2474.6420697116141</v>
      </c>
      <c r="R866" s="43">
        <v>2480.8744218742008</v>
      </c>
      <c r="S866" s="47">
        <v>0</v>
      </c>
      <c r="T866" s="48">
        <v>2480.8744218742008</v>
      </c>
      <c r="U866" s="48">
        <v>2472.3381634711955</v>
      </c>
      <c r="V866" s="48">
        <v>2477.1431525455887</v>
      </c>
      <c r="W866" s="48">
        <v>2477.9166186108537</v>
      </c>
    </row>
    <row r="867" spans="1:23" ht="13.2" x14ac:dyDescent="0.25">
      <c r="A867" s="41">
        <v>865</v>
      </c>
      <c r="B867" s="42">
        <v>0.13748716941917649</v>
      </c>
      <c r="C867" s="14" t="s">
        <v>5073</v>
      </c>
      <c r="D867" s="42">
        <v>0.30281340065543233</v>
      </c>
      <c r="E867" s="43">
        <v>316.3376080786519</v>
      </c>
      <c r="F867" s="42">
        <v>0.94786192939982838</v>
      </c>
      <c r="G867" s="43">
        <v>11.346807839021462</v>
      </c>
      <c r="H867" s="42">
        <v>0.35017019526575238</v>
      </c>
      <c r="I867" s="43">
        <v>3.2247449847350644</v>
      </c>
      <c r="J867" s="42">
        <v>0.51641067234632121</v>
      </c>
      <c r="K867" s="43">
        <v>1.9294976741672674</v>
      </c>
      <c r="L867" s="43">
        <v>2476.5715673857812</v>
      </c>
      <c r="M867" s="44">
        <v>2201.7097522274171</v>
      </c>
      <c r="N867" s="44">
        <v>3954.2201009831488</v>
      </c>
      <c r="O867" s="45" t="s">
        <v>5074</v>
      </c>
      <c r="P867" s="46">
        <v>2</v>
      </c>
      <c r="Q867" s="43">
        <v>2476.5715673857812</v>
      </c>
      <c r="R867" s="43">
        <v>2487.9183752248027</v>
      </c>
      <c r="S867" s="47">
        <v>0</v>
      </c>
      <c r="T867" s="48">
        <v>2480.8744218742008</v>
      </c>
      <c r="U867" s="48">
        <v>2487.9183752248027</v>
      </c>
      <c r="V867" s="48">
        <v>2477.1431525455887</v>
      </c>
      <c r="W867" s="48">
        <v>2477.9166186108537</v>
      </c>
    </row>
    <row r="868" spans="1:23" ht="13.2" x14ac:dyDescent="0.25">
      <c r="A868" s="41">
        <v>866</v>
      </c>
      <c r="B868" s="42">
        <v>0.946523206283582</v>
      </c>
      <c r="C868" s="14" t="s">
        <v>5080</v>
      </c>
      <c r="D868" s="42">
        <v>1.2075125245412405E-2</v>
      </c>
      <c r="E868" s="43">
        <v>85.301878131135311</v>
      </c>
      <c r="F868" s="42">
        <v>0.81998506599105203</v>
      </c>
      <c r="G868" s="43">
        <v>4.6527919356351681</v>
      </c>
      <c r="H868" s="42">
        <v>0.11410470172488349</v>
      </c>
      <c r="I868" s="43">
        <v>1.6053526495335046</v>
      </c>
      <c r="J868" s="42">
        <v>0.60077455760947174</v>
      </c>
      <c r="K868" s="43">
        <v>1.4876949691963395</v>
      </c>
      <c r="L868" s="43">
        <v>2478.0592623549774</v>
      </c>
      <c r="M868" s="44">
        <v>593.70107179270178</v>
      </c>
      <c r="N868" s="44">
        <v>1066.2734766391914</v>
      </c>
      <c r="O868" s="45" t="s">
        <v>5074</v>
      </c>
      <c r="P868" s="46">
        <v>3</v>
      </c>
      <c r="Q868" s="43">
        <v>2478.0592623549774</v>
      </c>
      <c r="R868" s="43">
        <v>2482.7120542906127</v>
      </c>
      <c r="S868" s="47">
        <v>0</v>
      </c>
      <c r="T868" s="48">
        <v>2480.8744218742008</v>
      </c>
      <c r="U868" s="48">
        <v>2487.9183752248027</v>
      </c>
      <c r="V868" s="48">
        <v>2482.7120542906127</v>
      </c>
      <c r="W868" s="48">
        <v>2477.9166186108537</v>
      </c>
    </row>
    <row r="869" spans="1:23" ht="13.2" x14ac:dyDescent="0.25">
      <c r="A869" s="41">
        <v>867</v>
      </c>
      <c r="B869" s="42">
        <v>0.7426408518769968</v>
      </c>
      <c r="C869" s="14" t="s">
        <v>5079</v>
      </c>
      <c r="D869" s="42">
        <v>0.73610650409763045</v>
      </c>
      <c r="E869" s="43">
        <v>9.208319512292892</v>
      </c>
      <c r="F869" s="42">
        <v>0.15086905432439832</v>
      </c>
      <c r="G869" s="43">
        <v>1.4565955959756838</v>
      </c>
      <c r="H869" s="42">
        <v>0.78478526500276535</v>
      </c>
      <c r="I869" s="43">
        <v>0.52032749167002423</v>
      </c>
      <c r="J869" s="42">
        <v>0.16536467390384743</v>
      </c>
      <c r="K869" s="43">
        <v>5.2543126977729173</v>
      </c>
      <c r="L869" s="43">
        <v>2483.3135750527504</v>
      </c>
      <c r="M869" s="44">
        <v>64.089903805558535</v>
      </c>
      <c r="N869" s="44">
        <v>115.10399390366115</v>
      </c>
      <c r="O869" s="45" t="s">
        <v>5074</v>
      </c>
      <c r="P869" s="46">
        <v>4</v>
      </c>
      <c r="Q869" s="43">
        <v>2483.3135750527504</v>
      </c>
      <c r="R869" s="43">
        <v>2484.770170648726</v>
      </c>
      <c r="S869" s="47">
        <v>0</v>
      </c>
      <c r="T869" s="48">
        <v>2480.8744218742008</v>
      </c>
      <c r="U869" s="48">
        <v>2487.9183752248027</v>
      </c>
      <c r="V869" s="48">
        <v>2482.7120542906127</v>
      </c>
      <c r="W869" s="48">
        <v>2484.770170648726</v>
      </c>
    </row>
    <row r="870" spans="1:23" ht="13.2" x14ac:dyDescent="0.25">
      <c r="A870" s="41">
        <v>868</v>
      </c>
      <c r="B870" s="42">
        <v>0.10596574754731997</v>
      </c>
      <c r="C870" s="14" t="s">
        <v>5073</v>
      </c>
      <c r="D870" s="42">
        <v>0.10807214868630849</v>
      </c>
      <c r="E870" s="43">
        <v>292.968657842357</v>
      </c>
      <c r="F870" s="42">
        <v>0.26542802353642325</v>
      </c>
      <c r="G870" s="43">
        <v>9.2107897136690049</v>
      </c>
      <c r="H870" s="42">
        <v>5.301291078935047E-2</v>
      </c>
      <c r="I870" s="43">
        <v>2.7819917838945414</v>
      </c>
      <c r="J870" s="42">
        <v>0.78746758950290618</v>
      </c>
      <c r="K870" s="43">
        <v>0.6976147892440111</v>
      </c>
      <c r="L870" s="43">
        <v>2484.0111898419946</v>
      </c>
      <c r="M870" s="44">
        <v>2039.0618585828047</v>
      </c>
      <c r="N870" s="44">
        <v>3662.1082230294624</v>
      </c>
      <c r="O870" s="45" t="s">
        <v>5074</v>
      </c>
      <c r="P870" s="46">
        <v>1</v>
      </c>
      <c r="Q870" s="43">
        <v>2484.0111898419946</v>
      </c>
      <c r="R870" s="43">
        <v>2493.2219795556634</v>
      </c>
      <c r="S870" s="47">
        <v>0</v>
      </c>
      <c r="T870" s="48">
        <v>2493.2219795556634</v>
      </c>
      <c r="U870" s="48">
        <v>2487.9183752248027</v>
      </c>
      <c r="V870" s="48">
        <v>2482.7120542906127</v>
      </c>
      <c r="W870" s="48">
        <v>2484.770170648726</v>
      </c>
    </row>
    <row r="871" spans="1:23" ht="13.2" x14ac:dyDescent="0.25">
      <c r="A871" s="41">
        <v>869</v>
      </c>
      <c r="B871" s="42">
        <v>0.96155327091065856</v>
      </c>
      <c r="C871" s="14" t="s">
        <v>5080</v>
      </c>
      <c r="D871" s="42">
        <v>0.93039850980527627</v>
      </c>
      <c r="E871" s="43">
        <v>108.2599627451319</v>
      </c>
      <c r="F871" s="42">
        <v>5.1669573435405999E-2</v>
      </c>
      <c r="G871" s="43">
        <v>4.2379015696551194</v>
      </c>
      <c r="H871" s="42">
        <v>0.76885851508418956</v>
      </c>
      <c r="I871" s="43">
        <v>2.3549769982020341</v>
      </c>
      <c r="J871" s="42">
        <v>0.69195645660718741</v>
      </c>
      <c r="K871" s="43">
        <v>1.0751306549556698</v>
      </c>
      <c r="L871" s="43">
        <v>2485.0863204969501</v>
      </c>
      <c r="M871" s="44">
        <v>753.48934070611801</v>
      </c>
      <c r="N871" s="44">
        <v>1353.2495343141488</v>
      </c>
      <c r="O871" s="45" t="s">
        <v>5074</v>
      </c>
      <c r="P871" s="46">
        <v>3</v>
      </c>
      <c r="Q871" s="43">
        <v>2485.0863204969501</v>
      </c>
      <c r="R871" s="43">
        <v>2489.3242220666052</v>
      </c>
      <c r="S871" s="47">
        <v>0</v>
      </c>
      <c r="T871" s="48">
        <v>2493.2219795556634</v>
      </c>
      <c r="U871" s="48">
        <v>2487.9183752248027</v>
      </c>
      <c r="V871" s="48">
        <v>2489.3242220666052</v>
      </c>
      <c r="W871" s="48">
        <v>2484.770170648726</v>
      </c>
    </row>
    <row r="872" spans="1:23" ht="13.2" x14ac:dyDescent="0.25">
      <c r="A872" s="41">
        <v>870</v>
      </c>
      <c r="B872" s="42">
        <v>0.29307002448154151</v>
      </c>
      <c r="C872" s="14" t="s">
        <v>5077</v>
      </c>
      <c r="D872" s="42">
        <v>0.8546360837550071</v>
      </c>
      <c r="E872" s="43">
        <v>47.691724753795064</v>
      </c>
      <c r="F872" s="42">
        <v>0.59944824902315075</v>
      </c>
      <c r="G872" s="43">
        <v>3.4077351595311125</v>
      </c>
      <c r="H872" s="42">
        <v>6.8841205941904904E-2</v>
      </c>
      <c r="I872" s="43">
        <v>0.95742564638293781</v>
      </c>
      <c r="J872" s="42">
        <v>0.38045639515875673</v>
      </c>
      <c r="K872" s="43">
        <v>2.8215582687348082</v>
      </c>
      <c r="L872" s="43">
        <v>2487.9078787656849</v>
      </c>
      <c r="M872" s="44">
        <v>331.93440428641367</v>
      </c>
      <c r="N872" s="44">
        <v>596.14655942243826</v>
      </c>
      <c r="O872" s="45" t="s">
        <v>5074</v>
      </c>
      <c r="P872" s="46">
        <v>4</v>
      </c>
      <c r="Q872" s="43">
        <v>2487.9078787656849</v>
      </c>
      <c r="R872" s="43">
        <v>2491.315613925216</v>
      </c>
      <c r="S872" s="47">
        <v>0</v>
      </c>
      <c r="T872" s="48">
        <v>2493.2219795556634</v>
      </c>
      <c r="U872" s="48">
        <v>2487.9183752248027</v>
      </c>
      <c r="V872" s="48">
        <v>2489.3242220666052</v>
      </c>
      <c r="W872" s="48">
        <v>2491.315613925216</v>
      </c>
    </row>
    <row r="873" spans="1:23" ht="13.2" x14ac:dyDescent="0.25">
      <c r="A873" s="41">
        <v>871</v>
      </c>
      <c r="B873" s="42">
        <v>0.65328757541872917</v>
      </c>
      <c r="C873" s="14" t="s">
        <v>5079</v>
      </c>
      <c r="D873" s="42">
        <v>0.97360980602615044</v>
      </c>
      <c r="E873" s="43">
        <v>9.9208294180784513</v>
      </c>
      <c r="F873" s="42">
        <v>0.33451162387361361</v>
      </c>
      <c r="G873" s="43">
        <v>1.4767962786260975</v>
      </c>
      <c r="H873" s="42">
        <v>0.43286417258571097</v>
      </c>
      <c r="I873" s="43">
        <v>0.40833173962163222</v>
      </c>
      <c r="J873" s="42">
        <v>0.70900917645032013</v>
      </c>
      <c r="K873" s="43">
        <v>1.004049079493563</v>
      </c>
      <c r="L873" s="43">
        <v>2488.9119278451785</v>
      </c>
      <c r="M873" s="44">
        <v>69.048972749826021</v>
      </c>
      <c r="N873" s="44">
        <v>124.01036772598064</v>
      </c>
      <c r="O873" s="45" t="s">
        <v>5074</v>
      </c>
      <c r="P873" s="46">
        <v>2</v>
      </c>
      <c r="Q873" s="43">
        <v>2488.9119278451785</v>
      </c>
      <c r="R873" s="43">
        <v>2490.3887241238044</v>
      </c>
      <c r="S873" s="47">
        <v>0</v>
      </c>
      <c r="T873" s="48">
        <v>2493.2219795556634</v>
      </c>
      <c r="U873" s="48">
        <v>2490.3887241238044</v>
      </c>
      <c r="V873" s="48">
        <v>2489.3242220666052</v>
      </c>
      <c r="W873" s="48">
        <v>2491.315613925216</v>
      </c>
    </row>
    <row r="874" spans="1:23" ht="13.2" x14ac:dyDescent="0.25">
      <c r="A874" s="41">
        <v>872</v>
      </c>
      <c r="B874" s="42">
        <v>0.97156691503318349</v>
      </c>
      <c r="C874" s="14" t="s">
        <v>5080</v>
      </c>
      <c r="D874" s="42">
        <v>0.89138155565195787</v>
      </c>
      <c r="E874" s="43">
        <v>107.28453889129895</v>
      </c>
      <c r="F874" s="42">
        <v>0.35605752112160322</v>
      </c>
      <c r="G874" s="43">
        <v>4.4022710614056653</v>
      </c>
      <c r="H874" s="42">
        <v>0.11748088249819394</v>
      </c>
      <c r="I874" s="43">
        <v>1.6113058117719701</v>
      </c>
      <c r="J874" s="42">
        <v>0.33807625218204979</v>
      </c>
      <c r="K874" s="43">
        <v>3.1663760898417936</v>
      </c>
      <c r="L874" s="43">
        <v>2492.0783039350204</v>
      </c>
      <c r="M874" s="44">
        <v>746.70039068344067</v>
      </c>
      <c r="N874" s="44">
        <v>1341.0567361412368</v>
      </c>
      <c r="O874" s="45" t="s">
        <v>5074</v>
      </c>
      <c r="P874" s="46">
        <v>3</v>
      </c>
      <c r="Q874" s="43">
        <v>2492.0783039350204</v>
      </c>
      <c r="R874" s="43">
        <v>2496.4805749964262</v>
      </c>
      <c r="S874" s="47">
        <v>0</v>
      </c>
      <c r="T874" s="48">
        <v>2493.2219795556634</v>
      </c>
      <c r="U874" s="48">
        <v>2490.3887241238044</v>
      </c>
      <c r="V874" s="48">
        <v>2496.4805749964262</v>
      </c>
      <c r="W874" s="48">
        <v>2491.315613925216</v>
      </c>
    </row>
    <row r="875" spans="1:23" ht="13.2" x14ac:dyDescent="0.25">
      <c r="A875" s="41">
        <v>873</v>
      </c>
      <c r="B875" s="42">
        <v>0.84579927234249153</v>
      </c>
      <c r="C875" s="14" t="s">
        <v>5081</v>
      </c>
      <c r="D875" s="42">
        <v>0.50593183166623668</v>
      </c>
      <c r="E875" s="43">
        <v>280.23727326664948</v>
      </c>
      <c r="F875" s="42">
        <v>0.65424018849350518</v>
      </c>
      <c r="G875" s="43">
        <v>8.8376977866085689</v>
      </c>
      <c r="H875" s="42">
        <v>0.62188809766522057</v>
      </c>
      <c r="I875" s="43">
        <v>4.1303887048401693</v>
      </c>
      <c r="J875" s="42">
        <v>0.75790214713565174</v>
      </c>
      <c r="K875" s="43">
        <v>0.8093459712748412</v>
      </c>
      <c r="L875" s="43">
        <v>2492.8876499062953</v>
      </c>
      <c r="M875" s="44">
        <v>1950.4514219358805</v>
      </c>
      <c r="N875" s="44">
        <v>3502.9659158331187</v>
      </c>
      <c r="O875" s="45" t="s">
        <v>5074</v>
      </c>
      <c r="P875" s="46">
        <v>2</v>
      </c>
      <c r="Q875" s="43">
        <v>2492.8876499062953</v>
      </c>
      <c r="R875" s="43">
        <v>2501.7253476929041</v>
      </c>
      <c r="S875" s="47">
        <v>0</v>
      </c>
      <c r="T875" s="48">
        <v>2493.2219795556634</v>
      </c>
      <c r="U875" s="48">
        <v>2501.7253476929041</v>
      </c>
      <c r="V875" s="48">
        <v>2496.4805749964262</v>
      </c>
      <c r="W875" s="48">
        <v>2491.315613925216</v>
      </c>
    </row>
    <row r="876" spans="1:23" ht="13.2" x14ac:dyDescent="0.25">
      <c r="A876" s="41">
        <v>874</v>
      </c>
      <c r="B876" s="42">
        <v>0.5435969166195006</v>
      </c>
      <c r="C876" s="14" t="s">
        <v>5076</v>
      </c>
      <c r="D876" s="42">
        <v>0.12977202009864711</v>
      </c>
      <c r="E876" s="43">
        <v>36.297720200986468</v>
      </c>
      <c r="F876" s="42">
        <v>0.24389064649301145</v>
      </c>
      <c r="G876" s="43">
        <v>3.1521896973867851</v>
      </c>
      <c r="H876" s="42">
        <v>0.55048972580139044</v>
      </c>
      <c r="I876" s="43">
        <v>0.84522841605391974</v>
      </c>
      <c r="J876" s="42">
        <v>0.38297550537762021</v>
      </c>
      <c r="K876" s="43">
        <v>2.8022897707278802</v>
      </c>
      <c r="L876" s="43">
        <v>2495.6899396770232</v>
      </c>
      <c r="M876" s="44">
        <v>252.63213259886581</v>
      </c>
      <c r="N876" s="44">
        <v>453.72150251233086</v>
      </c>
      <c r="O876" s="45" t="s">
        <v>5074</v>
      </c>
      <c r="P876" s="46">
        <v>4</v>
      </c>
      <c r="Q876" s="43">
        <v>2495.6899396770232</v>
      </c>
      <c r="R876" s="43">
        <v>2498.84212937441</v>
      </c>
      <c r="S876" s="47">
        <v>0</v>
      </c>
      <c r="T876" s="48">
        <v>2493.2219795556634</v>
      </c>
      <c r="U876" s="48">
        <v>2501.7253476929041</v>
      </c>
      <c r="V876" s="48">
        <v>2496.4805749964262</v>
      </c>
      <c r="W876" s="48">
        <v>2498.84212937441</v>
      </c>
    </row>
    <row r="877" spans="1:23" ht="13.2" x14ac:dyDescent="0.25">
      <c r="A877" s="41">
        <v>875</v>
      </c>
      <c r="B877" s="42">
        <v>0.77522462921926039</v>
      </c>
      <c r="C877" s="14" t="s">
        <v>5078</v>
      </c>
      <c r="D877" s="42">
        <v>0.24808713525910261</v>
      </c>
      <c r="E877" s="43">
        <v>179.92348541036409</v>
      </c>
      <c r="F877" s="42">
        <v>0.7109531037094784</v>
      </c>
      <c r="G877" s="43">
        <v>6.066967324375625</v>
      </c>
      <c r="H877" s="42">
        <v>0.68708796551781148</v>
      </c>
      <c r="I877" s="43">
        <v>3.4167548157004308</v>
      </c>
      <c r="J877" s="42">
        <v>0.56793948103112146</v>
      </c>
      <c r="K877" s="43">
        <v>1.6517968274977859</v>
      </c>
      <c r="L877" s="43">
        <v>2497.3417365045211</v>
      </c>
      <c r="M877" s="44">
        <v>1252.2674584561341</v>
      </c>
      <c r="N877" s="44">
        <v>2249.043567629551</v>
      </c>
      <c r="O877" s="45" t="s">
        <v>5074</v>
      </c>
      <c r="P877" s="46">
        <v>1</v>
      </c>
      <c r="Q877" s="43">
        <v>2497.3417365045211</v>
      </c>
      <c r="R877" s="43">
        <v>2503.4087038288967</v>
      </c>
      <c r="S877" s="47">
        <v>0</v>
      </c>
      <c r="T877" s="48">
        <v>2503.4087038288967</v>
      </c>
      <c r="U877" s="48">
        <v>2501.7253476929041</v>
      </c>
      <c r="V877" s="48">
        <v>2496.4805749964262</v>
      </c>
      <c r="W877" s="48">
        <v>2498.84212937441</v>
      </c>
    </row>
    <row r="878" spans="1:23" ht="13.2" x14ac:dyDescent="0.25">
      <c r="A878" s="41">
        <v>876</v>
      </c>
      <c r="B878" s="42">
        <v>0.93679927333109048</v>
      </c>
      <c r="C878" s="14" t="s">
        <v>5080</v>
      </c>
      <c r="D878" s="42">
        <v>0.28257737927258825</v>
      </c>
      <c r="E878" s="43">
        <v>92.0644344818147</v>
      </c>
      <c r="F878" s="42">
        <v>0.58436965084838199</v>
      </c>
      <c r="G878" s="43">
        <v>4.5255596114581262</v>
      </c>
      <c r="H878" s="42">
        <v>0.36521434894074423</v>
      </c>
      <c r="I878" s="43">
        <v>1.9251956029063275</v>
      </c>
      <c r="J878" s="42">
        <v>0.88630653819362937</v>
      </c>
      <c r="K878" s="43">
        <v>0.3523865936110514</v>
      </c>
      <c r="L878" s="43">
        <v>2497.694123098132</v>
      </c>
      <c r="M878" s="44">
        <v>640.76846399343026</v>
      </c>
      <c r="N878" s="44">
        <v>1150.8054310226837</v>
      </c>
      <c r="O878" s="45" t="s">
        <v>5074</v>
      </c>
      <c r="P878" s="46">
        <v>3</v>
      </c>
      <c r="Q878" s="43">
        <v>2497.694123098132</v>
      </c>
      <c r="R878" s="43">
        <v>2502.21968270959</v>
      </c>
      <c r="S878" s="47">
        <v>0</v>
      </c>
      <c r="T878" s="48">
        <v>2503.4087038288967</v>
      </c>
      <c r="U878" s="48">
        <v>2501.7253476929041</v>
      </c>
      <c r="V878" s="48">
        <v>2502.21968270959</v>
      </c>
      <c r="W878" s="48">
        <v>2498.84212937441</v>
      </c>
    </row>
    <row r="879" spans="1:23" ht="13.2" x14ac:dyDescent="0.25">
      <c r="A879" s="41">
        <v>877</v>
      </c>
      <c r="B879" s="42">
        <v>0.86262269684235693</v>
      </c>
      <c r="C879" s="14" t="s">
        <v>5081</v>
      </c>
      <c r="D879" s="42">
        <v>0.51659747004350531</v>
      </c>
      <c r="E879" s="43">
        <v>280.66389880174023</v>
      </c>
      <c r="F879" s="42">
        <v>0.87596011156028142</v>
      </c>
      <c r="G879" s="43">
        <v>9.0572005104446784</v>
      </c>
      <c r="H879" s="42">
        <v>0.97683082333618343</v>
      </c>
      <c r="I879" s="43">
        <v>4.7847365490204314</v>
      </c>
      <c r="J879" s="42">
        <v>0.79834960671064892</v>
      </c>
      <c r="K879" s="43">
        <v>0.65754357320958134</v>
      </c>
      <c r="L879" s="43">
        <v>2498.3516666713417</v>
      </c>
      <c r="M879" s="44">
        <v>1955.7674704814142</v>
      </c>
      <c r="N879" s="44">
        <v>3508.2987350217527</v>
      </c>
      <c r="O879" s="45" t="s">
        <v>5074</v>
      </c>
      <c r="P879" s="46">
        <v>4</v>
      </c>
      <c r="Q879" s="43">
        <v>2498.84212937441</v>
      </c>
      <c r="R879" s="43">
        <v>2507.8993298848545</v>
      </c>
      <c r="S879" s="43">
        <v>0.49046270306826045</v>
      </c>
      <c r="T879" s="48">
        <v>2503.4087038288967</v>
      </c>
      <c r="U879" s="48">
        <v>2501.7253476929041</v>
      </c>
      <c r="V879" s="48">
        <v>2502.21968270959</v>
      </c>
      <c r="W879" s="48">
        <v>2507.8993298848545</v>
      </c>
    </row>
    <row r="880" spans="1:23" ht="13.2" x14ac:dyDescent="0.25">
      <c r="A880" s="41">
        <v>878</v>
      </c>
      <c r="B880" s="42">
        <v>0.35124598878959473</v>
      </c>
      <c r="C880" s="14" t="s">
        <v>5077</v>
      </c>
      <c r="D880" s="42">
        <v>0.20162594607175605</v>
      </c>
      <c r="E880" s="43">
        <v>41.814633514645806</v>
      </c>
      <c r="F880" s="42">
        <v>0.90002103564330427</v>
      </c>
      <c r="G880" s="43">
        <v>3.552010097108786</v>
      </c>
      <c r="H880" s="42">
        <v>0.9864901169140311</v>
      </c>
      <c r="I880" s="43">
        <v>1.622029188867333</v>
      </c>
      <c r="J880" s="42">
        <v>0.93399227360915038</v>
      </c>
      <c r="K880" s="43">
        <v>0.19937843256813817</v>
      </c>
      <c r="L880" s="43">
        <v>2498.5510451039099</v>
      </c>
      <c r="M880" s="44">
        <v>296.17866071558046</v>
      </c>
      <c r="N880" s="44">
        <v>522.68291893307253</v>
      </c>
      <c r="O880" s="45" t="s">
        <v>5074</v>
      </c>
      <c r="P880" s="46">
        <v>2</v>
      </c>
      <c r="Q880" s="43">
        <v>2501.7253476929041</v>
      </c>
      <c r="R880" s="43">
        <v>2505.277357790013</v>
      </c>
      <c r="S880" s="43">
        <v>3.1743025889941237</v>
      </c>
      <c r="T880" s="48">
        <v>2503.4087038288967</v>
      </c>
      <c r="U880" s="48">
        <v>2505.277357790013</v>
      </c>
      <c r="V880" s="48">
        <v>2502.21968270959</v>
      </c>
      <c r="W880" s="48">
        <v>2507.8993298848545</v>
      </c>
    </row>
    <row r="881" spans="1:23" ht="13.2" x14ac:dyDescent="0.25">
      <c r="A881" s="41">
        <v>879</v>
      </c>
      <c r="B881" s="42">
        <v>0.96136521685932075</v>
      </c>
      <c r="C881" s="14" t="s">
        <v>5080</v>
      </c>
      <c r="D881" s="42">
        <v>0.90972870677231288</v>
      </c>
      <c r="E881" s="43">
        <v>107.74321766930782</v>
      </c>
      <c r="F881" s="42">
        <v>0.64777612995718425</v>
      </c>
      <c r="G881" s="43">
        <v>4.5597991101768791</v>
      </c>
      <c r="H881" s="42">
        <v>3.4852928032564429E-2</v>
      </c>
      <c r="I881" s="43">
        <v>1.4240272670165237</v>
      </c>
      <c r="J881" s="42">
        <v>4.2169350219038011E-2</v>
      </c>
      <c r="K881" s="43">
        <v>9.2439755326992596</v>
      </c>
      <c r="L881" s="43">
        <v>2507.795020636609</v>
      </c>
      <c r="M881" s="44">
        <v>749.89279497838243</v>
      </c>
      <c r="N881" s="44">
        <v>1346.7902208663479</v>
      </c>
      <c r="O881" s="45" t="s">
        <v>5074</v>
      </c>
      <c r="P881" s="46">
        <v>3</v>
      </c>
      <c r="Q881" s="43">
        <v>2507.795020636609</v>
      </c>
      <c r="R881" s="43">
        <v>2512.3548197467858</v>
      </c>
      <c r="S881" s="47">
        <v>0</v>
      </c>
      <c r="T881" s="48">
        <v>2503.4087038288967</v>
      </c>
      <c r="U881" s="48">
        <v>2505.277357790013</v>
      </c>
      <c r="V881" s="48">
        <v>2512.3548197467858</v>
      </c>
      <c r="W881" s="48">
        <v>2507.8993298848545</v>
      </c>
    </row>
    <row r="882" spans="1:23" ht="13.2" x14ac:dyDescent="0.25">
      <c r="A882" s="41">
        <v>880</v>
      </c>
      <c r="B882" s="42">
        <v>0.40980929015661088</v>
      </c>
      <c r="C882" s="14" t="s">
        <v>5077</v>
      </c>
      <c r="D882" s="42">
        <v>0.28083387868517723</v>
      </c>
      <c r="E882" s="43">
        <v>42.527504908166598</v>
      </c>
      <c r="F882" s="42">
        <v>0.48405439056644889</v>
      </c>
      <c r="G882" s="43">
        <v>3.3523461074718957</v>
      </c>
      <c r="H882" s="42">
        <v>0.10659356420235409</v>
      </c>
      <c r="I882" s="43">
        <v>0.99589201901263735</v>
      </c>
      <c r="J882" s="42">
        <v>0.12458986934488167</v>
      </c>
      <c r="K882" s="43">
        <v>6.0809576097884204</v>
      </c>
      <c r="L882" s="43">
        <v>2513.8759782463976</v>
      </c>
      <c r="M882" s="44">
        <v>295.9914341608395</v>
      </c>
      <c r="N882" s="44">
        <v>531.59381135208253</v>
      </c>
      <c r="O882" s="45" t="s">
        <v>5074</v>
      </c>
      <c r="P882" s="46">
        <v>1</v>
      </c>
      <c r="Q882" s="43">
        <v>2513.8759782463976</v>
      </c>
      <c r="R882" s="43">
        <v>2517.2283243538695</v>
      </c>
      <c r="S882" s="47">
        <v>0</v>
      </c>
      <c r="T882" s="48">
        <v>2517.2283243538695</v>
      </c>
      <c r="U882" s="48">
        <v>2505.277357790013</v>
      </c>
      <c r="V882" s="48">
        <v>2512.3548197467858</v>
      </c>
      <c r="W882" s="48">
        <v>2507.8993298848545</v>
      </c>
    </row>
    <row r="883" spans="1:23" ht="13.2" x14ac:dyDescent="0.25">
      <c r="A883" s="41">
        <v>881</v>
      </c>
      <c r="B883" s="42">
        <v>0.42440723507870326</v>
      </c>
      <c r="C883" s="14" t="s">
        <v>5077</v>
      </c>
      <c r="D883" s="42">
        <v>0.92510532444580706</v>
      </c>
      <c r="E883" s="43">
        <v>48.325947920012261</v>
      </c>
      <c r="F883" s="42">
        <v>0.4123091029060581</v>
      </c>
      <c r="G883" s="43">
        <v>3.3179083693949081</v>
      </c>
      <c r="H883" s="42">
        <v>0.28165065230878567</v>
      </c>
      <c r="I883" s="43">
        <v>1.1184246140472855</v>
      </c>
      <c r="J883" s="42">
        <v>2.4170227360059613E-2</v>
      </c>
      <c r="K883" s="43">
        <v>10.869003438265688</v>
      </c>
      <c r="L883" s="43">
        <v>2524.7449816846633</v>
      </c>
      <c r="M883" s="44">
        <v>336.34859752328532</v>
      </c>
      <c r="N883" s="44">
        <v>604.07434900015323</v>
      </c>
      <c r="O883" s="45" t="s">
        <v>5074</v>
      </c>
      <c r="P883" s="46">
        <v>2</v>
      </c>
      <c r="Q883" s="43">
        <v>2524.7449816846633</v>
      </c>
      <c r="R883" s="43">
        <v>2528.0628900540582</v>
      </c>
      <c r="S883" s="47">
        <v>0</v>
      </c>
      <c r="T883" s="48">
        <v>2517.2283243538695</v>
      </c>
      <c r="U883" s="48">
        <v>2528.0628900540582</v>
      </c>
      <c r="V883" s="48">
        <v>2512.3548197467858</v>
      </c>
      <c r="W883" s="48">
        <v>2507.8993298848545</v>
      </c>
    </row>
    <row r="884" spans="1:23" ht="13.2" x14ac:dyDescent="0.25">
      <c r="A884" s="41">
        <v>882</v>
      </c>
      <c r="B884" s="42">
        <v>0.41983244913622386</v>
      </c>
      <c r="C884" s="14" t="s">
        <v>5077</v>
      </c>
      <c r="D884" s="42">
        <v>7.953441891797558E-2</v>
      </c>
      <c r="E884" s="43">
        <v>40.715809770261778</v>
      </c>
      <c r="F884" s="42">
        <v>0.50078538921698246</v>
      </c>
      <c r="G884" s="43">
        <v>3.3603769868241518</v>
      </c>
      <c r="H884" s="42">
        <v>0.27212234366318322</v>
      </c>
      <c r="I884" s="43">
        <v>1.1129920825176667</v>
      </c>
      <c r="J884" s="42">
        <v>0.91622190592634578</v>
      </c>
      <c r="K884" s="43">
        <v>0.25546478326714123</v>
      </c>
      <c r="L884" s="43">
        <v>2525.0004464679305</v>
      </c>
      <c r="M884" s="44">
        <v>283.38203600102196</v>
      </c>
      <c r="N884" s="44">
        <v>508.9476221282722</v>
      </c>
      <c r="O884" s="45" t="s">
        <v>5074</v>
      </c>
      <c r="P884" s="46">
        <v>4</v>
      </c>
      <c r="Q884" s="43">
        <v>2525.0004464679305</v>
      </c>
      <c r="R884" s="43">
        <v>2528.3608234547546</v>
      </c>
      <c r="S884" s="47">
        <v>0</v>
      </c>
      <c r="T884" s="48">
        <v>2517.2283243538695</v>
      </c>
      <c r="U884" s="48">
        <v>2528.0628900540582</v>
      </c>
      <c r="V884" s="48">
        <v>2512.3548197467858</v>
      </c>
      <c r="W884" s="48">
        <v>2528.3608234547546</v>
      </c>
    </row>
    <row r="885" spans="1:23" ht="13.2" x14ac:dyDescent="0.25">
      <c r="A885" s="41">
        <v>883</v>
      </c>
      <c r="B885" s="42">
        <v>0.74009799665775988</v>
      </c>
      <c r="C885" s="14" t="s">
        <v>5079</v>
      </c>
      <c r="D885" s="42">
        <v>9.0022703674632457E-2</v>
      </c>
      <c r="E885" s="43">
        <v>7.2700681110238978</v>
      </c>
      <c r="F885" s="42">
        <v>0.51296996349141466</v>
      </c>
      <c r="G885" s="43">
        <v>1.4964266959840555</v>
      </c>
      <c r="H885" s="42">
        <v>0.80061649289010861</v>
      </c>
      <c r="I885" s="43">
        <v>0.52706207452821774</v>
      </c>
      <c r="J885" s="42">
        <v>0.63996385393662558</v>
      </c>
      <c r="K885" s="43">
        <v>1.3031929414522538</v>
      </c>
      <c r="L885" s="43">
        <v>2526.3036394093829</v>
      </c>
      <c r="M885" s="44">
        <v>50.599674052726328</v>
      </c>
      <c r="N885" s="44">
        <v>90.875851387798718</v>
      </c>
      <c r="O885" s="45" t="s">
        <v>5074</v>
      </c>
      <c r="P885" s="46">
        <v>3</v>
      </c>
      <c r="Q885" s="43">
        <v>2526.3036394093829</v>
      </c>
      <c r="R885" s="43">
        <v>2527.800066105367</v>
      </c>
      <c r="S885" s="47">
        <v>0</v>
      </c>
      <c r="T885" s="48">
        <v>2517.2283243538695</v>
      </c>
      <c r="U885" s="48">
        <v>2528.0628900540582</v>
      </c>
      <c r="V885" s="48">
        <v>2527.800066105367</v>
      </c>
      <c r="W885" s="48">
        <v>2528.3608234547546</v>
      </c>
    </row>
    <row r="886" spans="1:23" ht="13.2" x14ac:dyDescent="0.25">
      <c r="A886" s="41">
        <v>884</v>
      </c>
      <c r="B886" s="42">
        <v>0.30610980759659306</v>
      </c>
      <c r="C886" s="14" t="s">
        <v>5077</v>
      </c>
      <c r="D886" s="42">
        <v>0.89962566499580898</v>
      </c>
      <c r="E886" s="43">
        <v>48.096630984962282</v>
      </c>
      <c r="F886" s="42">
        <v>0.88216309476744525</v>
      </c>
      <c r="G886" s="43">
        <v>3.5434382854883739</v>
      </c>
      <c r="H886" s="42">
        <v>0.99745372775823515</v>
      </c>
      <c r="I886" s="43">
        <v>1.6661499998701006</v>
      </c>
      <c r="J886" s="42">
        <v>0.13833272230733779</v>
      </c>
      <c r="K886" s="43">
        <v>5.7754553707582286</v>
      </c>
      <c r="L886" s="43">
        <v>2532.0790947801411</v>
      </c>
      <c r="M886" s="44">
        <v>334.75255165533747</v>
      </c>
      <c r="N886" s="44">
        <v>601.20788731202856</v>
      </c>
      <c r="O886" s="45" t="s">
        <v>5074</v>
      </c>
      <c r="P886" s="46">
        <v>1</v>
      </c>
      <c r="Q886" s="43">
        <v>2532.0790947801411</v>
      </c>
      <c r="R886" s="43">
        <v>2535.6225330656293</v>
      </c>
      <c r="S886" s="47">
        <v>0</v>
      </c>
      <c r="T886" s="48">
        <v>2535.6225330656293</v>
      </c>
      <c r="U886" s="48">
        <v>2528.0628900540582</v>
      </c>
      <c r="V886" s="48">
        <v>2527.800066105367</v>
      </c>
      <c r="W886" s="48">
        <v>2528.3608234547546</v>
      </c>
    </row>
    <row r="887" spans="1:23" ht="13.2" x14ac:dyDescent="0.25">
      <c r="A887" s="41">
        <v>885</v>
      </c>
      <c r="B887" s="42">
        <v>0.74673456733428623</v>
      </c>
      <c r="C887" s="14" t="s">
        <v>5079</v>
      </c>
      <c r="D887" s="42">
        <v>0.82782804864823256</v>
      </c>
      <c r="E887" s="43">
        <v>9.483484145944697</v>
      </c>
      <c r="F887" s="42">
        <v>0.95481214530524428</v>
      </c>
      <c r="G887" s="43">
        <v>1.5450293359835769</v>
      </c>
      <c r="H887" s="42">
        <v>0.15830015771011829</v>
      </c>
      <c r="I887" s="43">
        <v>0.32581739057464126</v>
      </c>
      <c r="J887" s="42">
        <v>4.2148380559938206E-2</v>
      </c>
      <c r="K887" s="43">
        <v>9.2454277843843986</v>
      </c>
      <c r="L887" s="43">
        <v>2541.3245225645255</v>
      </c>
      <c r="M887" s="44">
        <v>66.005049655775096</v>
      </c>
      <c r="N887" s="44">
        <v>118.54355182430871</v>
      </c>
      <c r="O887" s="45" t="s">
        <v>5074</v>
      </c>
      <c r="P887" s="46">
        <v>3</v>
      </c>
      <c r="Q887" s="43">
        <v>2541.3245225645255</v>
      </c>
      <c r="R887" s="43">
        <v>2542.8695519005091</v>
      </c>
      <c r="S887" s="47">
        <v>0</v>
      </c>
      <c r="T887" s="48">
        <v>2535.6225330656293</v>
      </c>
      <c r="U887" s="48">
        <v>2528.0628900540582</v>
      </c>
      <c r="V887" s="48">
        <v>2542.8695519005091</v>
      </c>
      <c r="W887" s="48">
        <v>2528.3608234547546</v>
      </c>
    </row>
    <row r="888" spans="1:23" ht="13.2" x14ac:dyDescent="0.25">
      <c r="A888" s="41">
        <v>886</v>
      </c>
      <c r="B888" s="42">
        <v>0.50528747705057608</v>
      </c>
      <c r="C888" s="14" t="s">
        <v>5076</v>
      </c>
      <c r="D888" s="42">
        <v>0.10987355611746831</v>
      </c>
      <c r="E888" s="43">
        <v>36.098735561174685</v>
      </c>
      <c r="F888" s="42">
        <v>0.75313237484224715</v>
      </c>
      <c r="G888" s="43">
        <v>3.3864408924274336</v>
      </c>
      <c r="H888" s="42">
        <v>0.13837023737764462</v>
      </c>
      <c r="I888" s="43">
        <v>0.67046333872509178</v>
      </c>
      <c r="J888" s="42">
        <v>0.19150696983165433</v>
      </c>
      <c r="K888" s="43">
        <v>4.8257841606890599</v>
      </c>
      <c r="L888" s="43">
        <v>2546.1503067252147</v>
      </c>
      <c r="M888" s="44">
        <v>251.2471995057758</v>
      </c>
      <c r="N888" s="44">
        <v>451.23419451468357</v>
      </c>
      <c r="O888" s="45" t="s">
        <v>5074</v>
      </c>
      <c r="P888" s="46">
        <v>2</v>
      </c>
      <c r="Q888" s="43">
        <v>2546.1503067252147</v>
      </c>
      <c r="R888" s="43">
        <v>2549.536747617642</v>
      </c>
      <c r="S888" s="47">
        <v>0</v>
      </c>
      <c r="T888" s="48">
        <v>2535.6225330656293</v>
      </c>
      <c r="U888" s="48">
        <v>2549.536747617642</v>
      </c>
      <c r="V888" s="48">
        <v>2542.8695519005091</v>
      </c>
      <c r="W888" s="48">
        <v>2528.3608234547546</v>
      </c>
    </row>
    <row r="889" spans="1:23" ht="13.2" x14ac:dyDescent="0.25">
      <c r="A889" s="41">
        <v>887</v>
      </c>
      <c r="B889" s="42">
        <v>0.61109498031954046</v>
      </c>
      <c r="C889" s="14" t="s">
        <v>5076</v>
      </c>
      <c r="D889" s="42">
        <v>0.3442523290143592</v>
      </c>
      <c r="E889" s="43">
        <v>38.44252329014359</v>
      </c>
      <c r="F889" s="42">
        <v>8.0088572148274903E-2</v>
      </c>
      <c r="G889" s="43">
        <v>3.0768407431882063</v>
      </c>
      <c r="H889" s="42">
        <v>0.90269105318127718</v>
      </c>
      <c r="I889" s="43">
        <v>1.0349348458661174</v>
      </c>
      <c r="J889" s="42">
        <v>0.29743251125208686</v>
      </c>
      <c r="K889" s="43">
        <v>3.5403443289507543</v>
      </c>
      <c r="L889" s="43">
        <v>2549.6906510541653</v>
      </c>
      <c r="M889" s="44">
        <v>267.5599620993994</v>
      </c>
      <c r="N889" s="44">
        <v>480.53154112679488</v>
      </c>
      <c r="O889" s="45" t="s">
        <v>5074</v>
      </c>
      <c r="P889" s="46">
        <v>4</v>
      </c>
      <c r="Q889" s="43">
        <v>2549.6906510541653</v>
      </c>
      <c r="R889" s="43">
        <v>2552.7674917973536</v>
      </c>
      <c r="S889" s="47">
        <v>0</v>
      </c>
      <c r="T889" s="48">
        <v>2535.6225330656293</v>
      </c>
      <c r="U889" s="48">
        <v>2549.536747617642</v>
      </c>
      <c r="V889" s="48">
        <v>2542.8695519005091</v>
      </c>
      <c r="W889" s="48">
        <v>2552.7674917973536</v>
      </c>
    </row>
    <row r="890" spans="1:23" ht="13.2" x14ac:dyDescent="0.25">
      <c r="A890" s="41">
        <v>888</v>
      </c>
      <c r="B890" s="42">
        <v>0.32292782576891027</v>
      </c>
      <c r="C890" s="14" t="s">
        <v>5077</v>
      </c>
      <c r="D890" s="42">
        <v>0.91132394127143734</v>
      </c>
      <c r="E890" s="43">
        <v>48.201915471442938</v>
      </c>
      <c r="F890" s="42">
        <v>0.95548078508837186</v>
      </c>
      <c r="G890" s="43">
        <v>3.5786307768424184</v>
      </c>
      <c r="H890" s="42">
        <v>0.12593516806416921</v>
      </c>
      <c r="I890" s="43">
        <v>1.0129240721550781</v>
      </c>
      <c r="J890" s="42">
        <v>0.70775795714359635</v>
      </c>
      <c r="K890" s="43">
        <v>1.0092061669489136</v>
      </c>
      <c r="L890" s="43">
        <v>2550.6998572211141</v>
      </c>
      <c r="M890" s="44">
        <v>335.48533168124283</v>
      </c>
      <c r="N890" s="44">
        <v>602.52394339303669</v>
      </c>
      <c r="O890" s="45" t="s">
        <v>5074</v>
      </c>
      <c r="P890" s="46">
        <v>1</v>
      </c>
      <c r="Q890" s="43">
        <v>2550.6998572211141</v>
      </c>
      <c r="R890" s="43">
        <v>2554.2784879979567</v>
      </c>
      <c r="S890" s="47">
        <v>0</v>
      </c>
      <c r="T890" s="48">
        <v>2554.2784879979567</v>
      </c>
      <c r="U890" s="48">
        <v>2549.536747617642</v>
      </c>
      <c r="V890" s="48">
        <v>2542.8695519005091</v>
      </c>
      <c r="W890" s="48">
        <v>2552.7674917973536</v>
      </c>
    </row>
    <row r="891" spans="1:23" ht="13.2" x14ac:dyDescent="0.25">
      <c r="A891" s="41">
        <v>889</v>
      </c>
      <c r="B891" s="42">
        <v>0.28575039062916785</v>
      </c>
      <c r="C891" s="14" t="s">
        <v>5077</v>
      </c>
      <c r="D891" s="42">
        <v>0.14109796152501272</v>
      </c>
      <c r="E891" s="43">
        <v>41.269881653725115</v>
      </c>
      <c r="F891" s="42">
        <v>0.55654336770835489</v>
      </c>
      <c r="G891" s="43">
        <v>3.3871408165000103</v>
      </c>
      <c r="H891" s="42">
        <v>0.82127069533861741</v>
      </c>
      <c r="I891" s="43">
        <v>1.4164013626661403</v>
      </c>
      <c r="J891" s="42">
        <v>7.6294458041104699E-2</v>
      </c>
      <c r="K891" s="43">
        <v>7.5128612470922693</v>
      </c>
      <c r="L891" s="43">
        <v>2558.2127184682063</v>
      </c>
      <c r="M891" s="44">
        <v>287.23837630992682</v>
      </c>
      <c r="N891" s="44">
        <v>515.87352067156394</v>
      </c>
      <c r="O891" s="45" t="s">
        <v>5074</v>
      </c>
      <c r="P891" s="46">
        <v>3</v>
      </c>
      <c r="Q891" s="43">
        <v>2558.2127184682063</v>
      </c>
      <c r="R891" s="43">
        <v>2561.5998592847063</v>
      </c>
      <c r="S891" s="47">
        <v>0</v>
      </c>
      <c r="T891" s="48">
        <v>2554.2784879979567</v>
      </c>
      <c r="U891" s="48">
        <v>2549.536747617642</v>
      </c>
      <c r="V891" s="48">
        <v>2561.5998592847063</v>
      </c>
      <c r="W891" s="48">
        <v>2552.7674917973536</v>
      </c>
    </row>
    <row r="892" spans="1:23" ht="13.2" x14ac:dyDescent="0.25">
      <c r="A892" s="41">
        <v>890</v>
      </c>
      <c r="B892" s="42">
        <v>0.50490681571183116</v>
      </c>
      <c r="C892" s="14" t="s">
        <v>5076</v>
      </c>
      <c r="D892" s="42">
        <v>0.48955868160797222</v>
      </c>
      <c r="E892" s="43">
        <v>39.895586816079721</v>
      </c>
      <c r="F892" s="42">
        <v>0.13663945586264109</v>
      </c>
      <c r="G892" s="43">
        <v>3.1028541496968147</v>
      </c>
      <c r="H892" s="42">
        <v>0.26240570855438977</v>
      </c>
      <c r="I892" s="43">
        <v>0.73474496543359957</v>
      </c>
      <c r="J892" s="42">
        <v>0.33416744150881073</v>
      </c>
      <c r="K892" s="43">
        <v>3.2003301890294966</v>
      </c>
      <c r="L892" s="43">
        <v>2561.4130486572358</v>
      </c>
      <c r="M892" s="44">
        <v>277.67328423991484</v>
      </c>
      <c r="N892" s="44">
        <v>498.69483520099652</v>
      </c>
      <c r="O892" s="45" t="s">
        <v>5074</v>
      </c>
      <c r="P892" s="46">
        <v>2</v>
      </c>
      <c r="Q892" s="43">
        <v>2561.4130486572358</v>
      </c>
      <c r="R892" s="43">
        <v>2564.5159028069324</v>
      </c>
      <c r="S892" s="47">
        <v>0</v>
      </c>
      <c r="T892" s="48">
        <v>2554.2784879979567</v>
      </c>
      <c r="U892" s="48">
        <v>2564.5159028069324</v>
      </c>
      <c r="V892" s="48">
        <v>2561.5998592847063</v>
      </c>
      <c r="W892" s="48">
        <v>2552.7674917973536</v>
      </c>
    </row>
    <row r="893" spans="1:23" ht="13.2" x14ac:dyDescent="0.25">
      <c r="A893" s="41">
        <v>891</v>
      </c>
      <c r="B893" s="42">
        <v>0.5327133990510895</v>
      </c>
      <c r="C893" s="14" t="s">
        <v>5076</v>
      </c>
      <c r="D893" s="42">
        <v>0.24269146064421696</v>
      </c>
      <c r="E893" s="43">
        <v>37.426914606442168</v>
      </c>
      <c r="F893" s="42">
        <v>0.47566476113892381</v>
      </c>
      <c r="G893" s="43">
        <v>3.2588057901239051</v>
      </c>
      <c r="H893" s="42">
        <v>0.35867071308133691</v>
      </c>
      <c r="I893" s="43">
        <v>0.77444644240193883</v>
      </c>
      <c r="J893" s="42">
        <v>0.8408276582326869</v>
      </c>
      <c r="K893" s="43">
        <v>0.50618559072014035</v>
      </c>
      <c r="L893" s="43">
        <v>2561.919234247956</v>
      </c>
      <c r="M893" s="44">
        <v>260.4913256608375</v>
      </c>
      <c r="N893" s="44">
        <v>467.83643258052712</v>
      </c>
      <c r="O893" s="45" t="s">
        <v>5074</v>
      </c>
      <c r="P893" s="46">
        <v>4</v>
      </c>
      <c r="Q893" s="43">
        <v>2561.919234247956</v>
      </c>
      <c r="R893" s="43">
        <v>2565.1780400380799</v>
      </c>
      <c r="S893" s="47">
        <v>0</v>
      </c>
      <c r="T893" s="48">
        <v>2554.2784879979567</v>
      </c>
      <c r="U893" s="48">
        <v>2564.5159028069324</v>
      </c>
      <c r="V893" s="48">
        <v>2561.5998592847063</v>
      </c>
      <c r="W893" s="48">
        <v>2565.1780400380799</v>
      </c>
    </row>
    <row r="894" spans="1:23" ht="13.2" x14ac:dyDescent="0.25">
      <c r="A894" s="41">
        <v>892</v>
      </c>
      <c r="B894" s="42">
        <v>0.12995570904107565</v>
      </c>
      <c r="C894" s="14" t="s">
        <v>5073</v>
      </c>
      <c r="D894" s="42">
        <v>0.99872754234761352</v>
      </c>
      <c r="E894" s="43">
        <v>399.84730508171361</v>
      </c>
      <c r="F894" s="42">
        <v>0.43456210728481509</v>
      </c>
      <c r="G894" s="43">
        <v>9.7401793958014711</v>
      </c>
      <c r="H894" s="42">
        <v>0.96376420276414798</v>
      </c>
      <c r="I894" s="43">
        <v>3.8351459799492624</v>
      </c>
      <c r="J894" s="42">
        <v>8.1741939336872627E-2</v>
      </c>
      <c r="K894" s="43">
        <v>7.3114980305110402</v>
      </c>
      <c r="L894" s="43">
        <v>2569.2307322784668</v>
      </c>
      <c r="M894" s="44">
        <v>2782.9372433687267</v>
      </c>
      <c r="N894" s="44">
        <v>4998.0913135214205</v>
      </c>
      <c r="O894" s="45" t="s">
        <v>5074</v>
      </c>
      <c r="P894" s="46">
        <v>1</v>
      </c>
      <c r="Q894" s="43">
        <v>2569.2307322784668</v>
      </c>
      <c r="R894" s="43">
        <v>2578.9709116742683</v>
      </c>
      <c r="S894" s="47">
        <v>0</v>
      </c>
      <c r="T894" s="48">
        <v>2578.9709116742683</v>
      </c>
      <c r="U894" s="48">
        <v>2564.5159028069324</v>
      </c>
      <c r="V894" s="48">
        <v>2561.5998592847063</v>
      </c>
      <c r="W894" s="48">
        <v>2565.1780400380799</v>
      </c>
    </row>
    <row r="895" spans="1:23" ht="13.2" x14ac:dyDescent="0.25">
      <c r="A895" s="41">
        <v>893</v>
      </c>
      <c r="B895" s="42">
        <v>0.97371065382552824</v>
      </c>
      <c r="C895" s="14" t="s">
        <v>5080</v>
      </c>
      <c r="D895" s="42">
        <v>0.19819488339042052</v>
      </c>
      <c r="E895" s="43">
        <v>89.95487208476051</v>
      </c>
      <c r="F895" s="42">
        <v>0.81041138563789961</v>
      </c>
      <c r="G895" s="43">
        <v>4.6476221482444657</v>
      </c>
      <c r="H895" s="42">
        <v>0.48381487069829127</v>
      </c>
      <c r="I895" s="43">
        <v>2.0360844265481153</v>
      </c>
      <c r="J895" s="42">
        <v>0.41978501920578304</v>
      </c>
      <c r="K895" s="43">
        <v>2.5343432344032926</v>
      </c>
      <c r="L895" s="43">
        <v>2571.7650755128702</v>
      </c>
      <c r="M895" s="44">
        <v>626.08590970993316</v>
      </c>
      <c r="N895" s="44">
        <v>1124.4359010595065</v>
      </c>
      <c r="O895" s="45" t="s">
        <v>5074</v>
      </c>
      <c r="P895" s="46">
        <v>3</v>
      </c>
      <c r="Q895" s="43">
        <v>2571.7650755128702</v>
      </c>
      <c r="R895" s="43">
        <v>2576.4126976611146</v>
      </c>
      <c r="S895" s="47">
        <v>0</v>
      </c>
      <c r="T895" s="48">
        <v>2578.9709116742683</v>
      </c>
      <c r="U895" s="48">
        <v>2564.5159028069324</v>
      </c>
      <c r="V895" s="48">
        <v>2576.4126976611146</v>
      </c>
      <c r="W895" s="48">
        <v>2565.1780400380799</v>
      </c>
    </row>
    <row r="896" spans="1:23" ht="13.2" x14ac:dyDescent="0.25">
      <c r="A896" s="41">
        <v>894</v>
      </c>
      <c r="B896" s="42">
        <v>0.13122945191861571</v>
      </c>
      <c r="C896" s="14" t="s">
        <v>5073</v>
      </c>
      <c r="D896" s="42">
        <v>0.17559077971409576</v>
      </c>
      <c r="E896" s="43">
        <v>301.07089356569151</v>
      </c>
      <c r="F896" s="42">
        <v>0.71473955116921084</v>
      </c>
      <c r="G896" s="43">
        <v>10.617134795159631</v>
      </c>
      <c r="H896" s="42">
        <v>0.32354587657542244</v>
      </c>
      <c r="I896" s="43">
        <v>3.196648271987474</v>
      </c>
      <c r="J896" s="42">
        <v>0.67234265090541101</v>
      </c>
      <c r="K896" s="43">
        <v>1.1590866313334611</v>
      </c>
      <c r="L896" s="43">
        <v>2572.9241621442038</v>
      </c>
      <c r="M896" s="44">
        <v>2095.4534192172127</v>
      </c>
      <c r="N896" s="44">
        <v>3763.3861695711439</v>
      </c>
      <c r="O896" s="45" t="s">
        <v>5074</v>
      </c>
      <c r="P896" s="46">
        <v>2</v>
      </c>
      <c r="Q896" s="43">
        <v>2572.9241621442038</v>
      </c>
      <c r="R896" s="43">
        <v>2583.5412969393633</v>
      </c>
      <c r="S896" s="47">
        <v>0</v>
      </c>
      <c r="T896" s="48">
        <v>2578.9709116742683</v>
      </c>
      <c r="U896" s="48">
        <v>2583.5412969393633</v>
      </c>
      <c r="V896" s="48">
        <v>2576.4126976611146</v>
      </c>
      <c r="W896" s="48">
        <v>2565.1780400380799</v>
      </c>
    </row>
    <row r="897" spans="1:23" ht="13.2" x14ac:dyDescent="0.25">
      <c r="A897" s="41">
        <v>895</v>
      </c>
      <c r="B897" s="42">
        <v>0.62313427525718434</v>
      </c>
      <c r="C897" s="14" t="s">
        <v>5076</v>
      </c>
      <c r="D897" s="42">
        <v>5.1658410603021461E-2</v>
      </c>
      <c r="E897" s="43">
        <v>35.516584106030216</v>
      </c>
      <c r="F897" s="42">
        <v>0.18804494020903714</v>
      </c>
      <c r="G897" s="43">
        <v>3.126500672496157</v>
      </c>
      <c r="H897" s="42">
        <v>0.97623739343892657</v>
      </c>
      <c r="I897" s="43">
        <v>1.1184308278998705</v>
      </c>
      <c r="J897" s="42">
        <v>1.9449875233438739E-2</v>
      </c>
      <c r="K897" s="43">
        <v>11.503400361084623</v>
      </c>
      <c r="L897" s="43">
        <v>2584.4275625052883</v>
      </c>
      <c r="M897" s="44">
        <v>247.19542537797031</v>
      </c>
      <c r="N897" s="44">
        <v>443.95730132537767</v>
      </c>
      <c r="O897" s="45" t="s">
        <v>5074</v>
      </c>
      <c r="P897" s="46">
        <v>4</v>
      </c>
      <c r="Q897" s="43">
        <v>2584.4275625052883</v>
      </c>
      <c r="R897" s="43">
        <v>2587.5540631777844</v>
      </c>
      <c r="S897" s="47">
        <v>0</v>
      </c>
      <c r="T897" s="48">
        <v>2578.9709116742683</v>
      </c>
      <c r="U897" s="48">
        <v>2583.5412969393633</v>
      </c>
      <c r="V897" s="48">
        <v>2576.4126976611146</v>
      </c>
      <c r="W897" s="48">
        <v>2587.5540631777844</v>
      </c>
    </row>
    <row r="898" spans="1:23" ht="13.2" x14ac:dyDescent="0.25">
      <c r="A898" s="41">
        <v>896</v>
      </c>
      <c r="B898" s="42">
        <v>0.27570888552614903</v>
      </c>
      <c r="C898" s="14" t="s">
        <v>5077</v>
      </c>
      <c r="D898" s="42">
        <v>0.80481635909751814</v>
      </c>
      <c r="E898" s="43">
        <v>47.243347231877664</v>
      </c>
      <c r="F898" s="42">
        <v>0.42226274238073397</v>
      </c>
      <c r="G898" s="43">
        <v>3.3226861163427523</v>
      </c>
      <c r="H898" s="42">
        <v>0.36339723708266264</v>
      </c>
      <c r="I898" s="43">
        <v>1.1616946299708617</v>
      </c>
      <c r="J898" s="42">
        <v>0.25819096493450505</v>
      </c>
      <c r="K898" s="43">
        <v>3.9534475728162728</v>
      </c>
      <c r="L898" s="43">
        <v>2588.3810100781047</v>
      </c>
      <c r="M898" s="44">
        <v>328.81369673386854</v>
      </c>
      <c r="N898" s="44">
        <v>590.54184039847075</v>
      </c>
      <c r="O898" s="45" t="s">
        <v>5074</v>
      </c>
      <c r="P898" s="46">
        <v>3</v>
      </c>
      <c r="Q898" s="43">
        <v>2588.3810100781047</v>
      </c>
      <c r="R898" s="43">
        <v>2591.7036961944473</v>
      </c>
      <c r="S898" s="47">
        <v>0</v>
      </c>
      <c r="T898" s="48">
        <v>2578.9709116742683</v>
      </c>
      <c r="U898" s="48">
        <v>2583.5412969393633</v>
      </c>
      <c r="V898" s="48">
        <v>2591.7036961944473</v>
      </c>
      <c r="W898" s="48">
        <v>2587.5540631777844</v>
      </c>
    </row>
    <row r="899" spans="1:23" ht="13.2" x14ac:dyDescent="0.25">
      <c r="A899" s="41">
        <v>897</v>
      </c>
      <c r="B899" s="42">
        <v>0.78804355291092931</v>
      </c>
      <c r="C899" s="14" t="s">
        <v>5078</v>
      </c>
      <c r="D899" s="42">
        <v>0.66704501056440413</v>
      </c>
      <c r="E899" s="43">
        <v>196.68180042257617</v>
      </c>
      <c r="F899" s="42">
        <v>0.56834566060842273</v>
      </c>
      <c r="G899" s="43">
        <v>5.9371945511536648</v>
      </c>
      <c r="H899" s="42">
        <v>3.2860180844022042E-2</v>
      </c>
      <c r="I899" s="43">
        <v>2.2866190016556041</v>
      </c>
      <c r="J899" s="42">
        <v>6.4655341703749883E-2</v>
      </c>
      <c r="K899" s="43">
        <v>7.9961592765436391</v>
      </c>
      <c r="L899" s="43">
        <v>2596.3771693546482</v>
      </c>
      <c r="M899" s="44">
        <v>1368.9053309411302</v>
      </c>
      <c r="N899" s="44">
        <v>2458.522505282202</v>
      </c>
      <c r="O899" s="45" t="s">
        <v>5074</v>
      </c>
      <c r="P899" s="46">
        <v>1</v>
      </c>
      <c r="Q899" s="43">
        <v>2596.3771693546482</v>
      </c>
      <c r="R899" s="43">
        <v>2602.3143639058021</v>
      </c>
      <c r="S899" s="47">
        <v>0</v>
      </c>
      <c r="T899" s="48">
        <v>2602.3143639058021</v>
      </c>
      <c r="U899" s="48">
        <v>2583.5412969393633</v>
      </c>
      <c r="V899" s="48">
        <v>2591.7036961944473</v>
      </c>
      <c r="W899" s="48">
        <v>2587.5540631777844</v>
      </c>
    </row>
    <row r="900" spans="1:23" ht="13.2" x14ac:dyDescent="0.25">
      <c r="A900" s="41">
        <v>898</v>
      </c>
      <c r="B900" s="42">
        <v>0.90478538018874144</v>
      </c>
      <c r="C900" s="14" t="s">
        <v>5075</v>
      </c>
      <c r="D900" s="42">
        <v>0.35709461074187171</v>
      </c>
      <c r="E900" s="43">
        <v>304.996622751931</v>
      </c>
      <c r="F900" s="42">
        <v>0.37908105988943996</v>
      </c>
      <c r="G900" s="43">
        <v>9.1043713091799852</v>
      </c>
      <c r="H900" s="42">
        <v>0.37334841600309521</v>
      </c>
      <c r="I900" s="43">
        <v>2.3641162144099543</v>
      </c>
      <c r="J900" s="42">
        <v>0.24428349791294127</v>
      </c>
      <c r="K900" s="43">
        <v>4.1151119750449761</v>
      </c>
      <c r="L900" s="43">
        <v>2600.492281329693</v>
      </c>
      <c r="M900" s="44">
        <v>2122.7764943534398</v>
      </c>
      <c r="N900" s="44">
        <v>3812.4577843991374</v>
      </c>
      <c r="O900" s="45" t="s">
        <v>5074</v>
      </c>
      <c r="P900" s="46">
        <v>2</v>
      </c>
      <c r="Q900" s="43">
        <v>2600.492281329693</v>
      </c>
      <c r="R900" s="43">
        <v>2609.5966526388729</v>
      </c>
      <c r="S900" s="47">
        <v>0</v>
      </c>
      <c r="T900" s="48">
        <v>2602.3143639058021</v>
      </c>
      <c r="U900" s="48">
        <v>2609.5966526388729</v>
      </c>
      <c r="V900" s="48">
        <v>2591.7036961944473</v>
      </c>
      <c r="W900" s="48">
        <v>2587.5540631777844</v>
      </c>
    </row>
    <row r="901" spans="1:23" ht="13.2" x14ac:dyDescent="0.25">
      <c r="A901" s="41">
        <v>899</v>
      </c>
      <c r="B901" s="42">
        <v>0.46149948447081235</v>
      </c>
      <c r="C901" s="14" t="s">
        <v>5077</v>
      </c>
      <c r="D901" s="42">
        <v>0.9015247248585917</v>
      </c>
      <c r="E901" s="43">
        <v>48.113722523727326</v>
      </c>
      <c r="F901" s="42">
        <v>0.91478119320924445</v>
      </c>
      <c r="G901" s="43">
        <v>3.5590949727404375</v>
      </c>
      <c r="H901" s="42">
        <v>0.63776256360009431</v>
      </c>
      <c r="I901" s="43">
        <v>1.296258936470468</v>
      </c>
      <c r="J901" s="42">
        <v>0.20331239290689695</v>
      </c>
      <c r="K901" s="43">
        <v>4.6511287634746479</v>
      </c>
      <c r="L901" s="43">
        <v>2605.1434100931679</v>
      </c>
      <c r="M901" s="44">
        <v>334.87150876514221</v>
      </c>
      <c r="N901" s="44">
        <v>601.42153154659161</v>
      </c>
      <c r="O901" s="45" t="s">
        <v>5074</v>
      </c>
      <c r="P901" s="46">
        <v>4</v>
      </c>
      <c r="Q901" s="43">
        <v>2605.1434100931679</v>
      </c>
      <c r="R901" s="43">
        <v>2608.7025050659081</v>
      </c>
      <c r="S901" s="47">
        <v>0</v>
      </c>
      <c r="T901" s="48">
        <v>2602.3143639058021</v>
      </c>
      <c r="U901" s="48">
        <v>2609.5966526388729</v>
      </c>
      <c r="V901" s="48">
        <v>2591.7036961944473</v>
      </c>
      <c r="W901" s="48">
        <v>2608.7025050659081</v>
      </c>
    </row>
    <row r="902" spans="1:23" ht="13.2" x14ac:dyDescent="0.25">
      <c r="A902" s="41">
        <v>900</v>
      </c>
      <c r="B902" s="42">
        <v>3.2939298559417622E-2</v>
      </c>
      <c r="C902" s="14" t="s">
        <v>5073</v>
      </c>
      <c r="D902" s="42">
        <v>0.75807056052520427</v>
      </c>
      <c r="E902" s="43">
        <v>370.96846726302454</v>
      </c>
      <c r="F902" s="42">
        <v>0.87189416162292199</v>
      </c>
      <c r="G902" s="43">
        <v>11.109028725879746</v>
      </c>
      <c r="H902" s="42">
        <v>0.10151134016993983</v>
      </c>
      <c r="I902" s="43">
        <v>2.8902140569673391</v>
      </c>
      <c r="J902" s="42">
        <v>0.63563231501524908</v>
      </c>
      <c r="K902" s="43">
        <v>1.323021909090883</v>
      </c>
      <c r="L902" s="43">
        <v>2606.4664320022589</v>
      </c>
      <c r="M902" s="44">
        <v>2581.9405321506506</v>
      </c>
      <c r="N902" s="44">
        <v>4637.1058407878063</v>
      </c>
      <c r="O902" s="45" t="s">
        <v>5074</v>
      </c>
      <c r="P902" s="46">
        <v>3</v>
      </c>
      <c r="Q902" s="43">
        <v>2606.4664320022589</v>
      </c>
      <c r="R902" s="43">
        <v>2617.5754607281388</v>
      </c>
      <c r="S902" s="47">
        <v>0</v>
      </c>
      <c r="T902" s="48">
        <v>2602.3143639058021</v>
      </c>
      <c r="U902" s="48">
        <v>2609.5966526388729</v>
      </c>
      <c r="V902" s="48">
        <v>2617.5754607281388</v>
      </c>
      <c r="W902" s="48">
        <v>2608.7025050659081</v>
      </c>
    </row>
    <row r="903" spans="1:23" ht="13.2" x14ac:dyDescent="0.25">
      <c r="A903" s="41">
        <v>901</v>
      </c>
      <c r="B903" s="42">
        <v>0.35128670341860813</v>
      </c>
      <c r="C903" s="14" t="s">
        <v>5077</v>
      </c>
      <c r="D903" s="42">
        <v>0.97214380464150751</v>
      </c>
      <c r="E903" s="43">
        <v>48.749294241773569</v>
      </c>
      <c r="F903" s="42">
        <v>0.1385568511386201</v>
      </c>
      <c r="G903" s="43">
        <v>3.1865072885465375</v>
      </c>
      <c r="H903" s="42">
        <v>0.81477745753469755</v>
      </c>
      <c r="I903" s="43">
        <v>1.411295749755245</v>
      </c>
      <c r="J903" s="42">
        <v>0.91963888840733043</v>
      </c>
      <c r="K903" s="43">
        <v>0.24459620027157164</v>
      </c>
      <c r="L903" s="43">
        <v>2606.7110282025305</v>
      </c>
      <c r="M903" s="44">
        <v>339.29508792274402</v>
      </c>
      <c r="N903" s="44">
        <v>609.36617802216961</v>
      </c>
      <c r="O903" s="45" t="s">
        <v>5074</v>
      </c>
      <c r="P903" s="46">
        <v>1</v>
      </c>
      <c r="Q903" s="43">
        <v>2606.7110282025305</v>
      </c>
      <c r="R903" s="43">
        <v>2609.8975354910772</v>
      </c>
      <c r="S903" s="47">
        <v>0</v>
      </c>
      <c r="T903" s="48">
        <v>2609.8975354910772</v>
      </c>
      <c r="U903" s="48">
        <v>2609.5966526388729</v>
      </c>
      <c r="V903" s="48">
        <v>2617.5754607281388</v>
      </c>
      <c r="W903" s="48">
        <v>2608.7025050659081</v>
      </c>
    </row>
    <row r="904" spans="1:23" ht="13.2" x14ac:dyDescent="0.25">
      <c r="A904" s="41">
        <v>902</v>
      </c>
      <c r="B904" s="42">
        <v>0.39286215761344051</v>
      </c>
      <c r="C904" s="14" t="s">
        <v>5077</v>
      </c>
      <c r="D904" s="42">
        <v>0.35503745794065178</v>
      </c>
      <c r="E904" s="43">
        <v>43.195337121465869</v>
      </c>
      <c r="F904" s="42">
        <v>0.19681460931748831</v>
      </c>
      <c r="G904" s="43">
        <v>3.2144710124723943</v>
      </c>
      <c r="H904" s="42">
        <v>0.30971013815594378</v>
      </c>
      <c r="I904" s="43">
        <v>1.1339096430715048</v>
      </c>
      <c r="J904" s="42">
        <v>0.73984996822655669</v>
      </c>
      <c r="K904" s="43">
        <v>0.87973097512229359</v>
      </c>
      <c r="L904" s="43">
        <v>2607.5907591776527</v>
      </c>
      <c r="M904" s="44">
        <v>301.90016574874039</v>
      </c>
      <c r="N904" s="44">
        <v>539.94171401832341</v>
      </c>
      <c r="O904" s="45" t="s">
        <v>5074</v>
      </c>
      <c r="P904" s="46">
        <v>4</v>
      </c>
      <c r="Q904" s="43">
        <v>2608.7025050659081</v>
      </c>
      <c r="R904" s="43">
        <v>2611.9169760783807</v>
      </c>
      <c r="S904" s="43">
        <v>1.1117458882554274</v>
      </c>
      <c r="T904" s="48">
        <v>2609.8975354910772</v>
      </c>
      <c r="U904" s="48">
        <v>2609.5966526388729</v>
      </c>
      <c r="V904" s="48">
        <v>2617.5754607281388</v>
      </c>
      <c r="W904" s="48">
        <v>2611.9169760783807</v>
      </c>
    </row>
    <row r="905" spans="1:23" ht="13.2" x14ac:dyDescent="0.25">
      <c r="A905" s="41">
        <v>903</v>
      </c>
      <c r="B905" s="42">
        <v>0.2404982551189597</v>
      </c>
      <c r="C905" s="14" t="s">
        <v>5077</v>
      </c>
      <c r="D905" s="42">
        <v>0.83023783230699499</v>
      </c>
      <c r="E905" s="43">
        <v>47.472140490762953</v>
      </c>
      <c r="F905" s="42">
        <v>9.995674672534538E-2</v>
      </c>
      <c r="G905" s="43">
        <v>3.167979238428166</v>
      </c>
      <c r="H905" s="42">
        <v>0.97597895142435043</v>
      </c>
      <c r="I905" s="43">
        <v>1.5960313900302485</v>
      </c>
      <c r="J905" s="42">
        <v>0.83625556288112679</v>
      </c>
      <c r="K905" s="43">
        <v>0.52210515441484351</v>
      </c>
      <c r="L905" s="43">
        <v>2608.1128643320676</v>
      </c>
      <c r="M905" s="44">
        <v>332.77427052953124</v>
      </c>
      <c r="N905" s="44">
        <v>593.40175613453687</v>
      </c>
      <c r="O905" s="45" t="s">
        <v>5074</v>
      </c>
      <c r="P905" s="46">
        <v>2</v>
      </c>
      <c r="Q905" s="43">
        <v>2609.5966526388729</v>
      </c>
      <c r="R905" s="43">
        <v>2612.7646318773009</v>
      </c>
      <c r="S905" s="43">
        <v>1.4837883068053088</v>
      </c>
      <c r="T905" s="48">
        <v>2609.8975354910772</v>
      </c>
      <c r="U905" s="48">
        <v>2612.7646318773009</v>
      </c>
      <c r="V905" s="48">
        <v>2617.5754607281388</v>
      </c>
      <c r="W905" s="48">
        <v>2611.9169760783807</v>
      </c>
    </row>
    <row r="906" spans="1:23" ht="13.2" x14ac:dyDescent="0.25">
      <c r="A906" s="41">
        <v>904</v>
      </c>
      <c r="B906" s="42">
        <v>0.76294065348940932</v>
      </c>
      <c r="C906" s="14" t="s">
        <v>5078</v>
      </c>
      <c r="D906" s="42">
        <v>0.26338540495530954</v>
      </c>
      <c r="E906" s="43">
        <v>180.53541619821237</v>
      </c>
      <c r="F906" s="42">
        <v>6.3319182518552605E-2</v>
      </c>
      <c r="G906" s="43">
        <v>5.4776204560918824</v>
      </c>
      <c r="H906" s="42">
        <v>0.83441763968878313</v>
      </c>
      <c r="I906" s="43">
        <v>3.7120064396411205</v>
      </c>
      <c r="J906" s="42">
        <v>0.49383891769397953</v>
      </c>
      <c r="K906" s="43">
        <v>2.0599880073331613</v>
      </c>
      <c r="L906" s="43">
        <v>2610.1728523394008</v>
      </c>
      <c r="M906" s="44">
        <v>1256.5264967395581</v>
      </c>
      <c r="N906" s="44">
        <v>2256.6927024776546</v>
      </c>
      <c r="O906" s="45" t="s">
        <v>5074</v>
      </c>
      <c r="P906" s="46">
        <v>1</v>
      </c>
      <c r="Q906" s="43">
        <v>2610.1728523394008</v>
      </c>
      <c r="R906" s="43">
        <v>2615.6504727954925</v>
      </c>
      <c r="S906" s="47">
        <v>0</v>
      </c>
      <c r="T906" s="48">
        <v>2615.6504727954925</v>
      </c>
      <c r="U906" s="48">
        <v>2612.7646318773009</v>
      </c>
      <c r="V906" s="48">
        <v>2617.5754607281388</v>
      </c>
      <c r="W906" s="48">
        <v>2611.9169760783807</v>
      </c>
    </row>
    <row r="907" spans="1:23" ht="13.2" x14ac:dyDescent="0.25">
      <c r="A907" s="41">
        <v>905</v>
      </c>
      <c r="B907" s="42">
        <v>0.69661051719291622</v>
      </c>
      <c r="C907" s="14" t="s">
        <v>5079</v>
      </c>
      <c r="D907" s="42">
        <v>9.3266484836706187E-2</v>
      </c>
      <c r="E907" s="43">
        <v>7.279799454510119</v>
      </c>
      <c r="F907" s="42">
        <v>0.86780876427321174</v>
      </c>
      <c r="G907" s="43">
        <v>1.5354589640700533</v>
      </c>
      <c r="H907" s="42">
        <v>0.85548781364014737</v>
      </c>
      <c r="I907" s="43">
        <v>0.55276947343034499</v>
      </c>
      <c r="J907" s="42">
        <v>0.32513531219453334</v>
      </c>
      <c r="K907" s="43">
        <v>3.2803323739739274</v>
      </c>
      <c r="L907" s="43">
        <v>2613.4531847133749</v>
      </c>
      <c r="M907" s="44">
        <v>50.667404203390426</v>
      </c>
      <c r="N907" s="44">
        <v>90.997493181376484</v>
      </c>
      <c r="O907" s="45" t="s">
        <v>5074</v>
      </c>
      <c r="P907" s="46">
        <v>4</v>
      </c>
      <c r="Q907" s="43">
        <v>2613.4531847133749</v>
      </c>
      <c r="R907" s="43">
        <v>2614.988643677445</v>
      </c>
      <c r="S907" s="47">
        <v>0</v>
      </c>
      <c r="T907" s="48">
        <v>2615.6504727954925</v>
      </c>
      <c r="U907" s="48">
        <v>2612.7646318773009</v>
      </c>
      <c r="V907" s="48">
        <v>2617.5754607281388</v>
      </c>
      <c r="W907" s="48">
        <v>2614.988643677445</v>
      </c>
    </row>
    <row r="908" spans="1:23" ht="13.2" x14ac:dyDescent="0.25">
      <c r="A908" s="41">
        <v>906</v>
      </c>
      <c r="B908" s="42">
        <v>0.32766655149295298</v>
      </c>
      <c r="C908" s="14" t="s">
        <v>5077</v>
      </c>
      <c r="D908" s="42">
        <v>0.63875975349860259</v>
      </c>
      <c r="E908" s="43">
        <v>45.748837781487424</v>
      </c>
      <c r="F908" s="42">
        <v>5.0828207307880839E-2</v>
      </c>
      <c r="G908" s="43">
        <v>3.144397539507783</v>
      </c>
      <c r="H908" s="42">
        <v>0.2939050962654432</v>
      </c>
      <c r="I908" s="43">
        <v>1.1252780881884907</v>
      </c>
      <c r="J908" s="42">
        <v>0.8524971827177783</v>
      </c>
      <c r="K908" s="43">
        <v>0.46594269944468508</v>
      </c>
      <c r="L908" s="43">
        <v>2613.9191274128198</v>
      </c>
      <c r="M908" s="44">
        <v>318.41191095915246</v>
      </c>
      <c r="N908" s="44">
        <v>571.86047226859284</v>
      </c>
      <c r="O908" s="45" t="s">
        <v>5074</v>
      </c>
      <c r="P908" s="46">
        <v>2</v>
      </c>
      <c r="Q908" s="43">
        <v>2613.9191274128198</v>
      </c>
      <c r="R908" s="43">
        <v>2617.0635249523275</v>
      </c>
      <c r="S908" s="47">
        <v>0</v>
      </c>
      <c r="T908" s="48">
        <v>2615.6504727954925</v>
      </c>
      <c r="U908" s="48">
        <v>2617.0635249523275</v>
      </c>
      <c r="V908" s="48">
        <v>2617.5754607281388</v>
      </c>
      <c r="W908" s="48">
        <v>2614.988643677445</v>
      </c>
    </row>
    <row r="909" spans="1:23" ht="13.2" x14ac:dyDescent="0.25">
      <c r="A909" s="41">
        <v>907</v>
      </c>
      <c r="B909" s="42">
        <v>0.34519925589915329</v>
      </c>
      <c r="C909" s="14" t="s">
        <v>5077</v>
      </c>
      <c r="D909" s="42">
        <v>0.26356148406097735</v>
      </c>
      <c r="E909" s="43">
        <v>42.372053356548797</v>
      </c>
      <c r="F909" s="42">
        <v>0.1513925442245754</v>
      </c>
      <c r="G909" s="43">
        <v>3.1926684212277965</v>
      </c>
      <c r="H909" s="42">
        <v>0.1468113573020377</v>
      </c>
      <c r="I909" s="43">
        <v>1.0298958212511344</v>
      </c>
      <c r="J909" s="42">
        <v>0.64664912021097221</v>
      </c>
      <c r="K909" s="43">
        <v>1.2728509478988939</v>
      </c>
      <c r="L909" s="43">
        <v>2615.1919783607186</v>
      </c>
      <c r="M909" s="44">
        <v>294.90949136157963</v>
      </c>
      <c r="N909" s="44">
        <v>529.65066695685994</v>
      </c>
      <c r="O909" s="45" t="s">
        <v>5074</v>
      </c>
      <c r="P909" s="46">
        <v>4</v>
      </c>
      <c r="Q909" s="43">
        <v>2615.1919783607186</v>
      </c>
      <c r="R909" s="43">
        <v>2618.3846467819462</v>
      </c>
      <c r="S909" s="47">
        <v>0</v>
      </c>
      <c r="T909" s="48">
        <v>2615.6504727954925</v>
      </c>
      <c r="U909" s="48">
        <v>2617.0635249523275</v>
      </c>
      <c r="V909" s="48">
        <v>2617.5754607281388</v>
      </c>
      <c r="W909" s="48">
        <v>2618.3846467819462</v>
      </c>
    </row>
    <row r="910" spans="1:23" ht="13.2" x14ac:dyDescent="0.25">
      <c r="A910" s="41">
        <v>908</v>
      </c>
      <c r="B910" s="42">
        <v>9.8955114418154175E-2</v>
      </c>
      <c r="C910" s="14" t="s">
        <v>5073</v>
      </c>
      <c r="D910" s="42">
        <v>0.7339628239786079</v>
      </c>
      <c r="E910" s="43">
        <v>368.07553887743296</v>
      </c>
      <c r="F910" s="42">
        <v>0.94171893826765896</v>
      </c>
      <c r="G910" s="43">
        <v>11.327580276777773</v>
      </c>
      <c r="H910" s="42">
        <v>0.18785592084185029</v>
      </c>
      <c r="I910" s="43">
        <v>3.0308331953286034</v>
      </c>
      <c r="J910" s="42">
        <v>0.34877522678523104</v>
      </c>
      <c r="K910" s="43">
        <v>3.0754090907870246</v>
      </c>
      <c r="L910" s="43">
        <v>2618.2673874515058</v>
      </c>
      <c r="M910" s="44">
        <v>2561.8057505869333</v>
      </c>
      <c r="N910" s="44">
        <v>4600.9442359679124</v>
      </c>
      <c r="O910" s="45" t="s">
        <v>5074</v>
      </c>
      <c r="P910" s="46">
        <v>1</v>
      </c>
      <c r="Q910" s="43">
        <v>2618.2673874515058</v>
      </c>
      <c r="R910" s="43">
        <v>2629.5949677282833</v>
      </c>
      <c r="S910" s="47">
        <v>0</v>
      </c>
      <c r="T910" s="48">
        <v>2629.5949677282833</v>
      </c>
      <c r="U910" s="48">
        <v>2617.0635249523275</v>
      </c>
      <c r="V910" s="48">
        <v>2617.5754607281388</v>
      </c>
      <c r="W910" s="48">
        <v>2618.3846467819462</v>
      </c>
    </row>
    <row r="911" spans="1:23" ht="13.2" x14ac:dyDescent="0.25">
      <c r="A911" s="41">
        <v>909</v>
      </c>
      <c r="B911" s="42">
        <v>0.55650063257501492</v>
      </c>
      <c r="C911" s="14" t="s">
        <v>5076</v>
      </c>
      <c r="D911" s="42">
        <v>0.68757287258634947</v>
      </c>
      <c r="E911" s="43">
        <v>41.875728725863496</v>
      </c>
      <c r="F911" s="42">
        <v>0.70787773919658625</v>
      </c>
      <c r="G911" s="43">
        <v>3.3656237600304295</v>
      </c>
      <c r="H911" s="42">
        <v>0.66597214372175384</v>
      </c>
      <c r="I911" s="43">
        <v>0.89417684888499871</v>
      </c>
      <c r="J911" s="42">
        <v>0.75466439814989661</v>
      </c>
      <c r="K911" s="43">
        <v>0.82184564764032264</v>
      </c>
      <c r="L911" s="43">
        <v>2619.089233099146</v>
      </c>
      <c r="M911" s="44">
        <v>291.45507193200996</v>
      </c>
      <c r="N911" s="44">
        <v>523.44660907329376</v>
      </c>
      <c r="O911" s="45" t="s">
        <v>5074</v>
      </c>
      <c r="P911" s="46">
        <v>2</v>
      </c>
      <c r="Q911" s="43">
        <v>2619.089233099146</v>
      </c>
      <c r="R911" s="43">
        <v>2622.4548568591763</v>
      </c>
      <c r="S911" s="47">
        <v>0</v>
      </c>
      <c r="T911" s="48">
        <v>2629.5949677282833</v>
      </c>
      <c r="U911" s="48">
        <v>2622.4548568591763</v>
      </c>
      <c r="V911" s="48">
        <v>2617.5754607281388</v>
      </c>
      <c r="W911" s="48">
        <v>2618.3846467819462</v>
      </c>
    </row>
    <row r="912" spans="1:23" ht="13.2" x14ac:dyDescent="0.25">
      <c r="A912" s="41">
        <v>910</v>
      </c>
      <c r="B912" s="42">
        <v>0.22946640254439152</v>
      </c>
      <c r="C912" s="14" t="s">
        <v>5073</v>
      </c>
      <c r="D912" s="42">
        <v>3.5831149218525343E-2</v>
      </c>
      <c r="E912" s="43">
        <v>284.29973790622302</v>
      </c>
      <c r="F912" s="42">
        <v>0.31578891180259588</v>
      </c>
      <c r="G912" s="43">
        <v>9.3684192939421251</v>
      </c>
      <c r="H912" s="42">
        <v>1.0554161859002971E-2</v>
      </c>
      <c r="I912" s="43">
        <v>2.6258222666641498</v>
      </c>
      <c r="J912" s="42">
        <v>0.13840430282913349</v>
      </c>
      <c r="K912" s="43">
        <v>5.7739449532145048</v>
      </c>
      <c r="L912" s="43">
        <v>2624.8631780523606</v>
      </c>
      <c r="M912" s="44">
        <v>1978.7261758273121</v>
      </c>
      <c r="N912" s="44">
        <v>3553.7467238277877</v>
      </c>
      <c r="O912" s="45" t="s">
        <v>5074</v>
      </c>
      <c r="P912" s="46">
        <v>3</v>
      </c>
      <c r="Q912" s="43">
        <v>2624.8631780523606</v>
      </c>
      <c r="R912" s="43">
        <v>2634.2315973463028</v>
      </c>
      <c r="S912" s="47">
        <v>0</v>
      </c>
      <c r="T912" s="48">
        <v>2629.5949677282833</v>
      </c>
      <c r="U912" s="48">
        <v>2622.4548568591763</v>
      </c>
      <c r="V912" s="48">
        <v>2634.2315973463028</v>
      </c>
      <c r="W912" s="48">
        <v>2618.3846467819462</v>
      </c>
    </row>
    <row r="913" spans="1:23" ht="13.2" x14ac:dyDescent="0.25">
      <c r="A913" s="41">
        <v>911</v>
      </c>
      <c r="B913" s="42">
        <v>0.89430260932739014</v>
      </c>
      <c r="C913" s="14" t="s">
        <v>5075</v>
      </c>
      <c r="D913" s="42">
        <v>0.52292661998557233</v>
      </c>
      <c r="E913" s="43">
        <v>316.60486339899006</v>
      </c>
      <c r="F913" s="42">
        <v>0.90426743072656335</v>
      </c>
      <c r="G913" s="43">
        <v>10.14949218714586</v>
      </c>
      <c r="H913" s="42">
        <v>0.21726607867389269</v>
      </c>
      <c r="I913" s="43">
        <v>2.1591905319008955</v>
      </c>
      <c r="J913" s="42">
        <v>0.29174060714046501</v>
      </c>
      <c r="K913" s="43">
        <v>3.5967597174453498</v>
      </c>
      <c r="L913" s="43">
        <v>2628.4599377698059</v>
      </c>
      <c r="M913" s="44">
        <v>2203.5698492569709</v>
      </c>
      <c r="N913" s="44">
        <v>3957.5607924873757</v>
      </c>
      <c r="O913" s="45" t="s">
        <v>5074</v>
      </c>
      <c r="P913" s="46">
        <v>4</v>
      </c>
      <c r="Q913" s="43">
        <v>2628.4599377698059</v>
      </c>
      <c r="R913" s="43">
        <v>2638.6094299569518</v>
      </c>
      <c r="S913" s="47">
        <v>0</v>
      </c>
      <c r="T913" s="48">
        <v>2629.5949677282833</v>
      </c>
      <c r="U913" s="48">
        <v>2622.4548568591763</v>
      </c>
      <c r="V913" s="48">
        <v>2634.2315973463028</v>
      </c>
      <c r="W913" s="48">
        <v>2638.6094299569518</v>
      </c>
    </row>
    <row r="914" spans="1:23" ht="13.2" x14ac:dyDescent="0.25">
      <c r="A914" s="41">
        <v>912</v>
      </c>
      <c r="B914" s="42">
        <v>6.2364283978177367E-3</v>
      </c>
      <c r="C914" s="14" t="s">
        <v>5073</v>
      </c>
      <c r="D914" s="42">
        <v>0.16311482347693054</v>
      </c>
      <c r="E914" s="43">
        <v>299.57377881723164</v>
      </c>
      <c r="F914" s="42">
        <v>0.17368388370316656</v>
      </c>
      <c r="G914" s="43">
        <v>8.9236305559909113</v>
      </c>
      <c r="H914" s="42">
        <v>0.63865695923504273</v>
      </c>
      <c r="I914" s="43">
        <v>3.4787673057742396</v>
      </c>
      <c r="J914" s="42">
        <v>0.94720665549263672</v>
      </c>
      <c r="K914" s="43">
        <v>0.15835909017722574</v>
      </c>
      <c r="L914" s="43">
        <v>2628.6182968599833</v>
      </c>
      <c r="M914" s="44">
        <v>2085.0335005679322</v>
      </c>
      <c r="N914" s="44">
        <v>3744.6722352153956</v>
      </c>
      <c r="O914" s="45" t="s">
        <v>5074</v>
      </c>
      <c r="P914" s="46">
        <v>2</v>
      </c>
      <c r="Q914" s="43">
        <v>2628.6182968599833</v>
      </c>
      <c r="R914" s="43">
        <v>2637.541927415974</v>
      </c>
      <c r="S914" s="47">
        <v>0</v>
      </c>
      <c r="T914" s="48">
        <v>2629.5949677282833</v>
      </c>
      <c r="U914" s="48">
        <v>2637.541927415974</v>
      </c>
      <c r="V914" s="48">
        <v>2634.2315973463028</v>
      </c>
      <c r="W914" s="48">
        <v>2638.6094299569518</v>
      </c>
    </row>
    <row r="915" spans="1:23" ht="13.2" x14ac:dyDescent="0.25">
      <c r="A915" s="41">
        <v>913</v>
      </c>
      <c r="B915" s="42">
        <v>0.6303698269791761</v>
      </c>
      <c r="C915" s="14" t="s">
        <v>5076</v>
      </c>
      <c r="D915" s="42">
        <v>0.80838845894131273</v>
      </c>
      <c r="E915" s="43">
        <v>43.083884589413131</v>
      </c>
      <c r="F915" s="42">
        <v>0.27175523446488903</v>
      </c>
      <c r="G915" s="43">
        <v>3.165007407853849</v>
      </c>
      <c r="H915" s="42">
        <v>0.85378361533106473</v>
      </c>
      <c r="I915" s="43">
        <v>0.99766219407312462</v>
      </c>
      <c r="J915" s="42">
        <v>0.64444488642944253</v>
      </c>
      <c r="K915" s="43">
        <v>1.2828203618840606</v>
      </c>
      <c r="L915" s="43">
        <v>2629.9011172218675</v>
      </c>
      <c r="M915" s="44">
        <v>299.86383674231541</v>
      </c>
      <c r="N915" s="44">
        <v>538.5485573676641</v>
      </c>
      <c r="O915" s="45" t="s">
        <v>5074</v>
      </c>
      <c r="P915" s="46">
        <v>1</v>
      </c>
      <c r="Q915" s="43">
        <v>2629.9011172218675</v>
      </c>
      <c r="R915" s="43">
        <v>2633.0661246297213</v>
      </c>
      <c r="S915" s="47">
        <v>0</v>
      </c>
      <c r="T915" s="48">
        <v>2633.0661246297213</v>
      </c>
      <c r="U915" s="48">
        <v>2637.541927415974</v>
      </c>
      <c r="V915" s="48">
        <v>2634.2315973463028</v>
      </c>
      <c r="W915" s="48">
        <v>2638.6094299569518</v>
      </c>
    </row>
    <row r="916" spans="1:23" ht="13.2" x14ac:dyDescent="0.25">
      <c r="A916" s="41">
        <v>914</v>
      </c>
      <c r="B916" s="42">
        <v>9.6719913695342802E-2</v>
      </c>
      <c r="C916" s="14" t="s">
        <v>5073</v>
      </c>
      <c r="D916" s="42">
        <v>0.18647968638058737</v>
      </c>
      <c r="E916" s="43">
        <v>302.37756236567049</v>
      </c>
      <c r="F916" s="42">
        <v>0.57210859310445772</v>
      </c>
      <c r="G916" s="43">
        <v>10.170699896416952</v>
      </c>
      <c r="H916" s="42">
        <v>0.52807314345989054</v>
      </c>
      <c r="I916" s="43">
        <v>3.3900054579550822</v>
      </c>
      <c r="J916" s="42">
        <v>0.4212535202602174</v>
      </c>
      <c r="K916" s="43">
        <v>2.5241472719698388</v>
      </c>
      <c r="L916" s="43">
        <v>2632.4252644938374</v>
      </c>
      <c r="M916" s="44">
        <v>2106.7203534234991</v>
      </c>
      <c r="N916" s="44">
        <v>3779.7195295708811</v>
      </c>
      <c r="O916" s="45" t="s">
        <v>5074</v>
      </c>
      <c r="P916" s="46">
        <v>1</v>
      </c>
      <c r="Q916" s="43">
        <v>2633.0661246297213</v>
      </c>
      <c r="R916" s="43">
        <v>2643.2368245261382</v>
      </c>
      <c r="S916" s="43">
        <v>0.64086013588394053</v>
      </c>
      <c r="T916" s="48">
        <v>2643.2368245261382</v>
      </c>
      <c r="U916" s="48">
        <v>2637.541927415974</v>
      </c>
      <c r="V916" s="48">
        <v>2634.2315973463028</v>
      </c>
      <c r="W916" s="48">
        <v>2638.6094299569518</v>
      </c>
    </row>
    <row r="917" spans="1:23" ht="13.2" x14ac:dyDescent="0.25">
      <c r="A917" s="41">
        <v>915</v>
      </c>
      <c r="B917" s="42">
        <v>0.48794708423686545</v>
      </c>
      <c r="C917" s="14" t="s">
        <v>5077</v>
      </c>
      <c r="D917" s="42">
        <v>0.59252531434992572</v>
      </c>
      <c r="E917" s="43">
        <v>45.332727829149334</v>
      </c>
      <c r="F917" s="42">
        <v>0.6710042560803724</v>
      </c>
      <c r="G917" s="43">
        <v>3.442082042918579</v>
      </c>
      <c r="H917" s="42">
        <v>0.83148812774172431</v>
      </c>
      <c r="I917" s="43">
        <v>1.4246269030638177</v>
      </c>
      <c r="J917" s="42">
        <v>0.24796523956952859</v>
      </c>
      <c r="K917" s="43">
        <v>4.0714356369839537</v>
      </c>
      <c r="L917" s="43">
        <v>2636.4967001308214</v>
      </c>
      <c r="M917" s="44">
        <v>315.51578569087934</v>
      </c>
      <c r="N917" s="44">
        <v>566.65909786436669</v>
      </c>
      <c r="O917" s="45" t="s">
        <v>5074</v>
      </c>
      <c r="P917" s="46">
        <v>3</v>
      </c>
      <c r="Q917" s="43">
        <v>2636.4967001308214</v>
      </c>
      <c r="R917" s="43">
        <v>2639.93878217374</v>
      </c>
      <c r="S917" s="47">
        <v>0</v>
      </c>
      <c r="T917" s="48">
        <v>2643.2368245261382</v>
      </c>
      <c r="U917" s="48">
        <v>2637.541927415974</v>
      </c>
      <c r="V917" s="48">
        <v>2639.93878217374</v>
      </c>
      <c r="W917" s="48">
        <v>2638.6094299569518</v>
      </c>
    </row>
    <row r="918" spans="1:23" ht="13.2" x14ac:dyDescent="0.25">
      <c r="A918" s="41">
        <v>916</v>
      </c>
      <c r="B918" s="42">
        <v>0.8125304155110058</v>
      </c>
      <c r="C918" s="14" t="s">
        <v>5078</v>
      </c>
      <c r="D918" s="42">
        <v>0.66201440275740553</v>
      </c>
      <c r="E918" s="43">
        <v>196.48057611029623</v>
      </c>
      <c r="F918" s="42">
        <v>0.99588571628364064</v>
      </c>
      <c r="G918" s="43">
        <v>6.3262560018181127</v>
      </c>
      <c r="H918" s="42">
        <v>0.14403297293187722</v>
      </c>
      <c r="I918" s="43">
        <v>2.6000686896761844</v>
      </c>
      <c r="J918" s="42">
        <v>0.95640537885781629</v>
      </c>
      <c r="K918" s="43">
        <v>0.13014137035514931</v>
      </c>
      <c r="L918" s="43">
        <v>2636.6268415011764</v>
      </c>
      <c r="M918" s="44">
        <v>1369.8840959630907</v>
      </c>
      <c r="N918" s="44">
        <v>2456.007201378703</v>
      </c>
      <c r="O918" s="45" t="s">
        <v>5074</v>
      </c>
      <c r="P918" s="46">
        <v>2</v>
      </c>
      <c r="Q918" s="43">
        <v>2637.541927415974</v>
      </c>
      <c r="R918" s="43">
        <v>2643.8681834177919</v>
      </c>
      <c r="S918" s="43">
        <v>0.91508591479760071</v>
      </c>
      <c r="T918" s="48">
        <v>2643.2368245261382</v>
      </c>
      <c r="U918" s="48">
        <v>2643.8681834177919</v>
      </c>
      <c r="V918" s="48">
        <v>2639.93878217374</v>
      </c>
      <c r="W918" s="48">
        <v>2638.6094299569518</v>
      </c>
    </row>
    <row r="919" spans="1:23" ht="13.2" x14ac:dyDescent="0.25">
      <c r="A919" s="41">
        <v>917</v>
      </c>
      <c r="B919" s="42">
        <v>0.13537925255269709</v>
      </c>
      <c r="C919" s="14" t="s">
        <v>5073</v>
      </c>
      <c r="D919" s="42">
        <v>0.62249122402746748</v>
      </c>
      <c r="E919" s="43">
        <v>354.69894688329612</v>
      </c>
      <c r="F919" s="42">
        <v>0.67681026629955054</v>
      </c>
      <c r="G919" s="43">
        <v>10.498416133517594</v>
      </c>
      <c r="H919" s="42">
        <v>8.0648205280605803E-2</v>
      </c>
      <c r="I919" s="43">
        <v>2.8478107357758078</v>
      </c>
      <c r="J919" s="42">
        <v>0.42603064627667453</v>
      </c>
      <c r="K919" s="43">
        <v>2.4912233450618682</v>
      </c>
      <c r="L919" s="43">
        <v>2639.1180648462382</v>
      </c>
      <c r="M919" s="44">
        <v>2468.7046703077408</v>
      </c>
      <c r="N919" s="44">
        <v>4433.7368360412011</v>
      </c>
      <c r="O919" s="45" t="s">
        <v>5074</v>
      </c>
      <c r="P919" s="46">
        <v>4</v>
      </c>
      <c r="Q919" s="43">
        <v>2639.1180648462382</v>
      </c>
      <c r="R919" s="43">
        <v>2649.6164809797556</v>
      </c>
      <c r="S919" s="47">
        <v>0</v>
      </c>
      <c r="T919" s="48">
        <v>2643.2368245261382</v>
      </c>
      <c r="U919" s="48">
        <v>2643.8681834177919</v>
      </c>
      <c r="V919" s="48">
        <v>2639.93878217374</v>
      </c>
      <c r="W919" s="48">
        <v>2649.6164809797556</v>
      </c>
    </row>
    <row r="920" spans="1:23" ht="13.2" x14ac:dyDescent="0.25">
      <c r="A920" s="41">
        <v>918</v>
      </c>
      <c r="B920" s="42">
        <v>0.13362962758803257</v>
      </c>
      <c r="C920" s="14" t="s">
        <v>5073</v>
      </c>
      <c r="D920" s="42">
        <v>0.32799691582470991</v>
      </c>
      <c r="E920" s="43">
        <v>319.35962989896518</v>
      </c>
      <c r="F920" s="42">
        <v>0.53844907113278706</v>
      </c>
      <c r="G920" s="43">
        <v>10.065345592645624</v>
      </c>
      <c r="H920" s="42">
        <v>0.41226324830775302</v>
      </c>
      <c r="I920" s="43">
        <v>3.2863808698471941</v>
      </c>
      <c r="J920" s="42">
        <v>0.95552540847823275</v>
      </c>
      <c r="K920" s="43">
        <v>0.13282897471945007</v>
      </c>
      <c r="L920" s="43">
        <v>2639.2508938209576</v>
      </c>
      <c r="M920" s="44">
        <v>2225.003687219973</v>
      </c>
      <c r="N920" s="44">
        <v>3991.9953737370647</v>
      </c>
      <c r="O920" s="45" t="s">
        <v>5074</v>
      </c>
      <c r="P920" s="46">
        <v>3</v>
      </c>
      <c r="Q920" s="43">
        <v>2639.93878217374</v>
      </c>
      <c r="R920" s="43">
        <v>2650.0041277663859</v>
      </c>
      <c r="S920" s="43">
        <v>0.68788835278246552</v>
      </c>
      <c r="T920" s="48">
        <v>2643.2368245261382</v>
      </c>
      <c r="U920" s="48">
        <v>2643.8681834177919</v>
      </c>
      <c r="V920" s="48">
        <v>2650.0041277663859</v>
      </c>
      <c r="W920" s="48">
        <v>2649.6164809797556</v>
      </c>
    </row>
    <row r="921" spans="1:23" ht="13.2" x14ac:dyDescent="0.25">
      <c r="A921" s="41">
        <v>919</v>
      </c>
      <c r="B921" s="42">
        <v>0.40268317628776801</v>
      </c>
      <c r="C921" s="14" t="s">
        <v>5077</v>
      </c>
      <c r="D921" s="42">
        <v>0.68614634298074351</v>
      </c>
      <c r="E921" s="43">
        <v>46.175317086826695</v>
      </c>
      <c r="F921" s="42">
        <v>0.21368596805896889</v>
      </c>
      <c r="G921" s="43">
        <v>3.2225692646683051</v>
      </c>
      <c r="H921" s="42">
        <v>0.10811930108262194</v>
      </c>
      <c r="I921" s="43">
        <v>0.99728899713299757</v>
      </c>
      <c r="J921" s="42">
        <v>0.75177049718413991</v>
      </c>
      <c r="K921" s="43">
        <v>0.83306333292532619</v>
      </c>
      <c r="L921" s="43">
        <v>2640.0839571538827</v>
      </c>
      <c r="M921" s="44">
        <v>324.52452686408384</v>
      </c>
      <c r="N921" s="44">
        <v>577.19146358533374</v>
      </c>
      <c r="O921" s="45" t="s">
        <v>5074</v>
      </c>
      <c r="P921" s="46">
        <v>1</v>
      </c>
      <c r="Q921" s="43">
        <v>2643.2368245261382</v>
      </c>
      <c r="R921" s="43">
        <v>2646.4593937908066</v>
      </c>
      <c r="S921" s="43">
        <v>3.1528673722555141</v>
      </c>
      <c r="T921" s="48">
        <v>2646.4593937908066</v>
      </c>
      <c r="U921" s="48">
        <v>2643.8681834177919</v>
      </c>
      <c r="V921" s="48">
        <v>2650.0041277663859</v>
      </c>
      <c r="W921" s="48">
        <v>2649.6164809797556</v>
      </c>
    </row>
    <row r="922" spans="1:23" ht="13.2" x14ac:dyDescent="0.25">
      <c r="A922" s="41">
        <v>920</v>
      </c>
      <c r="B922" s="42">
        <v>0.2589613763890049</v>
      </c>
      <c r="C922" s="14" t="s">
        <v>5077</v>
      </c>
      <c r="D922" s="42">
        <v>0.15716985434161959</v>
      </c>
      <c r="E922" s="43">
        <v>41.414528689074579</v>
      </c>
      <c r="F922" s="42">
        <v>0.62393393024054078</v>
      </c>
      <c r="G922" s="43">
        <v>3.4194882865154597</v>
      </c>
      <c r="H922" s="42">
        <v>9.7369581971955291E-2</v>
      </c>
      <c r="I922" s="43">
        <v>0.98722459643407945</v>
      </c>
      <c r="J922" s="42">
        <v>0.57556781478951113</v>
      </c>
      <c r="K922" s="43">
        <v>1.6128415225235908</v>
      </c>
      <c r="L922" s="43">
        <v>2641.6967986764062</v>
      </c>
      <c r="M922" s="44">
        <v>290.38876410097674</v>
      </c>
      <c r="N922" s="44">
        <v>517.68160861343222</v>
      </c>
      <c r="O922" s="45" t="s">
        <v>5074</v>
      </c>
      <c r="P922" s="46">
        <v>2</v>
      </c>
      <c r="Q922" s="43">
        <v>2643.8681834177919</v>
      </c>
      <c r="R922" s="43">
        <v>2647.2876717043073</v>
      </c>
      <c r="S922" s="43">
        <v>2.1713847413857366</v>
      </c>
      <c r="T922" s="48">
        <v>2646.4593937908066</v>
      </c>
      <c r="U922" s="48">
        <v>2647.2876717043073</v>
      </c>
      <c r="V922" s="48">
        <v>2650.0041277663859</v>
      </c>
      <c r="W922" s="48">
        <v>2649.6164809797556</v>
      </c>
    </row>
    <row r="923" spans="1:23" ht="13.2" x14ac:dyDescent="0.25">
      <c r="A923" s="41">
        <v>921</v>
      </c>
      <c r="B923" s="42">
        <v>0.48904845700089283</v>
      </c>
      <c r="C923" s="14" t="s">
        <v>5077</v>
      </c>
      <c r="D923" s="42">
        <v>0.85502535703360349</v>
      </c>
      <c r="E923" s="43">
        <v>47.695228213302428</v>
      </c>
      <c r="F923" s="42">
        <v>0.55455230481668949</v>
      </c>
      <c r="G923" s="43">
        <v>3.386185106312011</v>
      </c>
      <c r="H923" s="42">
        <v>0.6473109459724794</v>
      </c>
      <c r="I923" s="43">
        <v>1.3016156700968469</v>
      </c>
      <c r="J923" s="42">
        <v>0.72448078716382425</v>
      </c>
      <c r="K923" s="43">
        <v>0.94102200387011348</v>
      </c>
      <c r="L923" s="43">
        <v>2642.6378206802765</v>
      </c>
      <c r="M923" s="44">
        <v>336.93300780967172</v>
      </c>
      <c r="N923" s="44">
        <v>596.19035266628032</v>
      </c>
      <c r="O923" s="45" t="s">
        <v>5074</v>
      </c>
      <c r="P923" s="46">
        <v>1</v>
      </c>
      <c r="Q923" s="43">
        <v>2646.4593937908066</v>
      </c>
      <c r="R923" s="43">
        <v>2649.8455788971187</v>
      </c>
      <c r="S923" s="43">
        <v>3.8215731105301529</v>
      </c>
      <c r="T923" s="48">
        <v>2649.8455788971187</v>
      </c>
      <c r="U923" s="48">
        <v>2647.2876717043073</v>
      </c>
      <c r="V923" s="48">
        <v>2650.0041277663859</v>
      </c>
      <c r="W923" s="48">
        <v>2649.6164809797556</v>
      </c>
    </row>
    <row r="924" spans="1:23" ht="13.2" x14ac:dyDescent="0.25">
      <c r="A924" s="41">
        <v>922</v>
      </c>
      <c r="B924" s="42">
        <v>0.85438981040119655</v>
      </c>
      <c r="C924" s="14" t="s">
        <v>5081</v>
      </c>
      <c r="D924" s="42">
        <v>0.67129399751838947</v>
      </c>
      <c r="E924" s="43">
        <v>286.8517599007356</v>
      </c>
      <c r="F924" s="42">
        <v>0.11335524316567706</v>
      </c>
      <c r="G924" s="43">
        <v>8.3022216907340205</v>
      </c>
      <c r="H924" s="42">
        <v>0.10826629451860967</v>
      </c>
      <c r="I924" s="43">
        <v>3.4653306233606589</v>
      </c>
      <c r="J924" s="42">
        <v>0.42601953466703163</v>
      </c>
      <c r="K924" s="43">
        <v>2.4912994970459157</v>
      </c>
      <c r="L924" s="43">
        <v>2645.1291201773224</v>
      </c>
      <c r="M924" s="44">
        <v>2003.9683436176824</v>
      </c>
      <c r="N924" s="44">
        <v>3585.646998759195</v>
      </c>
      <c r="O924" s="45" t="s">
        <v>5074</v>
      </c>
      <c r="P924" s="46">
        <v>2</v>
      </c>
      <c r="Q924" s="43">
        <v>2647.2876717043073</v>
      </c>
      <c r="R924" s="43">
        <v>2655.5898933950411</v>
      </c>
      <c r="S924" s="43">
        <v>2.1585515269848656</v>
      </c>
      <c r="T924" s="48">
        <v>2649.8455788971187</v>
      </c>
      <c r="U924" s="48">
        <v>2655.5898933950411</v>
      </c>
      <c r="V924" s="48">
        <v>2650.0041277663859</v>
      </c>
      <c r="W924" s="48">
        <v>2649.6164809797556</v>
      </c>
    </row>
    <row r="925" spans="1:23" ht="13.2" x14ac:dyDescent="0.25">
      <c r="A925" s="41">
        <v>923</v>
      </c>
      <c r="B925" s="42">
        <v>0.63807758672073367</v>
      </c>
      <c r="C925" s="14" t="s">
        <v>5079</v>
      </c>
      <c r="D925" s="42">
        <v>0.56717227518892488</v>
      </c>
      <c r="E925" s="43">
        <v>8.7015168255667739</v>
      </c>
      <c r="F925" s="42">
        <v>0.90349479108280262</v>
      </c>
      <c r="G925" s="43">
        <v>1.5393844270191084</v>
      </c>
      <c r="H925" s="42">
        <v>0.13926304790157035</v>
      </c>
      <c r="I925" s="43">
        <v>0.31800976565588557</v>
      </c>
      <c r="J925" s="42">
        <v>0.29694430730163318</v>
      </c>
      <c r="K925" s="43">
        <v>3.5451406577108355</v>
      </c>
      <c r="L925" s="43">
        <v>2648.6742608350332</v>
      </c>
      <c r="M925" s="44">
        <v>60.862192313364154</v>
      </c>
      <c r="N925" s="44">
        <v>108.76896031958468</v>
      </c>
      <c r="O925" s="45" t="s">
        <v>5074</v>
      </c>
      <c r="P925" s="46">
        <v>4</v>
      </c>
      <c r="Q925" s="43">
        <v>2649.6164809797556</v>
      </c>
      <c r="R925" s="43">
        <v>2651.1558654067749</v>
      </c>
      <c r="S925" s="43">
        <v>0.9422201447223415</v>
      </c>
      <c r="T925" s="48">
        <v>2649.8455788971187</v>
      </c>
      <c r="U925" s="48">
        <v>2655.5898933950411</v>
      </c>
      <c r="V925" s="48">
        <v>2650.0041277663859</v>
      </c>
      <c r="W925" s="48">
        <v>2651.1558654067749</v>
      </c>
    </row>
    <row r="926" spans="1:23" ht="13.2" x14ac:dyDescent="0.25">
      <c r="A926" s="41">
        <v>924</v>
      </c>
      <c r="B926" s="42">
        <v>0.69524719691614023</v>
      </c>
      <c r="C926" s="14" t="s">
        <v>5079</v>
      </c>
      <c r="D926" s="42">
        <v>0.81258278424506203</v>
      </c>
      <c r="E926" s="43">
        <v>9.437748352735186</v>
      </c>
      <c r="F926" s="42">
        <v>0.83108145782308718</v>
      </c>
      <c r="G926" s="43">
        <v>1.5314189603605397</v>
      </c>
      <c r="H926" s="42">
        <v>0.33571892014505289</v>
      </c>
      <c r="I926" s="43">
        <v>0.38322634094066632</v>
      </c>
      <c r="J926" s="42">
        <v>7.690390109871696E-3</v>
      </c>
      <c r="K926" s="43">
        <v>14.212507349632439</v>
      </c>
      <c r="L926" s="43">
        <v>2662.8867681846655</v>
      </c>
      <c r="M926" s="44">
        <v>65.686728535036892</v>
      </c>
      <c r="N926" s="44">
        <v>117.97185440918983</v>
      </c>
      <c r="O926" s="45" t="s">
        <v>5074</v>
      </c>
      <c r="P926" s="46">
        <v>1</v>
      </c>
      <c r="Q926" s="43">
        <v>2662.8867681846655</v>
      </c>
      <c r="R926" s="43">
        <v>2664.418187145026</v>
      </c>
      <c r="S926" s="47">
        <v>0</v>
      </c>
      <c r="T926" s="48">
        <v>2664.418187145026</v>
      </c>
      <c r="U926" s="48">
        <v>2655.5898933950411</v>
      </c>
      <c r="V926" s="48">
        <v>2650.0041277663859</v>
      </c>
      <c r="W926" s="48">
        <v>2651.1558654067749</v>
      </c>
    </row>
    <row r="927" spans="1:23" ht="13.2" x14ac:dyDescent="0.25">
      <c r="A927" s="41">
        <v>925</v>
      </c>
      <c r="B927" s="42">
        <v>0.3187335800932411</v>
      </c>
      <c r="C927" s="14" t="s">
        <v>5077</v>
      </c>
      <c r="D927" s="42">
        <v>0.48454064805272068</v>
      </c>
      <c r="E927" s="43">
        <v>44.360865832474488</v>
      </c>
      <c r="F927" s="42">
        <v>0.49433590075668687</v>
      </c>
      <c r="G927" s="43">
        <v>3.35728123236321</v>
      </c>
      <c r="H927" s="42">
        <v>0.93734297013717838</v>
      </c>
      <c r="I927" s="43">
        <v>1.532084356183619</v>
      </c>
      <c r="J927" s="42">
        <v>0.27950353281549345</v>
      </c>
      <c r="K927" s="43">
        <v>3.7218696253946191</v>
      </c>
      <c r="L927" s="43">
        <v>2666.6086378100599</v>
      </c>
      <c r="M927" s="44">
        <v>308.75162619402244</v>
      </c>
      <c r="N927" s="44">
        <v>554.51082290593115</v>
      </c>
      <c r="O927" s="45" t="s">
        <v>5074</v>
      </c>
      <c r="P927" s="46">
        <v>3</v>
      </c>
      <c r="Q927" s="43">
        <v>2666.6086378100599</v>
      </c>
      <c r="R927" s="43">
        <v>2669.9659190424231</v>
      </c>
      <c r="S927" s="47">
        <v>0</v>
      </c>
      <c r="T927" s="48">
        <v>2664.418187145026</v>
      </c>
      <c r="U927" s="48">
        <v>2655.5898933950411</v>
      </c>
      <c r="V927" s="48">
        <v>2669.9659190424231</v>
      </c>
      <c r="W927" s="48">
        <v>2651.1558654067749</v>
      </c>
    </row>
    <row r="928" spans="1:23" ht="13.2" x14ac:dyDescent="0.25">
      <c r="A928" s="41">
        <v>926</v>
      </c>
      <c r="B928" s="42">
        <v>9.0095655103258634E-2</v>
      </c>
      <c r="C928" s="14" t="s">
        <v>5073</v>
      </c>
      <c r="D928" s="42">
        <v>0.94244669747652798</v>
      </c>
      <c r="E928" s="43">
        <v>393.09360369718337</v>
      </c>
      <c r="F928" s="42">
        <v>0.56125306364207206</v>
      </c>
      <c r="G928" s="43">
        <v>10.136722089199687</v>
      </c>
      <c r="H928" s="42">
        <v>0.22789476589667368</v>
      </c>
      <c r="I928" s="43">
        <v>3.0846726852222623</v>
      </c>
      <c r="J928" s="42">
        <v>7.3401066508796565E-3</v>
      </c>
      <c r="K928" s="43">
        <v>14.348618704726066</v>
      </c>
      <c r="L928" s="43">
        <v>2680.957256514786</v>
      </c>
      <c r="M928" s="44">
        <v>2735.9314817323962</v>
      </c>
      <c r="N928" s="44">
        <v>4913.6700462147919</v>
      </c>
      <c r="O928" s="45" t="s">
        <v>5074</v>
      </c>
      <c r="P928" s="46">
        <v>4</v>
      </c>
      <c r="Q928" s="43">
        <v>2680.957256514786</v>
      </c>
      <c r="R928" s="43">
        <v>2691.0939786039858</v>
      </c>
      <c r="S928" s="47">
        <v>0</v>
      </c>
      <c r="T928" s="48">
        <v>2664.418187145026</v>
      </c>
      <c r="U928" s="48">
        <v>2655.5898933950411</v>
      </c>
      <c r="V928" s="48">
        <v>2669.9659190424231</v>
      </c>
      <c r="W928" s="48">
        <v>2691.0939786039858</v>
      </c>
    </row>
    <row r="929" spans="1:23" ht="13.2" x14ac:dyDescent="0.25">
      <c r="A929" s="41">
        <v>927</v>
      </c>
      <c r="B929" s="42">
        <v>0.26315900136863768</v>
      </c>
      <c r="C929" s="14" t="s">
        <v>5077</v>
      </c>
      <c r="D929" s="42">
        <v>0.20888907751482402</v>
      </c>
      <c r="E929" s="43">
        <v>41.880001697633418</v>
      </c>
      <c r="F929" s="42">
        <v>0.56388630837383047</v>
      </c>
      <c r="G929" s="43">
        <v>3.3906654280194388</v>
      </c>
      <c r="H929" s="42">
        <v>0.32958189599662174</v>
      </c>
      <c r="I929" s="43">
        <v>1.1444553418932326</v>
      </c>
      <c r="J929" s="42">
        <v>0.77756972274629854</v>
      </c>
      <c r="K929" s="43">
        <v>0.73454587851509512</v>
      </c>
      <c r="L929" s="43">
        <v>2681.6918023933013</v>
      </c>
      <c r="M929" s="44">
        <v>291.48481181552859</v>
      </c>
      <c r="N929" s="44">
        <v>523.50002122041769</v>
      </c>
      <c r="O929" s="45" t="s">
        <v>5074</v>
      </c>
      <c r="P929" s="46">
        <v>2</v>
      </c>
      <c r="Q929" s="43">
        <v>2681.6918023933013</v>
      </c>
      <c r="R929" s="43">
        <v>2685.0824678213207</v>
      </c>
      <c r="S929" s="47">
        <v>0</v>
      </c>
      <c r="T929" s="48">
        <v>2664.418187145026</v>
      </c>
      <c r="U929" s="48">
        <v>2685.0824678213207</v>
      </c>
      <c r="V929" s="48">
        <v>2669.9659190424231</v>
      </c>
      <c r="W929" s="48">
        <v>2691.0939786039858</v>
      </c>
    </row>
    <row r="930" spans="1:23" ht="13.2" x14ac:dyDescent="0.25">
      <c r="A930" s="41">
        <v>928</v>
      </c>
      <c r="B930" s="42">
        <v>0.71489022845164418</v>
      </c>
      <c r="C930" s="14" t="s">
        <v>5079</v>
      </c>
      <c r="D930" s="42">
        <v>0.12964941893222248</v>
      </c>
      <c r="E930" s="43">
        <v>7.3889482567966676</v>
      </c>
      <c r="F930" s="42">
        <v>0.17118410355000949</v>
      </c>
      <c r="G930" s="43">
        <v>1.4588302513905009</v>
      </c>
      <c r="H930" s="42">
        <v>0.69209752543461389</v>
      </c>
      <c r="I930" s="43">
        <v>0.48509217979606251</v>
      </c>
      <c r="J930" s="42">
        <v>0.10565999667423777</v>
      </c>
      <c r="K930" s="43">
        <v>6.5621282298453849</v>
      </c>
      <c r="L930" s="43">
        <v>2688.2539306231465</v>
      </c>
      <c r="M930" s="44">
        <v>51.427079867304805</v>
      </c>
      <c r="N930" s="44">
        <v>92.36185320995834</v>
      </c>
      <c r="O930" s="45" t="s">
        <v>5074</v>
      </c>
      <c r="P930" s="46">
        <v>1</v>
      </c>
      <c r="Q930" s="43">
        <v>2688.2539306231465</v>
      </c>
      <c r="R930" s="43">
        <v>2689.7127608745368</v>
      </c>
      <c r="S930" s="47">
        <v>0</v>
      </c>
      <c r="T930" s="48">
        <v>2689.7127608745368</v>
      </c>
      <c r="U930" s="48">
        <v>2685.0824678213207</v>
      </c>
      <c r="V930" s="48">
        <v>2669.9659190424231</v>
      </c>
      <c r="W930" s="48">
        <v>2691.0939786039858</v>
      </c>
    </row>
    <row r="931" spans="1:23" ht="13.2" x14ac:dyDescent="0.25">
      <c r="A931" s="41">
        <v>929</v>
      </c>
      <c r="B931" s="42">
        <v>0.17810013153501791</v>
      </c>
      <c r="C931" s="14" t="s">
        <v>5073</v>
      </c>
      <c r="D931" s="42">
        <v>0.59357927161901225</v>
      </c>
      <c r="E931" s="43">
        <v>351.22951259428146</v>
      </c>
      <c r="F931" s="42">
        <v>9.2275822578126478E-3</v>
      </c>
      <c r="G931" s="43">
        <v>8.4088823324669537</v>
      </c>
      <c r="H931" s="42">
        <v>1.3493631507034242E-2</v>
      </c>
      <c r="I931" s="43">
        <v>2.6422689258431067</v>
      </c>
      <c r="J931" s="42">
        <v>0.95912019208032651</v>
      </c>
      <c r="K931" s="43">
        <v>0.12186534690659027</v>
      </c>
      <c r="L931" s="43">
        <v>2688.3757959700533</v>
      </c>
      <c r="M931" s="44">
        <v>2444.5574076561988</v>
      </c>
      <c r="N931" s="44">
        <v>4390.3689074285185</v>
      </c>
      <c r="O931" s="45" t="s">
        <v>5074</v>
      </c>
      <c r="P931" s="46">
        <v>3</v>
      </c>
      <c r="Q931" s="43">
        <v>2688.3757959700533</v>
      </c>
      <c r="R931" s="43">
        <v>2696.7846783025202</v>
      </c>
      <c r="S931" s="47">
        <v>0</v>
      </c>
      <c r="T931" s="48">
        <v>2689.7127608745368</v>
      </c>
      <c r="U931" s="48">
        <v>2685.0824678213207</v>
      </c>
      <c r="V931" s="48">
        <v>2696.7846783025202</v>
      </c>
      <c r="W931" s="48">
        <v>2691.0939786039858</v>
      </c>
    </row>
    <row r="932" spans="1:23" ht="13.2" x14ac:dyDescent="0.25">
      <c r="A932" s="41">
        <v>930</v>
      </c>
      <c r="B932" s="42">
        <v>9.858451322586486E-3</v>
      </c>
      <c r="C932" s="14" t="s">
        <v>5073</v>
      </c>
      <c r="D932" s="42">
        <v>0.11082367417906581</v>
      </c>
      <c r="E932" s="43">
        <v>293.29884090148789</v>
      </c>
      <c r="F932" s="42">
        <v>0.2483988554442296</v>
      </c>
      <c r="G932" s="43">
        <v>9.1574884175404385</v>
      </c>
      <c r="H932" s="42">
        <v>0.5769942521941821</v>
      </c>
      <c r="I932" s="43">
        <v>3.4303178909874159</v>
      </c>
      <c r="J932" s="42">
        <v>0.8297694669243737</v>
      </c>
      <c r="K932" s="43">
        <v>0.54483902909456017</v>
      </c>
      <c r="L932" s="43">
        <v>2688.9206349991478</v>
      </c>
      <c r="M932" s="44">
        <v>2041.3599326743558</v>
      </c>
      <c r="N932" s="44">
        <v>3666.2355112685987</v>
      </c>
      <c r="O932" s="45" t="s">
        <v>5074</v>
      </c>
      <c r="P932" s="46">
        <v>2</v>
      </c>
      <c r="Q932" s="43">
        <v>2688.9206349991478</v>
      </c>
      <c r="R932" s="43">
        <v>2698.0781234166884</v>
      </c>
      <c r="S932" s="47">
        <v>0</v>
      </c>
      <c r="T932" s="48">
        <v>2689.7127608745368</v>
      </c>
      <c r="U932" s="48">
        <v>2698.0781234166884</v>
      </c>
      <c r="V932" s="48">
        <v>2696.7846783025202</v>
      </c>
      <c r="W932" s="48">
        <v>2691.0939786039858</v>
      </c>
    </row>
    <row r="933" spans="1:23" ht="13.2" x14ac:dyDescent="0.25">
      <c r="A933" s="41">
        <v>931</v>
      </c>
      <c r="B933" s="42">
        <v>0.49406823911427905</v>
      </c>
      <c r="C933" s="14" t="s">
        <v>5076</v>
      </c>
      <c r="D933" s="42">
        <v>0.40784764122583328</v>
      </c>
      <c r="E933" s="43">
        <v>39.078476412258333</v>
      </c>
      <c r="F933" s="42">
        <v>6.7147376047050289E-2</v>
      </c>
      <c r="G933" s="43">
        <v>3.0708877929816434</v>
      </c>
      <c r="H933" s="42">
        <v>0.95825066229247058</v>
      </c>
      <c r="I933" s="43">
        <v>1.0918805542092069</v>
      </c>
      <c r="J933" s="42">
        <v>0.65578832042207402</v>
      </c>
      <c r="K933" s="43">
        <v>1.231875107721466</v>
      </c>
      <c r="L933" s="43">
        <v>2690.1525101068692</v>
      </c>
      <c r="M933" s="44">
        <v>271.98619582931798</v>
      </c>
      <c r="N933" s="44">
        <v>488.48095515322916</v>
      </c>
      <c r="O933" s="45" t="s">
        <v>5074</v>
      </c>
      <c r="P933" s="46">
        <v>1</v>
      </c>
      <c r="Q933" s="43">
        <v>2690.1525101068692</v>
      </c>
      <c r="R933" s="43">
        <v>2693.2233978998506</v>
      </c>
      <c r="S933" s="47">
        <v>0</v>
      </c>
      <c r="T933" s="48">
        <v>2693.2233978998506</v>
      </c>
      <c r="U933" s="48">
        <v>2698.0781234166884</v>
      </c>
      <c r="V933" s="48">
        <v>2696.7846783025202</v>
      </c>
      <c r="W933" s="48">
        <v>2691.0939786039858</v>
      </c>
    </row>
    <row r="934" spans="1:23" ht="13.2" x14ac:dyDescent="0.25">
      <c r="A934" s="41">
        <v>932</v>
      </c>
      <c r="B934" s="42">
        <v>0.52618649859269451</v>
      </c>
      <c r="C934" s="14" t="s">
        <v>5076</v>
      </c>
      <c r="D934" s="42">
        <v>5.3705950758283001E-2</v>
      </c>
      <c r="E934" s="43">
        <v>35.537059507582832</v>
      </c>
      <c r="F934" s="42">
        <v>0.36982187692533336</v>
      </c>
      <c r="G934" s="43">
        <v>3.2101180633856532</v>
      </c>
      <c r="H934" s="42">
        <v>0.23182508639610611</v>
      </c>
      <c r="I934" s="43">
        <v>0.72064285201017109</v>
      </c>
      <c r="J934" s="42">
        <v>0.12406942440386369</v>
      </c>
      <c r="K934" s="43">
        <v>6.0931795498496122</v>
      </c>
      <c r="L934" s="43">
        <v>2696.2456896567187</v>
      </c>
      <c r="M934" s="44">
        <v>247.3379341727765</v>
      </c>
      <c r="N934" s="44">
        <v>444.21324384478538</v>
      </c>
      <c r="O934" s="45" t="s">
        <v>5074</v>
      </c>
      <c r="P934" s="46">
        <v>4</v>
      </c>
      <c r="Q934" s="43">
        <v>2696.2456896567187</v>
      </c>
      <c r="R934" s="43">
        <v>2699.4558077201045</v>
      </c>
      <c r="S934" s="47">
        <v>0</v>
      </c>
      <c r="T934" s="48">
        <v>2693.2233978998506</v>
      </c>
      <c r="U934" s="48">
        <v>2698.0781234166884</v>
      </c>
      <c r="V934" s="48">
        <v>2696.7846783025202</v>
      </c>
      <c r="W934" s="48">
        <v>2699.4558077201045</v>
      </c>
    </row>
    <row r="935" spans="1:23" ht="13.2" x14ac:dyDescent="0.25">
      <c r="A935" s="41">
        <v>933</v>
      </c>
      <c r="B935" s="42">
        <v>0.13079178711901968</v>
      </c>
      <c r="C935" s="14" t="s">
        <v>5073</v>
      </c>
      <c r="D935" s="42">
        <v>0.67159023213739988</v>
      </c>
      <c r="E935" s="43">
        <v>360.59082785648798</v>
      </c>
      <c r="F935" s="42">
        <v>0.20328445136700032</v>
      </c>
      <c r="G935" s="43">
        <v>9.0162803327787113</v>
      </c>
      <c r="H935" s="42">
        <v>0.52354760212988949</v>
      </c>
      <c r="I935" s="43">
        <v>3.3861836170878101</v>
      </c>
      <c r="J935" s="42">
        <v>0.54457120017361416</v>
      </c>
      <c r="K935" s="43">
        <v>1.7744717742242748</v>
      </c>
      <c r="L935" s="43">
        <v>2698.0201614309431</v>
      </c>
      <c r="M935" s="44">
        <v>2509.7121618811561</v>
      </c>
      <c r="N935" s="44">
        <v>4507.3853482060995</v>
      </c>
      <c r="O935" s="45" t="s">
        <v>5074</v>
      </c>
      <c r="P935" s="46">
        <v>1</v>
      </c>
      <c r="Q935" s="43">
        <v>2698.0201614309431</v>
      </c>
      <c r="R935" s="43">
        <v>2707.036441763722</v>
      </c>
      <c r="S935" s="47">
        <v>0</v>
      </c>
      <c r="T935" s="48">
        <v>2707.036441763722</v>
      </c>
      <c r="U935" s="48">
        <v>2698.0781234166884</v>
      </c>
      <c r="V935" s="48">
        <v>2696.7846783025202</v>
      </c>
      <c r="W935" s="48">
        <v>2699.4558077201045</v>
      </c>
    </row>
    <row r="936" spans="1:23" ht="13.2" x14ac:dyDescent="0.25">
      <c r="A936" s="41">
        <v>934</v>
      </c>
      <c r="B936" s="42">
        <v>0.84910493104211282</v>
      </c>
      <c r="C936" s="14" t="s">
        <v>5081</v>
      </c>
      <c r="D936" s="42">
        <v>0.85747881878981314</v>
      </c>
      <c r="E936" s="43">
        <v>294.29915275159254</v>
      </c>
      <c r="F936" s="42">
        <v>0.40298205958818184</v>
      </c>
      <c r="G936" s="43">
        <v>8.5889522389922988</v>
      </c>
      <c r="H936" s="42">
        <v>0.18487196424271538</v>
      </c>
      <c r="I936" s="43">
        <v>3.6080657271096856</v>
      </c>
      <c r="J936" s="42">
        <v>0.47841705171317656</v>
      </c>
      <c r="K936" s="43">
        <v>2.1526202445773945</v>
      </c>
      <c r="L936" s="43">
        <v>2700.1727816755206</v>
      </c>
      <c r="M936" s="44">
        <v>2048.3221031510843</v>
      </c>
      <c r="N936" s="44">
        <v>3678.7394093949069</v>
      </c>
      <c r="O936" s="45" t="s">
        <v>5074</v>
      </c>
      <c r="P936" s="46">
        <v>3</v>
      </c>
      <c r="Q936" s="43">
        <v>2700.1727816755206</v>
      </c>
      <c r="R936" s="43">
        <v>2708.7617339145127</v>
      </c>
      <c r="S936" s="47">
        <v>0</v>
      </c>
      <c r="T936" s="48">
        <v>2707.036441763722</v>
      </c>
      <c r="U936" s="48">
        <v>2698.0781234166884</v>
      </c>
      <c r="V936" s="48">
        <v>2708.7617339145127</v>
      </c>
      <c r="W936" s="48">
        <v>2699.4558077201045</v>
      </c>
    </row>
    <row r="937" spans="1:23" ht="13.2" x14ac:dyDescent="0.25">
      <c r="A937" s="41">
        <v>935</v>
      </c>
      <c r="B937" s="42">
        <v>0.61513882112462948</v>
      </c>
      <c r="C937" s="14" t="s">
        <v>5076</v>
      </c>
      <c r="D937" s="42">
        <v>0.41836841982713363</v>
      </c>
      <c r="E937" s="43">
        <v>39.183684198271337</v>
      </c>
      <c r="F937" s="42">
        <v>0.16614870548534613</v>
      </c>
      <c r="G937" s="43">
        <v>3.1164284045232593</v>
      </c>
      <c r="H937" s="42">
        <v>0.14613394166628549</v>
      </c>
      <c r="I937" s="43">
        <v>0.67518027214820719</v>
      </c>
      <c r="J937" s="42">
        <v>7.1388019747747111E-2</v>
      </c>
      <c r="K937" s="43">
        <v>7.7069349324462006</v>
      </c>
      <c r="L937" s="43">
        <v>2707.8797166079667</v>
      </c>
      <c r="M937" s="44">
        <v>272.71844201996851</v>
      </c>
      <c r="N937" s="44">
        <v>489.79605247839169</v>
      </c>
      <c r="O937" s="45" t="s">
        <v>5074</v>
      </c>
      <c r="P937" s="46">
        <v>2</v>
      </c>
      <c r="Q937" s="43">
        <v>2707.8797166079667</v>
      </c>
      <c r="R937" s="43">
        <v>2710.9961450124897</v>
      </c>
      <c r="S937" s="47">
        <v>0</v>
      </c>
      <c r="T937" s="48">
        <v>2707.036441763722</v>
      </c>
      <c r="U937" s="48">
        <v>2710.9961450124897</v>
      </c>
      <c r="V937" s="48">
        <v>2708.7617339145127</v>
      </c>
      <c r="W937" s="48">
        <v>2699.4558077201045</v>
      </c>
    </row>
    <row r="938" spans="1:23" ht="13.2" x14ac:dyDescent="0.25">
      <c r="A938" s="41">
        <v>936</v>
      </c>
      <c r="B938" s="42">
        <v>0.61570656467960527</v>
      </c>
      <c r="C938" s="14" t="s">
        <v>5076</v>
      </c>
      <c r="D938" s="42">
        <v>0.44170926578422509</v>
      </c>
      <c r="E938" s="43">
        <v>39.417092657842254</v>
      </c>
      <c r="F938" s="42">
        <v>0.58776543316792951</v>
      </c>
      <c r="G938" s="43">
        <v>3.3103720992572474</v>
      </c>
      <c r="H938" s="42">
        <v>0.72977979375504876</v>
      </c>
      <c r="I938" s="43">
        <v>0.9249333576229456</v>
      </c>
      <c r="J938" s="42">
        <v>0.18333606849579889</v>
      </c>
      <c r="K938" s="43">
        <v>4.9530930524584651</v>
      </c>
      <c r="L938" s="43">
        <v>2712.832809660425</v>
      </c>
      <c r="M938" s="44">
        <v>274.34296489858207</v>
      </c>
      <c r="N938" s="44">
        <v>492.71365822302818</v>
      </c>
      <c r="O938" s="45" t="s">
        <v>5074</v>
      </c>
      <c r="P938" s="46">
        <v>4</v>
      </c>
      <c r="Q938" s="43">
        <v>2712.832809660425</v>
      </c>
      <c r="R938" s="43">
        <v>2716.1431817596822</v>
      </c>
      <c r="S938" s="47">
        <v>0</v>
      </c>
      <c r="T938" s="48">
        <v>2707.036441763722</v>
      </c>
      <c r="U938" s="48">
        <v>2710.9961450124897</v>
      </c>
      <c r="V938" s="48">
        <v>2708.7617339145127</v>
      </c>
      <c r="W938" s="48">
        <v>2716.1431817596822</v>
      </c>
    </row>
    <row r="939" spans="1:23" ht="13.2" x14ac:dyDescent="0.25">
      <c r="A939" s="41">
        <v>937</v>
      </c>
      <c r="B939" s="42">
        <v>0.9415489155526966</v>
      </c>
      <c r="C939" s="14" t="s">
        <v>5080</v>
      </c>
      <c r="D939" s="42">
        <v>0.18079629828259178</v>
      </c>
      <c r="E939" s="43">
        <v>89.519907457064789</v>
      </c>
      <c r="F939" s="42">
        <v>0.43053477696633652</v>
      </c>
      <c r="G939" s="43">
        <v>4.4424887795618213</v>
      </c>
      <c r="H939" s="42">
        <v>0.37176583724644308</v>
      </c>
      <c r="I939" s="43">
        <v>1.931671241497763</v>
      </c>
      <c r="J939" s="42">
        <v>2.3785815585304899E-3</v>
      </c>
      <c r="K939" s="43">
        <v>17.63868891322166</v>
      </c>
      <c r="L939" s="43">
        <v>2730.4714985736468</v>
      </c>
      <c r="M939" s="44">
        <v>623.05855590117096</v>
      </c>
      <c r="N939" s="44">
        <v>1118.9988432133098</v>
      </c>
      <c r="O939" s="45" t="s">
        <v>5074</v>
      </c>
      <c r="P939" s="46">
        <v>1</v>
      </c>
      <c r="Q939" s="43">
        <v>2730.4714985736468</v>
      </c>
      <c r="R939" s="43">
        <v>2734.9139873532085</v>
      </c>
      <c r="S939" s="47">
        <v>0</v>
      </c>
      <c r="T939" s="48">
        <v>2734.9139873532085</v>
      </c>
      <c r="U939" s="48">
        <v>2710.9961450124897</v>
      </c>
      <c r="V939" s="48">
        <v>2708.7617339145127</v>
      </c>
      <c r="W939" s="48">
        <v>2716.1431817596822</v>
      </c>
    </row>
    <row r="940" spans="1:23" ht="13.2" x14ac:dyDescent="0.25">
      <c r="A940" s="41">
        <v>938</v>
      </c>
      <c r="B940" s="42">
        <v>0.6806046588721707</v>
      </c>
      <c r="C940" s="14" t="s">
        <v>5079</v>
      </c>
      <c r="D940" s="42">
        <v>0.9419451458109287</v>
      </c>
      <c r="E940" s="43">
        <v>9.8258354374327865</v>
      </c>
      <c r="F940" s="42">
        <v>0.71596688205188463</v>
      </c>
      <c r="G940" s="43">
        <v>1.5187563570257074</v>
      </c>
      <c r="H940" s="42">
        <v>0.24648335913498112</v>
      </c>
      <c r="I940" s="43">
        <v>0.3569978850605896</v>
      </c>
      <c r="J940" s="42">
        <v>0.18550010034139272</v>
      </c>
      <c r="K940" s="43">
        <v>4.9188316963820249</v>
      </c>
      <c r="L940" s="43">
        <v>2735.3903302700287</v>
      </c>
      <c r="M940" s="44">
        <v>68.387814644532199</v>
      </c>
      <c r="N940" s="44">
        <v>122.82294296790982</v>
      </c>
      <c r="O940" s="45" t="s">
        <v>5074</v>
      </c>
      <c r="P940" s="46">
        <v>3</v>
      </c>
      <c r="Q940" s="43">
        <v>2735.3903302700287</v>
      </c>
      <c r="R940" s="43">
        <v>2736.9090866270544</v>
      </c>
      <c r="S940" s="47">
        <v>0</v>
      </c>
      <c r="T940" s="48">
        <v>2734.9139873532085</v>
      </c>
      <c r="U940" s="48">
        <v>2710.9961450124897</v>
      </c>
      <c r="V940" s="48">
        <v>2736.9090866270544</v>
      </c>
      <c r="W940" s="48">
        <v>2716.1431817596822</v>
      </c>
    </row>
    <row r="941" spans="1:23" ht="13.2" x14ac:dyDescent="0.25">
      <c r="A941" s="41">
        <v>939</v>
      </c>
      <c r="B941" s="42">
        <v>2.6656702638909548E-2</v>
      </c>
      <c r="C941" s="14" t="s">
        <v>5073</v>
      </c>
      <c r="D941" s="42">
        <v>0.22009597682398557</v>
      </c>
      <c r="E941" s="43">
        <v>306.41151721887826</v>
      </c>
      <c r="F941" s="42">
        <v>0.72795889048276419</v>
      </c>
      <c r="G941" s="43">
        <v>10.658511327211052</v>
      </c>
      <c r="H941" s="42">
        <v>0.2443167689462736</v>
      </c>
      <c r="I941" s="43">
        <v>3.1053719133057052</v>
      </c>
      <c r="J941" s="42">
        <v>0.84196624199020031</v>
      </c>
      <c r="K941" s="43">
        <v>0.5022346224576939</v>
      </c>
      <c r="L941" s="43">
        <v>2735.8925648924865</v>
      </c>
      <c r="M941" s="44">
        <v>2132.6241598433926</v>
      </c>
      <c r="N941" s="44">
        <v>3830.1439652359782</v>
      </c>
      <c r="O941" s="45" t="s">
        <v>5074</v>
      </c>
      <c r="P941" s="46">
        <v>2</v>
      </c>
      <c r="Q941" s="43">
        <v>2735.8925648924865</v>
      </c>
      <c r="R941" s="43">
        <v>2746.5510762196977</v>
      </c>
      <c r="S941" s="47">
        <v>0</v>
      </c>
      <c r="T941" s="48">
        <v>2734.9139873532085</v>
      </c>
      <c r="U941" s="48">
        <v>2746.5510762196977</v>
      </c>
      <c r="V941" s="48">
        <v>2736.9090866270544</v>
      </c>
      <c r="W941" s="48">
        <v>2716.1431817596822</v>
      </c>
    </row>
    <row r="942" spans="1:23" ht="13.2" x14ac:dyDescent="0.25">
      <c r="A942" s="41">
        <v>940</v>
      </c>
      <c r="B942" s="42">
        <v>0.33108468415731784</v>
      </c>
      <c r="C942" s="14" t="s">
        <v>5077</v>
      </c>
      <c r="D942" s="42">
        <v>0.20603290535790517</v>
      </c>
      <c r="E942" s="43">
        <v>41.854296148221145</v>
      </c>
      <c r="F942" s="42">
        <v>0.39392681298494658</v>
      </c>
      <c r="G942" s="43">
        <v>3.3090848702327746</v>
      </c>
      <c r="H942" s="42">
        <v>0.50051971408562723</v>
      </c>
      <c r="I942" s="43">
        <v>1.2259049371049433</v>
      </c>
      <c r="J942" s="42">
        <v>4.9224324547324484E-2</v>
      </c>
      <c r="K942" s="43">
        <v>8.7923135074206709</v>
      </c>
      <c r="L942" s="43">
        <v>2744.6848783999071</v>
      </c>
      <c r="M942" s="44">
        <v>291.30590119161917</v>
      </c>
      <c r="N942" s="44">
        <v>523.17870185276433</v>
      </c>
      <c r="O942" s="45" t="s">
        <v>5074</v>
      </c>
      <c r="P942" s="46">
        <v>4</v>
      </c>
      <c r="Q942" s="43">
        <v>2744.6848783999071</v>
      </c>
      <c r="R942" s="43">
        <v>2747.9939632701398</v>
      </c>
      <c r="S942" s="47">
        <v>0</v>
      </c>
      <c r="T942" s="48">
        <v>2734.9139873532085</v>
      </c>
      <c r="U942" s="48">
        <v>2746.5510762196977</v>
      </c>
      <c r="V942" s="48">
        <v>2736.9090866270544</v>
      </c>
      <c r="W942" s="48">
        <v>2747.9939632701398</v>
      </c>
    </row>
    <row r="943" spans="1:23" ht="13.2" x14ac:dyDescent="0.25">
      <c r="A943" s="41">
        <v>941</v>
      </c>
      <c r="B943" s="42">
        <v>0.59095308119009859</v>
      </c>
      <c r="C943" s="14" t="s">
        <v>5076</v>
      </c>
      <c r="D943" s="42">
        <v>0.64960389474854052</v>
      </c>
      <c r="E943" s="43">
        <v>41.496038947485403</v>
      </c>
      <c r="F943" s="42">
        <v>0.3950422603613894</v>
      </c>
      <c r="G943" s="43">
        <v>3.2217194397662392</v>
      </c>
      <c r="H943" s="42">
        <v>0.19056398756362683</v>
      </c>
      <c r="I943" s="43">
        <v>0.70004608816060776</v>
      </c>
      <c r="J943" s="42">
        <v>0.99353529186618295</v>
      </c>
      <c r="K943" s="43">
        <v>1.8936335349004491E-2</v>
      </c>
      <c r="L943" s="43">
        <v>2744.7038147352559</v>
      </c>
      <c r="M943" s="44">
        <v>288.81243107449842</v>
      </c>
      <c r="N943" s="44">
        <v>518.70048684356755</v>
      </c>
      <c r="O943" s="45" t="s">
        <v>5074</v>
      </c>
      <c r="P943" s="46">
        <v>1</v>
      </c>
      <c r="Q943" s="43">
        <v>2744.7038147352559</v>
      </c>
      <c r="R943" s="43">
        <v>2747.9255341750222</v>
      </c>
      <c r="S943" s="47">
        <v>0</v>
      </c>
      <c r="T943" s="48">
        <v>2747.9255341750222</v>
      </c>
      <c r="U943" s="48">
        <v>2746.5510762196977</v>
      </c>
      <c r="V943" s="48">
        <v>2736.9090866270544</v>
      </c>
      <c r="W943" s="48">
        <v>2747.9939632701398</v>
      </c>
    </row>
    <row r="944" spans="1:23" ht="13.2" x14ac:dyDescent="0.25">
      <c r="A944" s="41">
        <v>942</v>
      </c>
      <c r="B944" s="42">
        <v>0.80382950408562526</v>
      </c>
      <c r="C944" s="14" t="s">
        <v>5078</v>
      </c>
      <c r="D944" s="42">
        <v>0.77742407134614144</v>
      </c>
      <c r="E944" s="43">
        <v>201.09696285384567</v>
      </c>
      <c r="F944" s="42">
        <v>0.27449338197451706</v>
      </c>
      <c r="G944" s="43">
        <v>5.6697889775968102</v>
      </c>
      <c r="H944" s="42">
        <v>0.56876707895135836</v>
      </c>
      <c r="I944" s="43">
        <v>3.2283383099533092</v>
      </c>
      <c r="J944" s="42">
        <v>0.49422745569340298</v>
      </c>
      <c r="K944" s="43">
        <v>2.0576917697410497</v>
      </c>
      <c r="L944" s="43">
        <v>2746.7615065049972</v>
      </c>
      <c r="M944" s="44">
        <v>1399.6348614627659</v>
      </c>
      <c r="N944" s="44">
        <v>2513.7120356730707</v>
      </c>
      <c r="O944" s="45" t="s">
        <v>5074</v>
      </c>
      <c r="P944" s="46">
        <v>3</v>
      </c>
      <c r="Q944" s="43">
        <v>2746.7615065049972</v>
      </c>
      <c r="R944" s="43">
        <v>2752.4312954825941</v>
      </c>
      <c r="S944" s="47">
        <v>0</v>
      </c>
      <c r="T944" s="48">
        <v>2747.9255341750222</v>
      </c>
      <c r="U944" s="48">
        <v>2746.5510762196977</v>
      </c>
      <c r="V944" s="48">
        <v>2752.4312954825941</v>
      </c>
      <c r="W944" s="48">
        <v>2747.9939632701398</v>
      </c>
    </row>
    <row r="945" spans="1:23" ht="13.2" x14ac:dyDescent="0.25">
      <c r="A945" s="41">
        <v>943</v>
      </c>
      <c r="B945" s="42">
        <v>0.42782400754644723</v>
      </c>
      <c r="C945" s="14" t="s">
        <v>5077</v>
      </c>
      <c r="D945" s="42">
        <v>0.22829719596928785</v>
      </c>
      <c r="E945" s="43">
        <v>42.05467476372359</v>
      </c>
      <c r="F945" s="42">
        <v>0.8622567247889269</v>
      </c>
      <c r="G945" s="43">
        <v>3.5338832278986851</v>
      </c>
      <c r="H945" s="42">
        <v>0.34696523442257438</v>
      </c>
      <c r="I945" s="43">
        <v>1.153422529548028</v>
      </c>
      <c r="J945" s="42">
        <v>0.77896318155292565</v>
      </c>
      <c r="K945" s="43">
        <v>0.7293182422194362</v>
      </c>
      <c r="L945" s="43">
        <v>2747.4908247472167</v>
      </c>
      <c r="M945" s="44">
        <v>292.70053635551619</v>
      </c>
      <c r="N945" s="44">
        <v>525.68343454654485</v>
      </c>
      <c r="O945" s="45" t="s">
        <v>5074</v>
      </c>
      <c r="P945" s="46">
        <v>2</v>
      </c>
      <c r="Q945" s="43">
        <v>2747.4908247472167</v>
      </c>
      <c r="R945" s="43">
        <v>2751.0247079751152</v>
      </c>
      <c r="S945" s="47">
        <v>0</v>
      </c>
      <c r="T945" s="48">
        <v>2747.9255341750222</v>
      </c>
      <c r="U945" s="48">
        <v>2751.0247079751152</v>
      </c>
      <c r="V945" s="48">
        <v>2752.4312954825941</v>
      </c>
      <c r="W945" s="48">
        <v>2747.9939632701398</v>
      </c>
    </row>
    <row r="946" spans="1:23" ht="13.2" x14ac:dyDescent="0.25">
      <c r="A946" s="41">
        <v>944</v>
      </c>
      <c r="B946" s="42">
        <v>0.16191032955511955</v>
      </c>
      <c r="C946" s="14" t="s">
        <v>5073</v>
      </c>
      <c r="D946" s="42">
        <v>0.26343868126321524</v>
      </c>
      <c r="E946" s="43">
        <v>311.61264175158584</v>
      </c>
      <c r="F946" s="42">
        <v>0.74306559923247695</v>
      </c>
      <c r="G946" s="43">
        <v>10.705795325597652</v>
      </c>
      <c r="H946" s="42">
        <v>0.7386983846028794</v>
      </c>
      <c r="I946" s="43">
        <v>3.5573079947098205</v>
      </c>
      <c r="J946" s="42">
        <v>0.40076705366408782</v>
      </c>
      <c r="K946" s="43">
        <v>2.6697078365755091</v>
      </c>
      <c r="L946" s="43">
        <v>2750.1605325837922</v>
      </c>
      <c r="M946" s="44">
        <v>2168.8239865910373</v>
      </c>
      <c r="N946" s="44">
        <v>3895.1580218948229</v>
      </c>
      <c r="O946" s="45" t="s">
        <v>5074</v>
      </c>
      <c r="P946" s="46">
        <v>1</v>
      </c>
      <c r="Q946" s="43">
        <v>2750.1605325837922</v>
      </c>
      <c r="R946" s="43">
        <v>2760.8663279093898</v>
      </c>
      <c r="S946" s="47">
        <v>0</v>
      </c>
      <c r="T946" s="48">
        <v>2760.8663279093898</v>
      </c>
      <c r="U946" s="48">
        <v>2751.0247079751152</v>
      </c>
      <c r="V946" s="48">
        <v>2752.4312954825941</v>
      </c>
      <c r="W946" s="48">
        <v>2747.9939632701398</v>
      </c>
    </row>
    <row r="947" spans="1:23" ht="13.2" x14ac:dyDescent="0.25">
      <c r="A947" s="41">
        <v>945</v>
      </c>
      <c r="B947" s="42">
        <v>0.2521361616682895</v>
      </c>
      <c r="C947" s="14" t="s">
        <v>5077</v>
      </c>
      <c r="D947" s="42">
        <v>0.41663685553550572</v>
      </c>
      <c r="E947" s="43">
        <v>43.749731699819549</v>
      </c>
      <c r="F947" s="42">
        <v>0.93409618359715496</v>
      </c>
      <c r="G947" s="43">
        <v>3.5683661681266345</v>
      </c>
      <c r="H947" s="42">
        <v>0.92213800033653992</v>
      </c>
      <c r="I947" s="43">
        <v>1.5128158664615052</v>
      </c>
      <c r="J947" s="42">
        <v>0.22714612503868814</v>
      </c>
      <c r="K947" s="43">
        <v>4.3274795502595227</v>
      </c>
      <c r="L947" s="43">
        <v>2754.4880121340516</v>
      </c>
      <c r="M947" s="44">
        <v>304.49813263074407</v>
      </c>
      <c r="N947" s="44">
        <v>546.87164624774437</v>
      </c>
      <c r="O947" s="45" t="s">
        <v>5074</v>
      </c>
      <c r="P947" s="46">
        <v>4</v>
      </c>
      <c r="Q947" s="43">
        <v>2754.4880121340516</v>
      </c>
      <c r="R947" s="43">
        <v>2758.056378302178</v>
      </c>
      <c r="S947" s="47">
        <v>0</v>
      </c>
      <c r="T947" s="48">
        <v>2760.8663279093898</v>
      </c>
      <c r="U947" s="48">
        <v>2751.0247079751152</v>
      </c>
      <c r="V947" s="48">
        <v>2752.4312954825941</v>
      </c>
      <c r="W947" s="48">
        <v>2758.056378302178</v>
      </c>
    </row>
    <row r="948" spans="1:23" ht="13.2" x14ac:dyDescent="0.25">
      <c r="A948" s="41">
        <v>946</v>
      </c>
      <c r="B948" s="42">
        <v>0.87591596826720797</v>
      </c>
      <c r="C948" s="14" t="s">
        <v>5081</v>
      </c>
      <c r="D948" s="42">
        <v>0.49921592022255806</v>
      </c>
      <c r="E948" s="43">
        <v>279.96863680890232</v>
      </c>
      <c r="F948" s="42">
        <v>0.85174439933697899</v>
      </c>
      <c r="G948" s="43">
        <v>9.0332269553436095</v>
      </c>
      <c r="H948" s="42">
        <v>0.318442330843975</v>
      </c>
      <c r="I948" s="43">
        <v>3.7980505383044045</v>
      </c>
      <c r="J948" s="42">
        <v>0.69288401337940431</v>
      </c>
      <c r="K948" s="43">
        <v>1.0712194530243886</v>
      </c>
      <c r="L948" s="43">
        <v>2755.5592315870758</v>
      </c>
      <c r="M948" s="44">
        <v>1948.5817121899602</v>
      </c>
      <c r="N948" s="44">
        <v>3499.6079601112788</v>
      </c>
      <c r="O948" s="45" t="s">
        <v>5074</v>
      </c>
      <c r="P948" s="46">
        <v>2</v>
      </c>
      <c r="Q948" s="43">
        <v>2755.5592315870758</v>
      </c>
      <c r="R948" s="43">
        <v>2764.5924585424195</v>
      </c>
      <c r="S948" s="47">
        <v>0</v>
      </c>
      <c r="T948" s="48">
        <v>2760.8663279093898</v>
      </c>
      <c r="U948" s="48">
        <v>2764.5924585424195</v>
      </c>
      <c r="V948" s="48">
        <v>2752.4312954825941</v>
      </c>
      <c r="W948" s="48">
        <v>2758.056378302178</v>
      </c>
    </row>
    <row r="949" spans="1:23" ht="13.2" x14ac:dyDescent="0.25">
      <c r="A949" s="41">
        <v>947</v>
      </c>
      <c r="B949" s="42">
        <v>0.23450629889709237</v>
      </c>
      <c r="C949" s="14" t="s">
        <v>5077</v>
      </c>
      <c r="D949" s="42">
        <v>6.9307628585634579E-2</v>
      </c>
      <c r="E949" s="43">
        <v>40.623768657270709</v>
      </c>
      <c r="F949" s="42">
        <v>0.75260744930832058</v>
      </c>
      <c r="G949" s="43">
        <v>3.481251575667994</v>
      </c>
      <c r="H949" s="42">
        <v>0.3866958782946206</v>
      </c>
      <c r="I949" s="43">
        <v>1.1731092550260089</v>
      </c>
      <c r="J949" s="42">
        <v>0.42895429927341372</v>
      </c>
      <c r="K949" s="43">
        <v>2.4712551656317805</v>
      </c>
      <c r="L949" s="43">
        <v>2758.0304867527075</v>
      </c>
      <c r="M949" s="44">
        <v>282.74142985460412</v>
      </c>
      <c r="N949" s="44">
        <v>507.79710821588384</v>
      </c>
      <c r="O949" s="45" t="s">
        <v>5074</v>
      </c>
      <c r="P949" s="46">
        <v>3</v>
      </c>
      <c r="Q949" s="43">
        <v>2758.0304867527075</v>
      </c>
      <c r="R949" s="43">
        <v>2761.5117383283755</v>
      </c>
      <c r="S949" s="47">
        <v>0</v>
      </c>
      <c r="T949" s="48">
        <v>2760.8663279093898</v>
      </c>
      <c r="U949" s="48">
        <v>2764.5924585424195</v>
      </c>
      <c r="V949" s="48">
        <v>2761.5117383283755</v>
      </c>
      <c r="W949" s="48">
        <v>2758.056378302178</v>
      </c>
    </row>
    <row r="950" spans="1:23" ht="13.2" x14ac:dyDescent="0.25">
      <c r="A950" s="41">
        <v>948</v>
      </c>
      <c r="B950" s="42">
        <v>0.62713402492326409</v>
      </c>
      <c r="C950" s="14" t="s">
        <v>5076</v>
      </c>
      <c r="D950" s="42">
        <v>0.73497134201925773</v>
      </c>
      <c r="E950" s="43">
        <v>42.349713420192579</v>
      </c>
      <c r="F950" s="42">
        <v>0.64521055093277735</v>
      </c>
      <c r="G950" s="43">
        <v>3.3367968534290777</v>
      </c>
      <c r="H950" s="42">
        <v>0.56442732716185384</v>
      </c>
      <c r="I950" s="43">
        <v>0.8507717817892132</v>
      </c>
      <c r="J950" s="42">
        <v>0.86888003063801678</v>
      </c>
      <c r="K950" s="43">
        <v>0.41036559926672034</v>
      </c>
      <c r="L950" s="43">
        <v>2758.4408523519742</v>
      </c>
      <c r="M950" s="44">
        <v>294.75400540454035</v>
      </c>
      <c r="N950" s="44">
        <v>529.37141775240718</v>
      </c>
      <c r="O950" s="45" t="s">
        <v>5074</v>
      </c>
      <c r="P950" s="46">
        <v>4</v>
      </c>
      <c r="Q950" s="43">
        <v>2758.4408523519742</v>
      </c>
      <c r="R950" s="43">
        <v>2761.7776492054031</v>
      </c>
      <c r="S950" s="47">
        <v>0</v>
      </c>
      <c r="T950" s="48">
        <v>2760.8663279093898</v>
      </c>
      <c r="U950" s="48">
        <v>2764.5924585424195</v>
      </c>
      <c r="V950" s="48">
        <v>2761.5117383283755</v>
      </c>
      <c r="W950" s="48">
        <v>2761.7776492054031</v>
      </c>
    </row>
    <row r="951" spans="1:23" ht="13.2" x14ac:dyDescent="0.25">
      <c r="A951" s="41">
        <v>949</v>
      </c>
      <c r="B951" s="42">
        <v>5.1336907805566165E-3</v>
      </c>
      <c r="C951" s="14" t="s">
        <v>5073</v>
      </c>
      <c r="D951" s="42">
        <v>0.62878245191126247</v>
      </c>
      <c r="E951" s="43">
        <v>355.45389422935148</v>
      </c>
      <c r="F951" s="42">
        <v>0.58290354003333655</v>
      </c>
      <c r="G951" s="43">
        <v>10.204488080304344</v>
      </c>
      <c r="H951" s="42">
        <v>0.98710993537079073</v>
      </c>
      <c r="I951" s="43">
        <v>3.9016763076776155</v>
      </c>
      <c r="J951" s="42">
        <v>0.63730901136869056</v>
      </c>
      <c r="K951" s="43">
        <v>1.3153303265562195</v>
      </c>
      <c r="L951" s="43">
        <v>2759.7561826785304</v>
      </c>
      <c r="M951" s="44">
        <v>2478.2905311816121</v>
      </c>
      <c r="N951" s="44">
        <v>4443.1736778668937</v>
      </c>
      <c r="O951" s="45" t="s">
        <v>5074</v>
      </c>
      <c r="P951" s="46">
        <v>1</v>
      </c>
      <c r="Q951" s="43">
        <v>2760.8663279093898</v>
      </c>
      <c r="R951" s="43">
        <v>2771.070815989694</v>
      </c>
      <c r="S951" s="43">
        <v>1.1101452308594162</v>
      </c>
      <c r="T951" s="48">
        <v>2771.070815989694</v>
      </c>
      <c r="U951" s="48">
        <v>2764.5924585424195</v>
      </c>
      <c r="V951" s="48">
        <v>2761.5117383283755</v>
      </c>
      <c r="W951" s="48">
        <v>2761.7776492054031</v>
      </c>
    </row>
    <row r="952" spans="1:23" ht="13.2" x14ac:dyDescent="0.25">
      <c r="A952" s="41">
        <v>950</v>
      </c>
      <c r="B952" s="42">
        <v>0.25428441551247816</v>
      </c>
      <c r="C952" s="14" t="s">
        <v>5077</v>
      </c>
      <c r="D952" s="42">
        <v>0.2388668536389558</v>
      </c>
      <c r="E952" s="43">
        <v>42.149801682750599</v>
      </c>
      <c r="F952" s="42">
        <v>0.32168932879422296</v>
      </c>
      <c r="G952" s="43">
        <v>3.2744108778212273</v>
      </c>
      <c r="H952" s="42">
        <v>0.40214714985440819</v>
      </c>
      <c r="I952" s="43">
        <v>1.180490438707186</v>
      </c>
      <c r="J952" s="42">
        <v>0.45674735468660826</v>
      </c>
      <c r="K952" s="43">
        <v>2.2879558404116587</v>
      </c>
      <c r="L952" s="43">
        <v>2762.044138518942</v>
      </c>
      <c r="M952" s="44">
        <v>293.36261971194415</v>
      </c>
      <c r="N952" s="44">
        <v>526.87252103438254</v>
      </c>
      <c r="O952" s="45" t="s">
        <v>5074</v>
      </c>
      <c r="P952" s="46">
        <v>3</v>
      </c>
      <c r="Q952" s="43">
        <v>2762.044138518942</v>
      </c>
      <c r="R952" s="43">
        <v>2765.318549396763</v>
      </c>
      <c r="S952" s="47">
        <v>0</v>
      </c>
      <c r="T952" s="48">
        <v>2771.070815989694</v>
      </c>
      <c r="U952" s="48">
        <v>2764.5924585424195</v>
      </c>
      <c r="V952" s="48">
        <v>2765.318549396763</v>
      </c>
      <c r="W952" s="48">
        <v>2761.7776492054031</v>
      </c>
    </row>
    <row r="953" spans="1:23" ht="13.2" x14ac:dyDescent="0.25">
      <c r="A953" s="41">
        <v>951</v>
      </c>
      <c r="B953" s="42">
        <v>0.86269567248537005</v>
      </c>
      <c r="C953" s="14" t="s">
        <v>5081</v>
      </c>
      <c r="D953" s="42">
        <v>0.98637965646869485</v>
      </c>
      <c r="E953" s="43">
        <v>299.4551862587478</v>
      </c>
      <c r="F953" s="42">
        <v>6.9819500236687954E-2</v>
      </c>
      <c r="G953" s="43">
        <v>8.25912130523432</v>
      </c>
      <c r="H953" s="42">
        <v>0.77576741891716017</v>
      </c>
      <c r="I953" s="43">
        <v>4.3303245844697003</v>
      </c>
      <c r="J953" s="42">
        <v>0.73510903200838207</v>
      </c>
      <c r="K953" s="43">
        <v>0.89850057781742676</v>
      </c>
      <c r="L953" s="43">
        <v>2762.9426390967592</v>
      </c>
      <c r="M953" s="44">
        <v>2084.2080963608846</v>
      </c>
      <c r="N953" s="44">
        <v>3743.1898282343477</v>
      </c>
      <c r="O953" s="45" t="s">
        <v>5074</v>
      </c>
      <c r="P953" s="46">
        <v>4</v>
      </c>
      <c r="Q953" s="43">
        <v>2762.9426390967592</v>
      </c>
      <c r="R953" s="43">
        <v>2771.2017604019934</v>
      </c>
      <c r="S953" s="47">
        <v>0</v>
      </c>
      <c r="T953" s="48">
        <v>2771.070815989694</v>
      </c>
      <c r="U953" s="48">
        <v>2764.5924585424195</v>
      </c>
      <c r="V953" s="48">
        <v>2765.318549396763</v>
      </c>
      <c r="W953" s="48">
        <v>2771.2017604019934</v>
      </c>
    </row>
    <row r="954" spans="1:23" ht="13.2" x14ac:dyDescent="0.25">
      <c r="A954" s="41">
        <v>952</v>
      </c>
      <c r="B954" s="42">
        <v>0.83363969802560267</v>
      </c>
      <c r="C954" s="14" t="s">
        <v>5081</v>
      </c>
      <c r="D954" s="42">
        <v>0.59049201225419157</v>
      </c>
      <c r="E954" s="43">
        <v>283.61968049016764</v>
      </c>
      <c r="F954" s="42">
        <v>0.18883335412891272</v>
      </c>
      <c r="G954" s="43">
        <v>8.3769450205876232</v>
      </c>
      <c r="H954" s="42">
        <v>0.310917374357077</v>
      </c>
      <c r="I954" s="43">
        <v>3.7885649933354602</v>
      </c>
      <c r="J954" s="42">
        <v>0.2146876595051436</v>
      </c>
      <c r="K954" s="43">
        <v>4.4921782586904113</v>
      </c>
      <c r="L954" s="43">
        <v>2767.4348173554495</v>
      </c>
      <c r="M954" s="44">
        <v>1973.9929762115667</v>
      </c>
      <c r="N954" s="44">
        <v>3545.2460061270954</v>
      </c>
      <c r="O954" s="45" t="s">
        <v>5074</v>
      </c>
      <c r="P954" s="46">
        <v>2</v>
      </c>
      <c r="Q954" s="43">
        <v>2767.4348173554495</v>
      </c>
      <c r="R954" s="43">
        <v>2775.8117623760372</v>
      </c>
      <c r="S954" s="47">
        <v>0</v>
      </c>
      <c r="T954" s="48">
        <v>2771.070815989694</v>
      </c>
      <c r="U954" s="48">
        <v>2775.8117623760372</v>
      </c>
      <c r="V954" s="48">
        <v>2765.318549396763</v>
      </c>
      <c r="W954" s="48">
        <v>2771.2017604019934</v>
      </c>
    </row>
    <row r="955" spans="1:23" ht="13.2" x14ac:dyDescent="0.25">
      <c r="A955" s="41">
        <v>953</v>
      </c>
      <c r="B955" s="42">
        <v>0.44857374506470454</v>
      </c>
      <c r="C955" s="14" t="s">
        <v>5077</v>
      </c>
      <c r="D955" s="42">
        <v>0.68513977326692066</v>
      </c>
      <c r="E955" s="43">
        <v>46.166257959402287</v>
      </c>
      <c r="F955" s="42">
        <v>0.75323306711075499</v>
      </c>
      <c r="G955" s="43">
        <v>3.4815518722131626</v>
      </c>
      <c r="H955" s="42">
        <v>0.74316847545242337</v>
      </c>
      <c r="I955" s="43">
        <v>1.3600379638159439</v>
      </c>
      <c r="J955" s="42">
        <v>0.97873839083068925</v>
      </c>
      <c r="K955" s="43">
        <v>6.2747132752437637E-2</v>
      </c>
      <c r="L955" s="43">
        <v>2767.497564488202</v>
      </c>
      <c r="M955" s="44">
        <v>321.31715539743993</v>
      </c>
      <c r="N955" s="44">
        <v>577.07822449252853</v>
      </c>
      <c r="O955" s="45" t="s">
        <v>5074</v>
      </c>
      <c r="P955" s="46">
        <v>3</v>
      </c>
      <c r="Q955" s="43">
        <v>2767.497564488202</v>
      </c>
      <c r="R955" s="43">
        <v>2770.979116360415</v>
      </c>
      <c r="S955" s="47">
        <v>0</v>
      </c>
      <c r="T955" s="48">
        <v>2771.070815989694</v>
      </c>
      <c r="U955" s="48">
        <v>2775.8117623760372</v>
      </c>
      <c r="V955" s="48">
        <v>2770.979116360415</v>
      </c>
      <c r="W955" s="48">
        <v>2771.2017604019934</v>
      </c>
    </row>
    <row r="956" spans="1:23" ht="13.2" x14ac:dyDescent="0.25">
      <c r="A956" s="41">
        <v>954</v>
      </c>
      <c r="B956" s="42">
        <v>0.99213339900231612</v>
      </c>
      <c r="C956" s="14" t="s">
        <v>5080</v>
      </c>
      <c r="D956" s="42">
        <v>0.31811027616174437</v>
      </c>
      <c r="E956" s="43">
        <v>92.952756904043611</v>
      </c>
      <c r="F956" s="42">
        <v>0.97956407348605068</v>
      </c>
      <c r="G956" s="43">
        <v>4.7389645996824674</v>
      </c>
      <c r="H956" s="42">
        <v>0.36155531432552046</v>
      </c>
      <c r="I956" s="43">
        <v>1.9215536380815701</v>
      </c>
      <c r="J956" s="42">
        <v>0.33171363283494193</v>
      </c>
      <c r="K956" s="43">
        <v>3.2218488583340146</v>
      </c>
      <c r="L956" s="43">
        <v>2770.7194133465359</v>
      </c>
      <c r="M956" s="44">
        <v>647.45022132328359</v>
      </c>
      <c r="N956" s="44">
        <v>1161.9094613005452</v>
      </c>
      <c r="O956" s="45" t="s">
        <v>5074</v>
      </c>
      <c r="P956" s="46">
        <v>3</v>
      </c>
      <c r="Q956" s="43">
        <v>2770.979116360415</v>
      </c>
      <c r="R956" s="43">
        <v>2775.7180809600973</v>
      </c>
      <c r="S956" s="43">
        <v>0.25970301387906147</v>
      </c>
      <c r="T956" s="48">
        <v>2771.070815989694</v>
      </c>
      <c r="U956" s="48">
        <v>2775.8117623760372</v>
      </c>
      <c r="V956" s="48">
        <v>2775.7180809600973</v>
      </c>
      <c r="W956" s="48">
        <v>2771.2017604019934</v>
      </c>
    </row>
    <row r="957" spans="1:23" ht="13.2" x14ac:dyDescent="0.25">
      <c r="A957" s="41">
        <v>955</v>
      </c>
      <c r="B957" s="42">
        <v>0.10683052759004316</v>
      </c>
      <c r="C957" s="14" t="s">
        <v>5073</v>
      </c>
      <c r="D957" s="42">
        <v>0.55607276249494064</v>
      </c>
      <c r="E957" s="43">
        <v>346.72873149939289</v>
      </c>
      <c r="F957" s="42">
        <v>0.48712783702049767</v>
      </c>
      <c r="G957" s="43">
        <v>9.9047101298741573</v>
      </c>
      <c r="H957" s="42">
        <v>0.93505248983160238</v>
      </c>
      <c r="I957" s="43">
        <v>3.7792951458932129</v>
      </c>
      <c r="J957" s="42">
        <v>0.71777289394185551</v>
      </c>
      <c r="K957" s="43">
        <v>0.96818120779746275</v>
      </c>
      <c r="L957" s="43">
        <v>2771.6875945543334</v>
      </c>
      <c r="M957" s="44">
        <v>2413.2319712357744</v>
      </c>
      <c r="N957" s="44">
        <v>4334.1091437424111</v>
      </c>
      <c r="O957" s="45" t="s">
        <v>5074</v>
      </c>
      <c r="P957" s="46">
        <v>1</v>
      </c>
      <c r="Q957" s="43">
        <v>2771.6875945543334</v>
      </c>
      <c r="R957" s="43">
        <v>2781.5923046842076</v>
      </c>
      <c r="S957" s="47">
        <v>0</v>
      </c>
      <c r="T957" s="48">
        <v>2781.5923046842076</v>
      </c>
      <c r="U957" s="48">
        <v>2775.8117623760372</v>
      </c>
      <c r="V957" s="48">
        <v>2775.7180809600973</v>
      </c>
      <c r="W957" s="48">
        <v>2771.2017604019934</v>
      </c>
    </row>
    <row r="958" spans="1:23" ht="13.2" x14ac:dyDescent="0.25">
      <c r="A958" s="41">
        <v>956</v>
      </c>
      <c r="B958" s="42">
        <v>0.39842451289222786</v>
      </c>
      <c r="C958" s="14" t="s">
        <v>5077</v>
      </c>
      <c r="D958" s="42">
        <v>3.4457881485325227E-2</v>
      </c>
      <c r="E958" s="43">
        <v>40.310120933367926</v>
      </c>
      <c r="F958" s="42">
        <v>0.47731530688578044</v>
      </c>
      <c r="G958" s="43">
        <v>3.3491113473051746</v>
      </c>
      <c r="H958" s="42">
        <v>0.73332999960208778</v>
      </c>
      <c r="I958" s="43">
        <v>1.353587673171031</v>
      </c>
      <c r="J958" s="42">
        <v>0.58972361105946991</v>
      </c>
      <c r="K958" s="43">
        <v>1.5419016282437707</v>
      </c>
      <c r="L958" s="43">
        <v>2773.2294961825773</v>
      </c>
      <c r="M958" s="44">
        <v>280.55844169624078</v>
      </c>
      <c r="N958" s="44">
        <v>503.87651166709907</v>
      </c>
      <c r="O958" s="45" t="s">
        <v>5074</v>
      </c>
      <c r="P958" s="46">
        <v>4</v>
      </c>
      <c r="Q958" s="43">
        <v>2773.2294961825773</v>
      </c>
      <c r="R958" s="43">
        <v>2776.5786075298824</v>
      </c>
      <c r="S958" s="47">
        <v>0</v>
      </c>
      <c r="T958" s="48">
        <v>2781.5923046842076</v>
      </c>
      <c r="U958" s="48">
        <v>2775.8117623760372</v>
      </c>
      <c r="V958" s="48">
        <v>2775.7180809600973</v>
      </c>
      <c r="W958" s="48">
        <v>2776.5786075298824</v>
      </c>
    </row>
    <row r="959" spans="1:23" ht="13.2" x14ac:dyDescent="0.25">
      <c r="A959" s="41">
        <v>957</v>
      </c>
      <c r="B959" s="42">
        <v>0.16583471007916831</v>
      </c>
      <c r="C959" s="14" t="s">
        <v>5073</v>
      </c>
      <c r="D959" s="42">
        <v>0.49293047352364777</v>
      </c>
      <c r="E959" s="43">
        <v>339.15165682283771</v>
      </c>
      <c r="F959" s="42">
        <v>0.56857789567139838</v>
      </c>
      <c r="G959" s="43">
        <v>10.159648813451478</v>
      </c>
      <c r="H959" s="42">
        <v>0.59392838021457584</v>
      </c>
      <c r="I959" s="43">
        <v>3.4438710559826822</v>
      </c>
      <c r="J959" s="42">
        <v>0.10921261278410098</v>
      </c>
      <c r="K959" s="43">
        <v>6.4655729070225751</v>
      </c>
      <c r="L959" s="43">
        <v>2779.6950690896001</v>
      </c>
      <c r="M959" s="44">
        <v>2360.4955314869503</v>
      </c>
      <c r="N959" s="44">
        <v>4239.3957102854711</v>
      </c>
      <c r="O959" s="45" t="s">
        <v>5074</v>
      </c>
      <c r="P959" s="46">
        <v>3</v>
      </c>
      <c r="Q959" s="43">
        <v>2779.6950690896001</v>
      </c>
      <c r="R959" s="43">
        <v>2789.8547179030516</v>
      </c>
      <c r="S959" s="47">
        <v>0</v>
      </c>
      <c r="T959" s="48">
        <v>2781.5923046842076</v>
      </c>
      <c r="U959" s="48">
        <v>2775.8117623760372</v>
      </c>
      <c r="V959" s="48">
        <v>2789.8547179030516</v>
      </c>
      <c r="W959" s="48">
        <v>2776.5786075298824</v>
      </c>
    </row>
    <row r="960" spans="1:23" ht="13.2" x14ac:dyDescent="0.25">
      <c r="A960" s="41">
        <v>958</v>
      </c>
      <c r="B960" s="42">
        <v>0.59643040159550975</v>
      </c>
      <c r="C960" s="14" t="s">
        <v>5076</v>
      </c>
      <c r="D960" s="42">
        <v>0.78635171185543373</v>
      </c>
      <c r="E960" s="43">
        <v>42.863517118554341</v>
      </c>
      <c r="F960" s="42">
        <v>0.5553121117666886</v>
      </c>
      <c r="G960" s="43">
        <v>3.2954435714126769</v>
      </c>
      <c r="H960" s="42">
        <v>0.36497439321362152</v>
      </c>
      <c r="I960" s="43">
        <v>0.77684765228345443</v>
      </c>
      <c r="J960" s="42">
        <v>0.47399984927568578</v>
      </c>
      <c r="K960" s="43">
        <v>2.1797029934916683</v>
      </c>
      <c r="L960" s="43">
        <v>2781.8747720830916</v>
      </c>
      <c r="M960" s="44">
        <v>298.3300791451382</v>
      </c>
      <c r="N960" s="44">
        <v>535.79396398192921</v>
      </c>
      <c r="O960" s="45" t="s">
        <v>5074</v>
      </c>
      <c r="P960" s="46">
        <v>2</v>
      </c>
      <c r="Q960" s="43">
        <v>2781.8747720830916</v>
      </c>
      <c r="R960" s="43">
        <v>2785.1702156545043</v>
      </c>
      <c r="S960" s="47">
        <v>0</v>
      </c>
      <c r="T960" s="48">
        <v>2781.5923046842076</v>
      </c>
      <c r="U960" s="48">
        <v>2785.1702156545043</v>
      </c>
      <c r="V960" s="48">
        <v>2789.8547179030516</v>
      </c>
      <c r="W960" s="48">
        <v>2776.5786075298824</v>
      </c>
    </row>
    <row r="961" spans="1:23" ht="13.2" x14ac:dyDescent="0.25">
      <c r="A961" s="41">
        <v>959</v>
      </c>
      <c r="B961" s="42">
        <v>7.1251556776115471E-2</v>
      </c>
      <c r="C961" s="14" t="s">
        <v>5073</v>
      </c>
      <c r="D961" s="42">
        <v>0.46967870950218232</v>
      </c>
      <c r="E961" s="43">
        <v>336.36144514026188</v>
      </c>
      <c r="F961" s="42">
        <v>0.42607006590164737</v>
      </c>
      <c r="G961" s="43">
        <v>9.7135993062721564</v>
      </c>
      <c r="H961" s="42">
        <v>0.74858088546832136</v>
      </c>
      <c r="I961" s="43">
        <v>3.565760048016354</v>
      </c>
      <c r="J961" s="42">
        <v>7.0520103476252455E-2</v>
      </c>
      <c r="K961" s="43">
        <v>7.7426495010848075</v>
      </c>
      <c r="L961" s="43">
        <v>2789.6174215841766</v>
      </c>
      <c r="M961" s="44">
        <v>2341.0756581762225</v>
      </c>
      <c r="N961" s="44">
        <v>4204.5180642532732</v>
      </c>
      <c r="O961" s="45" t="s">
        <v>5074</v>
      </c>
      <c r="P961" s="46">
        <v>4</v>
      </c>
      <c r="Q961" s="43">
        <v>2789.6174215841766</v>
      </c>
      <c r="R961" s="43">
        <v>2799.3310208904486</v>
      </c>
      <c r="S961" s="47">
        <v>0</v>
      </c>
      <c r="T961" s="48">
        <v>2781.5923046842076</v>
      </c>
      <c r="U961" s="48">
        <v>2785.1702156545043</v>
      </c>
      <c r="V961" s="48">
        <v>2789.8547179030516</v>
      </c>
      <c r="W961" s="48">
        <v>2799.3310208904486</v>
      </c>
    </row>
    <row r="962" spans="1:23" ht="13.2" x14ac:dyDescent="0.25">
      <c r="A962" s="41">
        <v>960</v>
      </c>
      <c r="B962" s="42">
        <v>0.9473747550264815</v>
      </c>
      <c r="C962" s="14" t="s">
        <v>5080</v>
      </c>
      <c r="D962" s="42">
        <v>0.43624639997083992</v>
      </c>
      <c r="E962" s="43">
        <v>95.906159999270997</v>
      </c>
      <c r="F962" s="42">
        <v>0.51104740822270855</v>
      </c>
      <c r="G962" s="43">
        <v>4.485965600440263</v>
      </c>
      <c r="H962" s="42">
        <v>0.65930784990047475</v>
      </c>
      <c r="I962" s="43">
        <v>2.2168998338787396</v>
      </c>
      <c r="J962" s="42">
        <v>0.87099153356207137</v>
      </c>
      <c r="K962" s="43">
        <v>0.40327889793253419</v>
      </c>
      <c r="L962" s="43">
        <v>2790.0207004821091</v>
      </c>
      <c r="M962" s="44">
        <v>667.50687359492611</v>
      </c>
      <c r="N962" s="44">
        <v>1198.8269999908875</v>
      </c>
      <c r="O962" s="45" t="s">
        <v>5074</v>
      </c>
      <c r="P962" s="46">
        <v>1</v>
      </c>
      <c r="Q962" s="43">
        <v>2790.0207004821091</v>
      </c>
      <c r="R962" s="43">
        <v>2794.5066660825491</v>
      </c>
      <c r="S962" s="47">
        <v>0</v>
      </c>
      <c r="T962" s="48">
        <v>2794.5066660825491</v>
      </c>
      <c r="U962" s="48">
        <v>2785.1702156545043</v>
      </c>
      <c r="V962" s="48">
        <v>2789.8547179030516</v>
      </c>
      <c r="W962" s="48">
        <v>2799.3310208904486</v>
      </c>
    </row>
    <row r="963" spans="1:23" ht="13.2" x14ac:dyDescent="0.25">
      <c r="A963" s="41">
        <v>961</v>
      </c>
      <c r="B963" s="42">
        <v>0.65453835281289108</v>
      </c>
      <c r="C963" s="14" t="s">
        <v>5079</v>
      </c>
      <c r="D963" s="42">
        <v>0.92385182339877436</v>
      </c>
      <c r="E963" s="43">
        <v>9.7715554701963221</v>
      </c>
      <c r="F963" s="42">
        <v>0.92847879087947249</v>
      </c>
      <c r="G963" s="43">
        <v>1.5421326669967419</v>
      </c>
      <c r="H963" s="42">
        <v>0.6315245999170116</v>
      </c>
      <c r="I963" s="43">
        <v>0.46490148870643977</v>
      </c>
      <c r="J963" s="42">
        <v>0.95681280966699722</v>
      </c>
      <c r="K963" s="43">
        <v>0.12889783312554812</v>
      </c>
      <c r="L963" s="43">
        <v>2790.1495983152345</v>
      </c>
      <c r="M963" s="44">
        <v>68.010026072566404</v>
      </c>
      <c r="N963" s="44">
        <v>122.14444337745402</v>
      </c>
      <c r="O963" s="45" t="s">
        <v>5074</v>
      </c>
      <c r="P963" s="46">
        <v>2</v>
      </c>
      <c r="Q963" s="43">
        <v>2790.1495983152345</v>
      </c>
      <c r="R963" s="43">
        <v>2791.6917309822311</v>
      </c>
      <c r="S963" s="47">
        <v>0</v>
      </c>
      <c r="T963" s="48">
        <v>2794.5066660825491</v>
      </c>
      <c r="U963" s="48">
        <v>2791.6917309822311</v>
      </c>
      <c r="V963" s="48">
        <v>2789.8547179030516</v>
      </c>
      <c r="W963" s="48">
        <v>2799.3310208904486</v>
      </c>
    </row>
    <row r="964" spans="1:23" ht="13.2" x14ac:dyDescent="0.25">
      <c r="A964" s="41">
        <v>962</v>
      </c>
      <c r="B964" s="42">
        <v>0.31414690442110732</v>
      </c>
      <c r="C964" s="14" t="s">
        <v>5077</v>
      </c>
      <c r="D964" s="42">
        <v>0.84821748959283227</v>
      </c>
      <c r="E964" s="43">
        <v>47.63395740633549</v>
      </c>
      <c r="F964" s="42">
        <v>0.68900045505212637</v>
      </c>
      <c r="G964" s="43">
        <v>3.4507202184250207</v>
      </c>
      <c r="H964" s="42">
        <v>0.95458158662290382</v>
      </c>
      <c r="I964" s="43">
        <v>1.5570374663777489</v>
      </c>
      <c r="J964" s="42">
        <v>0.38760943496022815</v>
      </c>
      <c r="K964" s="43">
        <v>2.7671738898076934</v>
      </c>
      <c r="L964" s="43">
        <v>2792.916772205042</v>
      </c>
      <c r="M964" s="44">
        <v>331.53234354809501</v>
      </c>
      <c r="N964" s="44">
        <v>595.42446757919367</v>
      </c>
      <c r="O964" s="45" t="s">
        <v>5074</v>
      </c>
      <c r="P964" s="46">
        <v>3</v>
      </c>
      <c r="Q964" s="43">
        <v>2792.916772205042</v>
      </c>
      <c r="R964" s="43">
        <v>2796.367492423467</v>
      </c>
      <c r="S964" s="47">
        <v>0</v>
      </c>
      <c r="T964" s="48">
        <v>2794.5066660825491</v>
      </c>
      <c r="U964" s="48">
        <v>2791.6917309822311</v>
      </c>
      <c r="V964" s="48">
        <v>2796.367492423467</v>
      </c>
      <c r="W964" s="48">
        <v>2799.3310208904486</v>
      </c>
    </row>
    <row r="965" spans="1:23" ht="13.2" x14ac:dyDescent="0.25">
      <c r="A965" s="41">
        <v>963</v>
      </c>
      <c r="B965" s="42">
        <v>6.6863119633338935E-2</v>
      </c>
      <c r="C965" s="14" t="s">
        <v>5073</v>
      </c>
      <c r="D965" s="42">
        <v>0.80634362940040583</v>
      </c>
      <c r="E965" s="43">
        <v>376.7612355280487</v>
      </c>
      <c r="F965" s="42">
        <v>0.60186365647328255</v>
      </c>
      <c r="G965" s="43">
        <v>10.263833244761374</v>
      </c>
      <c r="H965" s="42">
        <v>0.57492713656971561</v>
      </c>
      <c r="I965" s="43">
        <v>3.4286499366578203</v>
      </c>
      <c r="J965" s="42">
        <v>6.4134651824894667E-2</v>
      </c>
      <c r="K965" s="43">
        <v>8.0197677986269689</v>
      </c>
      <c r="L965" s="43">
        <v>2800.9365400036691</v>
      </c>
      <c r="M965" s="44">
        <v>2622.2581992752189</v>
      </c>
      <c r="N965" s="44">
        <v>4709.5154441006089</v>
      </c>
      <c r="O965" s="45" t="s">
        <v>5074</v>
      </c>
      <c r="P965" s="46">
        <v>2</v>
      </c>
      <c r="Q965" s="43">
        <v>2800.9365400036691</v>
      </c>
      <c r="R965" s="43">
        <v>2811.2003732484304</v>
      </c>
      <c r="S965" s="47">
        <v>0</v>
      </c>
      <c r="T965" s="48">
        <v>2794.5066660825491</v>
      </c>
      <c r="U965" s="48">
        <v>2811.2003732484304</v>
      </c>
      <c r="V965" s="48">
        <v>2796.367492423467</v>
      </c>
      <c r="W965" s="48">
        <v>2799.3310208904486</v>
      </c>
    </row>
    <row r="966" spans="1:23" ht="13.2" x14ac:dyDescent="0.25">
      <c r="A966" s="41">
        <v>964</v>
      </c>
      <c r="B966" s="42">
        <v>0.20346477870059423</v>
      </c>
      <c r="C966" s="14" t="s">
        <v>5073</v>
      </c>
      <c r="D966" s="42">
        <v>0.68290255250544407</v>
      </c>
      <c r="E966" s="43">
        <v>361.94830630065326</v>
      </c>
      <c r="F966" s="42">
        <v>0.84334507018483484</v>
      </c>
      <c r="G966" s="43">
        <v>11.019670069678533</v>
      </c>
      <c r="H966" s="42">
        <v>0.4250853580539512</v>
      </c>
      <c r="I966" s="43">
        <v>3.2985161470383217</v>
      </c>
      <c r="J966" s="42">
        <v>0.67775069907202878</v>
      </c>
      <c r="K966" s="43">
        <v>1.1356956471353978</v>
      </c>
      <c r="L966" s="43">
        <v>2802.0722356508045</v>
      </c>
      <c r="M966" s="44">
        <v>2519.1602118525466</v>
      </c>
      <c r="N966" s="44">
        <v>4524.3538287581659</v>
      </c>
      <c r="O966" s="45" t="s">
        <v>5074</v>
      </c>
      <c r="P966" s="46">
        <v>1</v>
      </c>
      <c r="Q966" s="43">
        <v>2802.0722356508045</v>
      </c>
      <c r="R966" s="43">
        <v>2813.0919057204828</v>
      </c>
      <c r="S966" s="47">
        <v>0</v>
      </c>
      <c r="T966" s="48">
        <v>2813.0919057204828</v>
      </c>
      <c r="U966" s="48">
        <v>2811.2003732484304</v>
      </c>
      <c r="V966" s="48">
        <v>2796.367492423467</v>
      </c>
      <c r="W966" s="48">
        <v>2799.3310208904486</v>
      </c>
    </row>
    <row r="967" spans="1:23" ht="13.2" x14ac:dyDescent="0.25">
      <c r="A967" s="41">
        <v>965</v>
      </c>
      <c r="B967" s="42">
        <v>0.45450881470670401</v>
      </c>
      <c r="C967" s="14" t="s">
        <v>5077</v>
      </c>
      <c r="D967" s="42">
        <v>0.75693562242991086</v>
      </c>
      <c r="E967" s="43">
        <v>46.812420601869199</v>
      </c>
      <c r="F967" s="42">
        <v>0.73906109330200642</v>
      </c>
      <c r="G967" s="43">
        <v>3.474749324784963</v>
      </c>
      <c r="H967" s="42">
        <v>0.13846446813012681</v>
      </c>
      <c r="I967" s="43">
        <v>1.0232648842224088</v>
      </c>
      <c r="J967" s="42">
        <v>4.095024524300836E-2</v>
      </c>
      <c r="K967" s="43">
        <v>9.3296276784255134</v>
      </c>
      <c r="L967" s="43">
        <v>2811.4018633292299</v>
      </c>
      <c r="M967" s="44">
        <v>325.81444738900962</v>
      </c>
      <c r="N967" s="44">
        <v>585.15525752336498</v>
      </c>
      <c r="O967" s="45" t="s">
        <v>5074</v>
      </c>
      <c r="P967" s="46">
        <v>3</v>
      </c>
      <c r="Q967" s="43">
        <v>2811.4018633292299</v>
      </c>
      <c r="R967" s="43">
        <v>2814.8766126540149</v>
      </c>
      <c r="S967" s="47">
        <v>0</v>
      </c>
      <c r="T967" s="48">
        <v>2813.0919057204828</v>
      </c>
      <c r="U967" s="48">
        <v>2811.2003732484304</v>
      </c>
      <c r="V967" s="48">
        <v>2814.8766126540149</v>
      </c>
      <c r="W967" s="48">
        <v>2799.3310208904486</v>
      </c>
    </row>
    <row r="968" spans="1:23" ht="13.2" x14ac:dyDescent="0.25">
      <c r="A968" s="41">
        <v>966</v>
      </c>
      <c r="B968" s="42">
        <v>0.17909906440372536</v>
      </c>
      <c r="C968" s="14" t="s">
        <v>5073</v>
      </c>
      <c r="D968" s="42">
        <v>0.34231255685086948</v>
      </c>
      <c r="E968" s="43">
        <v>321.07750682210434</v>
      </c>
      <c r="F968" s="42">
        <v>0.2808281394098085</v>
      </c>
      <c r="G968" s="43">
        <v>9.2589920763527012</v>
      </c>
      <c r="H968" s="42">
        <v>0.9308870574137601</v>
      </c>
      <c r="I968" s="43">
        <v>3.7723276324634893</v>
      </c>
      <c r="J968" s="42">
        <v>0.25137758499541207</v>
      </c>
      <c r="K968" s="43">
        <v>4.0315303577207944</v>
      </c>
      <c r="L968" s="43">
        <v>2815.4333936869507</v>
      </c>
      <c r="M968" s="44">
        <v>2234.6994474818462</v>
      </c>
      <c r="N968" s="44">
        <v>4013.4688352763042</v>
      </c>
      <c r="O968" s="45" t="s">
        <v>5074</v>
      </c>
      <c r="P968" s="46">
        <v>4</v>
      </c>
      <c r="Q968" s="43">
        <v>2815.4333936869507</v>
      </c>
      <c r="R968" s="43">
        <v>2824.6923857633033</v>
      </c>
      <c r="S968" s="47">
        <v>0</v>
      </c>
      <c r="T968" s="48">
        <v>2813.0919057204828</v>
      </c>
      <c r="U968" s="48">
        <v>2811.2003732484304</v>
      </c>
      <c r="V968" s="48">
        <v>2814.8766126540149</v>
      </c>
      <c r="W968" s="48">
        <v>2824.6923857633033</v>
      </c>
    </row>
    <row r="969" spans="1:23" ht="13.2" x14ac:dyDescent="0.25">
      <c r="A969" s="41">
        <v>967</v>
      </c>
      <c r="B969" s="42">
        <v>0.74680043419208397</v>
      </c>
      <c r="C969" s="14" t="s">
        <v>5079</v>
      </c>
      <c r="D969" s="42">
        <v>0.46485952449257462</v>
      </c>
      <c r="E969" s="43">
        <v>8.3945785734777232</v>
      </c>
      <c r="F969" s="42">
        <v>0.77214194870187991</v>
      </c>
      <c r="G969" s="43">
        <v>1.5249356143572068</v>
      </c>
      <c r="H969" s="42">
        <v>4.9298942577698707E-2</v>
      </c>
      <c r="I969" s="43">
        <v>0.27021320572207108</v>
      </c>
      <c r="J969" s="42">
        <v>0.79453008984892171</v>
      </c>
      <c r="K969" s="43">
        <v>0.67154575485153567</v>
      </c>
      <c r="L969" s="43">
        <v>2816.1049394418023</v>
      </c>
      <c r="M969" s="44">
        <v>58.426266871404955</v>
      </c>
      <c r="N969" s="44">
        <v>104.93223216847154</v>
      </c>
      <c r="O969" s="45" t="s">
        <v>5074</v>
      </c>
      <c r="P969" s="46">
        <v>2</v>
      </c>
      <c r="Q969" s="43">
        <v>2816.1049394418023</v>
      </c>
      <c r="R969" s="43">
        <v>2817.6298750561596</v>
      </c>
      <c r="S969" s="47">
        <v>0</v>
      </c>
      <c r="T969" s="48">
        <v>2813.0919057204828</v>
      </c>
      <c r="U969" s="48">
        <v>2817.6298750561596</v>
      </c>
      <c r="V969" s="48">
        <v>2814.8766126540149</v>
      </c>
      <c r="W969" s="48">
        <v>2824.6923857633033</v>
      </c>
    </row>
    <row r="970" spans="1:23" ht="13.2" x14ac:dyDescent="0.25">
      <c r="A970" s="41">
        <v>968</v>
      </c>
      <c r="B970" s="42">
        <v>0.66994172226169224</v>
      </c>
      <c r="C970" s="14" t="s">
        <v>5079</v>
      </c>
      <c r="D970" s="42">
        <v>0.21738358923112208</v>
      </c>
      <c r="E970" s="43">
        <v>7.6521507676933664</v>
      </c>
      <c r="F970" s="42">
        <v>0.89100087941205175</v>
      </c>
      <c r="G970" s="43">
        <v>1.5380100967353256</v>
      </c>
      <c r="H970" s="42">
        <v>0.71093929126436795</v>
      </c>
      <c r="I970" s="43">
        <v>0.49177150456687058</v>
      </c>
      <c r="J970" s="42">
        <v>0.69592776787277677</v>
      </c>
      <c r="K970" s="43">
        <v>1.0584216228479053</v>
      </c>
      <c r="L970" s="43">
        <v>2817.1633610646504</v>
      </c>
      <c r="M970" s="44">
        <v>53.258969343145829</v>
      </c>
      <c r="N970" s="44">
        <v>95.651884596167079</v>
      </c>
      <c r="O970" s="45" t="s">
        <v>5074</v>
      </c>
      <c r="P970" s="46">
        <v>1</v>
      </c>
      <c r="Q970" s="43">
        <v>2817.1633610646504</v>
      </c>
      <c r="R970" s="43">
        <v>2818.7013711613859</v>
      </c>
      <c r="S970" s="47">
        <v>0</v>
      </c>
      <c r="T970" s="48">
        <v>2818.7013711613859</v>
      </c>
      <c r="U970" s="48">
        <v>2817.6298750561596</v>
      </c>
      <c r="V970" s="48">
        <v>2814.8766126540149</v>
      </c>
      <c r="W970" s="48">
        <v>2824.6923857633033</v>
      </c>
    </row>
    <row r="971" spans="1:23" ht="13.2" x14ac:dyDescent="0.25">
      <c r="A971" s="41">
        <v>969</v>
      </c>
      <c r="B971" s="42">
        <v>0.63995437959206958</v>
      </c>
      <c r="C971" s="14" t="s">
        <v>5079</v>
      </c>
      <c r="D971" s="42">
        <v>0.53582643556214238</v>
      </c>
      <c r="E971" s="43">
        <v>8.607479306686427</v>
      </c>
      <c r="F971" s="42">
        <v>0.96979002094352151</v>
      </c>
      <c r="G971" s="43">
        <v>1.5466769023037874</v>
      </c>
      <c r="H971" s="42">
        <v>0.20674696108640495</v>
      </c>
      <c r="I971" s="43">
        <v>0.34378698170780447</v>
      </c>
      <c r="J971" s="42">
        <v>0.95753829412047675</v>
      </c>
      <c r="K971" s="43">
        <v>0.12668486092719219</v>
      </c>
      <c r="L971" s="43">
        <v>2817.2900459255775</v>
      </c>
      <c r="M971" s="44">
        <v>59.908055974537533</v>
      </c>
      <c r="N971" s="44">
        <v>107.59349133358033</v>
      </c>
      <c r="O971" s="45" t="s">
        <v>5074</v>
      </c>
      <c r="P971" s="46">
        <v>3</v>
      </c>
      <c r="Q971" s="43">
        <v>2817.2900459255775</v>
      </c>
      <c r="R971" s="43">
        <v>2818.8367228278812</v>
      </c>
      <c r="S971" s="47">
        <v>0</v>
      </c>
      <c r="T971" s="48">
        <v>2818.7013711613859</v>
      </c>
      <c r="U971" s="48">
        <v>2817.6298750561596</v>
      </c>
      <c r="V971" s="48">
        <v>2818.8367228278812</v>
      </c>
      <c r="W971" s="48">
        <v>2824.6923857633033</v>
      </c>
    </row>
    <row r="972" spans="1:23" ht="13.2" x14ac:dyDescent="0.25">
      <c r="A972" s="41">
        <v>970</v>
      </c>
      <c r="B972" s="42">
        <v>0.90115683241801192</v>
      </c>
      <c r="C972" s="14" t="s">
        <v>5075</v>
      </c>
      <c r="D972" s="42">
        <v>0.54861653714842007</v>
      </c>
      <c r="E972" s="43">
        <v>318.40315760038942</v>
      </c>
      <c r="F972" s="42">
        <v>0.41363291973882954</v>
      </c>
      <c r="G972" s="43">
        <v>9.1731295102802708</v>
      </c>
      <c r="H972" s="42">
        <v>0.80786422118910783</v>
      </c>
      <c r="I972" s="43">
        <v>2.8801035912172228</v>
      </c>
      <c r="J972" s="42">
        <v>0.66491074565095398</v>
      </c>
      <c r="K972" s="43">
        <v>1.1915400420450626</v>
      </c>
      <c r="L972" s="43">
        <v>2818.4815859676228</v>
      </c>
      <c r="M972" s="44">
        <v>2216.0859768987102</v>
      </c>
      <c r="N972" s="44">
        <v>3980.0394700048678</v>
      </c>
      <c r="O972" s="45" t="s">
        <v>5074</v>
      </c>
      <c r="P972" s="46">
        <v>2</v>
      </c>
      <c r="Q972" s="43">
        <v>2818.4815859676228</v>
      </c>
      <c r="R972" s="43">
        <v>2827.6547154779032</v>
      </c>
      <c r="S972" s="47">
        <v>0</v>
      </c>
      <c r="T972" s="48">
        <v>2818.7013711613859</v>
      </c>
      <c r="U972" s="48">
        <v>2827.6547154779032</v>
      </c>
      <c r="V972" s="48">
        <v>2818.8367228278812</v>
      </c>
      <c r="W972" s="48">
        <v>2824.6923857633033</v>
      </c>
    </row>
    <row r="973" spans="1:23" ht="13.2" x14ac:dyDescent="0.25">
      <c r="A973" s="41">
        <v>971</v>
      </c>
      <c r="B973" s="42">
        <v>3.1040600049794E-2</v>
      </c>
      <c r="C973" s="14" t="s">
        <v>5073</v>
      </c>
      <c r="D973" s="42">
        <v>0.3269338292660815</v>
      </c>
      <c r="E973" s="43">
        <v>319.23205951192978</v>
      </c>
      <c r="F973" s="42">
        <v>4.2950701919827004E-3</v>
      </c>
      <c r="G973" s="43">
        <v>8.3934435697009064</v>
      </c>
      <c r="H973" s="42">
        <v>0.72384725591346954</v>
      </c>
      <c r="I973" s="43">
        <v>3.5449015951852854</v>
      </c>
      <c r="J973" s="42">
        <v>0.32578531388462767</v>
      </c>
      <c r="K973" s="43">
        <v>3.2745011997620663</v>
      </c>
      <c r="L973" s="43">
        <v>2821.756087167385</v>
      </c>
      <c r="M973" s="44">
        <v>2221.8551342030314</v>
      </c>
      <c r="N973" s="44">
        <v>3990.4007438991221</v>
      </c>
      <c r="O973" s="45" t="s">
        <v>5074</v>
      </c>
      <c r="P973" s="46">
        <v>1</v>
      </c>
      <c r="Q973" s="43">
        <v>2821.756087167385</v>
      </c>
      <c r="R973" s="43">
        <v>2830.149530737086</v>
      </c>
      <c r="S973" s="47">
        <v>0</v>
      </c>
      <c r="T973" s="48">
        <v>2830.149530737086</v>
      </c>
      <c r="U973" s="48">
        <v>2827.6547154779032</v>
      </c>
      <c r="V973" s="48">
        <v>2818.8367228278812</v>
      </c>
      <c r="W973" s="48">
        <v>2824.6923857633033</v>
      </c>
    </row>
    <row r="974" spans="1:23" ht="13.2" x14ac:dyDescent="0.25">
      <c r="A974" s="41">
        <v>972</v>
      </c>
      <c r="B974" s="42">
        <v>0.27172975580754211</v>
      </c>
      <c r="C974" s="14" t="s">
        <v>5077</v>
      </c>
      <c r="D974" s="42">
        <v>0.44392149497006156</v>
      </c>
      <c r="E974" s="43">
        <v>43.995293454730557</v>
      </c>
      <c r="F974" s="42">
        <v>0.89855098766207275</v>
      </c>
      <c r="G974" s="43">
        <v>3.5513044740777948</v>
      </c>
      <c r="H974" s="42">
        <v>5.4874157558602352E-2</v>
      </c>
      <c r="I974" s="43">
        <v>0.94055140241597324</v>
      </c>
      <c r="J974" s="42">
        <v>0.87924617849255271</v>
      </c>
      <c r="K974" s="43">
        <v>0.37573825974845293</v>
      </c>
      <c r="L974" s="43">
        <v>2822.1318254271332</v>
      </c>
      <c r="M974" s="44">
        <v>306.2072424449247</v>
      </c>
      <c r="N974" s="44">
        <v>549.94116818413193</v>
      </c>
      <c r="O974" s="45" t="s">
        <v>5074</v>
      </c>
      <c r="P974" s="46">
        <v>3</v>
      </c>
      <c r="Q974" s="43">
        <v>2822.1318254271332</v>
      </c>
      <c r="R974" s="43">
        <v>2825.683129901211</v>
      </c>
      <c r="S974" s="47">
        <v>0</v>
      </c>
      <c r="T974" s="48">
        <v>2830.149530737086</v>
      </c>
      <c r="U974" s="48">
        <v>2827.6547154779032</v>
      </c>
      <c r="V974" s="48">
        <v>2825.683129901211</v>
      </c>
      <c r="W974" s="48">
        <v>2824.6923857633033</v>
      </c>
    </row>
    <row r="975" spans="1:23" ht="13.2" x14ac:dyDescent="0.25">
      <c r="A975" s="41">
        <v>973</v>
      </c>
      <c r="B975" s="42">
        <v>0.71739126216498728</v>
      </c>
      <c r="C975" s="14" t="s">
        <v>5079</v>
      </c>
      <c r="D975" s="42">
        <v>0.16279112136121426</v>
      </c>
      <c r="E975" s="43">
        <v>7.4883733640836425</v>
      </c>
      <c r="F975" s="42">
        <v>0.3634197210722695</v>
      </c>
      <c r="G975" s="43">
        <v>1.4799761693179496</v>
      </c>
      <c r="H975" s="42">
        <v>0.68335376525453928</v>
      </c>
      <c r="I975" s="43">
        <v>0.4820620840426818</v>
      </c>
      <c r="J975" s="42">
        <v>0.89824625798419411</v>
      </c>
      <c r="K975" s="43">
        <v>0.31331684348285815</v>
      </c>
      <c r="L975" s="43">
        <v>2822.4451422706161</v>
      </c>
      <c r="M975" s="44">
        <v>53.202389495458284</v>
      </c>
      <c r="N975" s="44">
        <v>93.604667051045539</v>
      </c>
      <c r="O975" s="45" t="s">
        <v>5074</v>
      </c>
      <c r="P975" s="46">
        <v>4</v>
      </c>
      <c r="Q975" s="43">
        <v>2824.6923857633033</v>
      </c>
      <c r="R975" s="43">
        <v>2826.1723619326212</v>
      </c>
      <c r="S975" s="43">
        <v>2.2472434926871756</v>
      </c>
      <c r="T975" s="48">
        <v>2830.149530737086</v>
      </c>
      <c r="U975" s="48">
        <v>2827.6547154779032</v>
      </c>
      <c r="V975" s="48">
        <v>2825.683129901211</v>
      </c>
      <c r="W975" s="48">
        <v>2826.1723619326212</v>
      </c>
    </row>
    <row r="976" spans="1:23" ht="13.2" x14ac:dyDescent="0.25">
      <c r="A976" s="41">
        <v>974</v>
      </c>
      <c r="B976" s="42">
        <v>0.82470708658206604</v>
      </c>
      <c r="C976" s="14" t="s">
        <v>5078</v>
      </c>
      <c r="D976" s="42">
        <v>3.542895942713551E-2</v>
      </c>
      <c r="E976" s="43">
        <v>171.41715837708543</v>
      </c>
      <c r="F976" s="42">
        <v>0.86082639864684385</v>
      </c>
      <c r="G976" s="43">
        <v>6.2033520227686276</v>
      </c>
      <c r="H976" s="42">
        <v>0.53334358359377065</v>
      </c>
      <c r="I976" s="43">
        <v>3.1771388729260508</v>
      </c>
      <c r="J976" s="42">
        <v>0.20061736702947755</v>
      </c>
      <c r="K976" s="43">
        <v>4.6900900197974105</v>
      </c>
      <c r="L976" s="43">
        <v>2827.1352322904136</v>
      </c>
      <c r="M976" s="44">
        <v>1193.0634223045147</v>
      </c>
      <c r="N976" s="44">
        <v>2142.7144797135679</v>
      </c>
      <c r="O976" s="45" t="s">
        <v>5074</v>
      </c>
      <c r="P976" s="46">
        <v>3</v>
      </c>
      <c r="Q976" s="43">
        <v>2827.1352322904136</v>
      </c>
      <c r="R976" s="43">
        <v>2833.3385843131823</v>
      </c>
      <c r="S976" s="47">
        <v>0</v>
      </c>
      <c r="T976" s="48">
        <v>2830.149530737086</v>
      </c>
      <c r="U976" s="48">
        <v>2827.6547154779032</v>
      </c>
      <c r="V976" s="48">
        <v>2833.3385843131823</v>
      </c>
      <c r="W976" s="48">
        <v>2826.1723619326212</v>
      </c>
    </row>
    <row r="977" spans="1:23" ht="13.2" x14ac:dyDescent="0.25">
      <c r="A977" s="41">
        <v>975</v>
      </c>
      <c r="B977" s="42">
        <v>9.4990687023378303E-2</v>
      </c>
      <c r="C977" s="14" t="s">
        <v>5073</v>
      </c>
      <c r="D977" s="42">
        <v>0.84545353466898832</v>
      </c>
      <c r="E977" s="43">
        <v>381.45442416027856</v>
      </c>
      <c r="F977" s="42">
        <v>1.693084371133281E-2</v>
      </c>
      <c r="G977" s="43">
        <v>8.4329935408164722</v>
      </c>
      <c r="H977" s="42">
        <v>0.2847645521558656</v>
      </c>
      <c r="I977" s="43">
        <v>3.1535647085283891</v>
      </c>
      <c r="J977" s="42">
        <v>0.18831318811900596</v>
      </c>
      <c r="K977" s="43">
        <v>4.8748870305542775</v>
      </c>
      <c r="L977" s="43">
        <v>2832.010119320968</v>
      </c>
      <c r="M977" s="44">
        <v>2654.9227921555389</v>
      </c>
      <c r="N977" s="44">
        <v>4768.1803020034822</v>
      </c>
      <c r="O977" s="45" t="s">
        <v>5074</v>
      </c>
      <c r="P977" s="46">
        <v>4</v>
      </c>
      <c r="Q977" s="43">
        <v>2832.010119320968</v>
      </c>
      <c r="R977" s="43">
        <v>2840.4431128617844</v>
      </c>
      <c r="S977" s="47">
        <v>0</v>
      </c>
      <c r="T977" s="48">
        <v>2830.149530737086</v>
      </c>
      <c r="U977" s="48">
        <v>2827.6547154779032</v>
      </c>
      <c r="V977" s="48">
        <v>2833.3385843131823</v>
      </c>
      <c r="W977" s="48">
        <v>2840.4431128617844</v>
      </c>
    </row>
    <row r="978" spans="1:23" ht="13.2" x14ac:dyDescent="0.25">
      <c r="A978" s="41">
        <v>976</v>
      </c>
      <c r="B978" s="42">
        <v>0.48158973431288715</v>
      </c>
      <c r="C978" s="14" t="s">
        <v>5077</v>
      </c>
      <c r="D978" s="42">
        <v>0.62464310444176341</v>
      </c>
      <c r="E978" s="43">
        <v>45.621787939975874</v>
      </c>
      <c r="F978" s="42">
        <v>0.53555687215903625</v>
      </c>
      <c r="G978" s="43">
        <v>3.3770672986363373</v>
      </c>
      <c r="H978" s="42">
        <v>0.27476646577695685</v>
      </c>
      <c r="I978" s="43">
        <v>1.1145090263882811</v>
      </c>
      <c r="J978" s="42">
        <v>0.1235833350213167</v>
      </c>
      <c r="K978" s="43">
        <v>6.1046410889738398</v>
      </c>
      <c r="L978" s="43">
        <v>2838.1147604099419</v>
      </c>
      <c r="M978" s="44">
        <v>317.52764406223207</v>
      </c>
      <c r="N978" s="44">
        <v>570.27234924969844</v>
      </c>
      <c r="O978" s="45" t="s">
        <v>5074</v>
      </c>
      <c r="P978" s="46">
        <v>2</v>
      </c>
      <c r="Q978" s="43">
        <v>2838.1147604099419</v>
      </c>
      <c r="R978" s="43">
        <v>2841.4918277085781</v>
      </c>
      <c r="S978" s="47">
        <v>0</v>
      </c>
      <c r="T978" s="48">
        <v>2830.149530737086</v>
      </c>
      <c r="U978" s="48">
        <v>2841.4918277085781</v>
      </c>
      <c r="V978" s="48">
        <v>2833.3385843131823</v>
      </c>
      <c r="W978" s="48">
        <v>2840.4431128617844</v>
      </c>
    </row>
    <row r="979" spans="1:23" ht="13.2" x14ac:dyDescent="0.25">
      <c r="A979" s="41">
        <v>977</v>
      </c>
      <c r="B979" s="42">
        <v>2.2862303081370099E-2</v>
      </c>
      <c r="C979" s="14" t="s">
        <v>5073</v>
      </c>
      <c r="D979" s="42">
        <v>0.34717246347440989</v>
      </c>
      <c r="E979" s="43">
        <v>321.66069561692916</v>
      </c>
      <c r="F979" s="42">
        <v>0.71690068799858009</v>
      </c>
      <c r="G979" s="43">
        <v>10.623899153435556</v>
      </c>
      <c r="H979" s="42">
        <v>0.5898267825086726</v>
      </c>
      <c r="I979" s="43">
        <v>3.4406062798870787</v>
      </c>
      <c r="J979" s="42">
        <v>0.89729119413406178</v>
      </c>
      <c r="K979" s="43">
        <v>0.31642288602329066</v>
      </c>
      <c r="L979" s="43">
        <v>2838.4311832959652</v>
      </c>
      <c r="M979" s="44">
        <v>2238.7584414938269</v>
      </c>
      <c r="N979" s="44">
        <v>4020.7586952116144</v>
      </c>
      <c r="O979" s="45" t="s">
        <v>5074</v>
      </c>
      <c r="P979" s="46">
        <v>1</v>
      </c>
      <c r="Q979" s="43">
        <v>2838.4311832959652</v>
      </c>
      <c r="R979" s="43">
        <v>2849.0550824494007</v>
      </c>
      <c r="S979" s="47">
        <v>0</v>
      </c>
      <c r="T979" s="48">
        <v>2849.0550824494007</v>
      </c>
      <c r="U979" s="48">
        <v>2841.4918277085781</v>
      </c>
      <c r="V979" s="48">
        <v>2833.3385843131823</v>
      </c>
      <c r="W979" s="48">
        <v>2840.4431128617844</v>
      </c>
    </row>
    <row r="980" spans="1:23" ht="13.2" x14ac:dyDescent="0.25">
      <c r="A980" s="41">
        <v>978</v>
      </c>
      <c r="B980" s="42">
        <v>9.7051945094509026E-2</v>
      </c>
      <c r="C980" s="14" t="s">
        <v>5073</v>
      </c>
      <c r="D980" s="42">
        <v>0.86104438354309853</v>
      </c>
      <c r="E980" s="43">
        <v>383.32532602517182</v>
      </c>
      <c r="F980" s="42">
        <v>0.37465302197944977</v>
      </c>
      <c r="G980" s="43">
        <v>9.5526639587956783</v>
      </c>
      <c r="H980" s="42">
        <v>0.79354628957507489</v>
      </c>
      <c r="I980" s="43">
        <v>3.6065024996029913</v>
      </c>
      <c r="J980" s="42">
        <v>0.10979089751364239</v>
      </c>
      <c r="K980" s="43">
        <v>6.4501537341532886</v>
      </c>
      <c r="L980" s="43">
        <v>2844.8813370301186</v>
      </c>
      <c r="M980" s="44">
        <v>2667.944269135196</v>
      </c>
      <c r="N980" s="44">
        <v>4791.5665753146477</v>
      </c>
      <c r="O980" s="45" t="s">
        <v>5074</v>
      </c>
      <c r="P980" s="46">
        <v>3</v>
      </c>
      <c r="Q980" s="43">
        <v>2844.8813370301186</v>
      </c>
      <c r="R980" s="43">
        <v>2854.4340009889142</v>
      </c>
      <c r="S980" s="47">
        <v>0</v>
      </c>
      <c r="T980" s="48">
        <v>2849.0550824494007</v>
      </c>
      <c r="U980" s="48">
        <v>2841.4918277085781</v>
      </c>
      <c r="V980" s="48">
        <v>2854.4340009889142</v>
      </c>
      <c r="W980" s="48">
        <v>2840.4431128617844</v>
      </c>
    </row>
    <row r="981" spans="1:23" ht="13.2" x14ac:dyDescent="0.25">
      <c r="A981" s="41">
        <v>979</v>
      </c>
      <c r="B981" s="42">
        <v>0.16581984151425763</v>
      </c>
      <c r="C981" s="14" t="s">
        <v>5073</v>
      </c>
      <c r="D981" s="42">
        <v>0.74383246560759486</v>
      </c>
      <c r="E981" s="43">
        <v>369.25989587291139</v>
      </c>
      <c r="F981" s="42">
        <v>0.20695142783548284</v>
      </c>
      <c r="G981" s="43">
        <v>9.0277579691250622</v>
      </c>
      <c r="H981" s="42">
        <v>0.29755380297897094</v>
      </c>
      <c r="I981" s="43">
        <v>3.1680798638399876</v>
      </c>
      <c r="J981" s="42">
        <v>0.21603951752932721</v>
      </c>
      <c r="K981" s="43">
        <v>4.4738509095091921</v>
      </c>
      <c r="L981" s="43">
        <v>2849.3551879396277</v>
      </c>
      <c r="M981" s="44">
        <v>2570.0488752754632</v>
      </c>
      <c r="N981" s="44">
        <v>4615.7486984113921</v>
      </c>
      <c r="O981" s="45" t="s">
        <v>5074</v>
      </c>
      <c r="P981" s="46">
        <v>4</v>
      </c>
      <c r="Q981" s="43">
        <v>2849.3551879396277</v>
      </c>
      <c r="R981" s="43">
        <v>2858.3829459087528</v>
      </c>
      <c r="S981" s="47">
        <v>0</v>
      </c>
      <c r="T981" s="48">
        <v>2849.0550824494007</v>
      </c>
      <c r="U981" s="48">
        <v>2841.4918277085781</v>
      </c>
      <c r="V981" s="48">
        <v>2854.4340009889142</v>
      </c>
      <c r="W981" s="48">
        <v>2858.3829459087528</v>
      </c>
    </row>
    <row r="982" spans="1:23" ht="13.2" x14ac:dyDescent="0.25">
      <c r="A982" s="41">
        <v>980</v>
      </c>
      <c r="B982" s="42">
        <v>0.65005144926256098</v>
      </c>
      <c r="C982" s="14" t="s">
        <v>5079</v>
      </c>
      <c r="D982" s="42">
        <v>0.3607197102907671</v>
      </c>
      <c r="E982" s="43">
        <v>8.0821591308723022</v>
      </c>
      <c r="F982" s="42">
        <v>0.44790768504510992</v>
      </c>
      <c r="G982" s="43">
        <v>1.489269845354962</v>
      </c>
      <c r="H982" s="42">
        <v>1.1585657490224418E-2</v>
      </c>
      <c r="I982" s="43">
        <v>0.23403771069009258</v>
      </c>
      <c r="J982" s="42">
        <v>8.866986170814832E-2</v>
      </c>
      <c r="K982" s="43">
        <v>7.0739714604827526</v>
      </c>
      <c r="L982" s="43">
        <v>2856.4291594001106</v>
      </c>
      <c r="M982" s="44">
        <v>56.251827550871226</v>
      </c>
      <c r="N982" s="44">
        <v>101.02698913590378</v>
      </c>
      <c r="O982" s="45" t="s">
        <v>5074</v>
      </c>
      <c r="P982" s="46">
        <v>2</v>
      </c>
      <c r="Q982" s="43">
        <v>2856.4291594001106</v>
      </c>
      <c r="R982" s="43">
        <v>2857.9184292454656</v>
      </c>
      <c r="S982" s="47">
        <v>0</v>
      </c>
      <c r="T982" s="48">
        <v>2849.0550824494007</v>
      </c>
      <c r="U982" s="48">
        <v>2857.9184292454656</v>
      </c>
      <c r="V982" s="48">
        <v>2854.4340009889142</v>
      </c>
      <c r="W982" s="48">
        <v>2858.3829459087528</v>
      </c>
    </row>
    <row r="983" spans="1:23" ht="13.2" x14ac:dyDescent="0.25">
      <c r="A983" s="41">
        <v>981</v>
      </c>
      <c r="B983" s="42">
        <v>0.67369570148815205</v>
      </c>
      <c r="C983" s="14" t="s">
        <v>5079</v>
      </c>
      <c r="D983" s="42">
        <v>0.80965551212879616</v>
      </c>
      <c r="E983" s="43">
        <v>9.4289665363863886</v>
      </c>
      <c r="F983" s="42">
        <v>0.31346213040568965</v>
      </c>
      <c r="G983" s="43">
        <v>1.4744808343446258</v>
      </c>
      <c r="H983" s="42">
        <v>2.474947647412749E-2</v>
      </c>
      <c r="I983" s="43">
        <v>0.2497488456892494</v>
      </c>
      <c r="J983" s="42">
        <v>0.59446404296647015</v>
      </c>
      <c r="K983" s="43">
        <v>1.5185256861181913</v>
      </c>
      <c r="L983" s="43">
        <v>2857.9476850862288</v>
      </c>
      <c r="M983" s="44">
        <v>65.625607093249258</v>
      </c>
      <c r="N983" s="44">
        <v>117.86208170482986</v>
      </c>
      <c r="O983" s="45" t="s">
        <v>5074</v>
      </c>
      <c r="P983" s="46">
        <v>1</v>
      </c>
      <c r="Q983" s="43">
        <v>2857.9476850862288</v>
      </c>
      <c r="R983" s="43">
        <v>2859.4221659205737</v>
      </c>
      <c r="S983" s="47">
        <v>0</v>
      </c>
      <c r="T983" s="48">
        <v>2859.4221659205737</v>
      </c>
      <c r="U983" s="48">
        <v>2857.9184292454656</v>
      </c>
      <c r="V983" s="48">
        <v>2854.4340009889142</v>
      </c>
      <c r="W983" s="48">
        <v>2858.3829459087528</v>
      </c>
    </row>
    <row r="984" spans="1:23" ht="13.2" x14ac:dyDescent="0.25">
      <c r="A984" s="41">
        <v>982</v>
      </c>
      <c r="B984" s="42">
        <v>0.73325470962247563</v>
      </c>
      <c r="C984" s="14" t="s">
        <v>5079</v>
      </c>
      <c r="D984" s="42">
        <v>0.2676702971885308</v>
      </c>
      <c r="E984" s="43">
        <v>7.8030108915655925</v>
      </c>
      <c r="F984" s="42">
        <v>0.37356368516272104</v>
      </c>
      <c r="G984" s="43">
        <v>1.4810920053678993</v>
      </c>
      <c r="H984" s="42">
        <v>0.56518142417314532</v>
      </c>
      <c r="I984" s="43">
        <v>0.44461247803773146</v>
      </c>
      <c r="J984" s="42">
        <v>8.2207750567331789E-2</v>
      </c>
      <c r="K984" s="43">
        <v>7.2949071305829349</v>
      </c>
      <c r="L984" s="43">
        <v>2865.2425922168118</v>
      </c>
      <c r="M984" s="44">
        <v>54.30895580529652</v>
      </c>
      <c r="N984" s="44">
        <v>97.537636144569902</v>
      </c>
      <c r="O984" s="45" t="s">
        <v>5074</v>
      </c>
      <c r="P984" s="46">
        <v>3</v>
      </c>
      <c r="Q984" s="43">
        <v>2865.2425922168118</v>
      </c>
      <c r="R984" s="43">
        <v>2866.7236842221796</v>
      </c>
      <c r="S984" s="47">
        <v>0</v>
      </c>
      <c r="T984" s="48">
        <v>2859.4221659205737</v>
      </c>
      <c r="U984" s="48">
        <v>2857.9184292454656</v>
      </c>
      <c r="V984" s="48">
        <v>2866.7236842221796</v>
      </c>
      <c r="W984" s="48">
        <v>2858.3829459087528</v>
      </c>
    </row>
    <row r="985" spans="1:23" ht="13.2" x14ac:dyDescent="0.25">
      <c r="A985" s="41">
        <v>983</v>
      </c>
      <c r="B985" s="42">
        <v>0.32814903386316685</v>
      </c>
      <c r="C985" s="14" t="s">
        <v>5077</v>
      </c>
      <c r="D985" s="42">
        <v>0.74272703367412418</v>
      </c>
      <c r="E985" s="43">
        <v>46.684543303067116</v>
      </c>
      <c r="F985" s="42">
        <v>0.18786236745671481</v>
      </c>
      <c r="G985" s="43">
        <v>3.2101739363792232</v>
      </c>
      <c r="H985" s="42">
        <v>7.9326834100916441E-2</v>
      </c>
      <c r="I985" s="43">
        <v>0.96899011887187347</v>
      </c>
      <c r="J985" s="42">
        <v>0.97066777384405389</v>
      </c>
      <c r="K985" s="43">
        <v>8.6922679411025244E-2</v>
      </c>
      <c r="L985" s="43">
        <v>2865.3295148962229</v>
      </c>
      <c r="M985" s="44">
        <v>324.92442138934712</v>
      </c>
      <c r="N985" s="44">
        <v>583.5567912883389</v>
      </c>
      <c r="O985" s="45" t="s">
        <v>5074</v>
      </c>
      <c r="P985" s="46">
        <v>2</v>
      </c>
      <c r="Q985" s="43">
        <v>2865.3295148962229</v>
      </c>
      <c r="R985" s="43">
        <v>2868.5396888326022</v>
      </c>
      <c r="S985" s="47">
        <v>0</v>
      </c>
      <c r="T985" s="48">
        <v>2859.4221659205737</v>
      </c>
      <c r="U985" s="48">
        <v>2868.5396888326022</v>
      </c>
      <c r="V985" s="48">
        <v>2866.7236842221796</v>
      </c>
      <c r="W985" s="48">
        <v>2858.3829459087528</v>
      </c>
    </row>
    <row r="986" spans="1:23" ht="13.2" x14ac:dyDescent="0.25">
      <c r="A986" s="41">
        <v>984</v>
      </c>
      <c r="B986" s="42">
        <v>0.2483937196658895</v>
      </c>
      <c r="C986" s="14" t="s">
        <v>5077</v>
      </c>
      <c r="D986" s="42">
        <v>2.8362810624932316E-2</v>
      </c>
      <c r="E986" s="43">
        <v>40.25526529562439</v>
      </c>
      <c r="F986" s="42">
        <v>7.9491411372782386E-2</v>
      </c>
      <c r="G986" s="43">
        <v>3.1581558774589356</v>
      </c>
      <c r="H986" s="42">
        <v>0.91365122651385666</v>
      </c>
      <c r="I986" s="43">
        <v>1.5028783419591736</v>
      </c>
      <c r="J986" s="42">
        <v>0.77994892316868014</v>
      </c>
      <c r="K986" s="43">
        <v>0.7256258235319395</v>
      </c>
      <c r="L986" s="43">
        <v>2866.0551407197549</v>
      </c>
      <c r="M986" s="44">
        <v>280.17664645754576</v>
      </c>
      <c r="N986" s="44">
        <v>503.19081619530488</v>
      </c>
      <c r="O986" s="45" t="s">
        <v>5074</v>
      </c>
      <c r="P986" s="46">
        <v>4</v>
      </c>
      <c r="Q986" s="43">
        <v>2866.0551407197549</v>
      </c>
      <c r="R986" s="43">
        <v>2869.2132965972137</v>
      </c>
      <c r="S986" s="47">
        <v>0</v>
      </c>
      <c r="T986" s="48">
        <v>2859.4221659205737</v>
      </c>
      <c r="U986" s="48">
        <v>2868.5396888326022</v>
      </c>
      <c r="V986" s="48">
        <v>2866.7236842221796</v>
      </c>
      <c r="W986" s="48">
        <v>2869.2132965972137</v>
      </c>
    </row>
    <row r="987" spans="1:23" ht="13.2" x14ac:dyDescent="0.25">
      <c r="A987" s="41">
        <v>985</v>
      </c>
      <c r="B987" s="42">
        <v>0.9534732932008213</v>
      </c>
      <c r="C987" s="14" t="s">
        <v>5080</v>
      </c>
      <c r="D987" s="42">
        <v>0.60550104296091056</v>
      </c>
      <c r="E987" s="43">
        <v>100.13752607402276</v>
      </c>
      <c r="F987" s="42">
        <v>9.5670455645616381E-2</v>
      </c>
      <c r="G987" s="43">
        <v>4.2616620460486327</v>
      </c>
      <c r="H987" s="42">
        <v>0.3373194655111616</v>
      </c>
      <c r="I987" s="43">
        <v>1.8969505221578307</v>
      </c>
      <c r="J987" s="42">
        <v>0.15546591214624508</v>
      </c>
      <c r="K987" s="43">
        <v>5.4345366011312644</v>
      </c>
      <c r="L987" s="43">
        <v>2871.4896773208861</v>
      </c>
      <c r="M987" s="44">
        <v>696.95718147519835</v>
      </c>
      <c r="N987" s="44">
        <v>1251.7190759252844</v>
      </c>
      <c r="O987" s="45" t="s">
        <v>5074</v>
      </c>
      <c r="P987" s="46">
        <v>1</v>
      </c>
      <c r="Q987" s="43">
        <v>2871.4896773208861</v>
      </c>
      <c r="R987" s="43">
        <v>2875.7513393669346</v>
      </c>
      <c r="S987" s="47">
        <v>0</v>
      </c>
      <c r="T987" s="48">
        <v>2875.7513393669346</v>
      </c>
      <c r="U987" s="48">
        <v>2868.5396888326022</v>
      </c>
      <c r="V987" s="48">
        <v>2866.7236842221796</v>
      </c>
      <c r="W987" s="48">
        <v>2869.2132965972137</v>
      </c>
    </row>
    <row r="988" spans="1:23" ht="13.2" x14ac:dyDescent="0.25">
      <c r="A988" s="41">
        <v>986</v>
      </c>
      <c r="B988" s="42">
        <v>0.36955117451471797</v>
      </c>
      <c r="C988" s="14" t="s">
        <v>5077</v>
      </c>
      <c r="D988" s="42">
        <v>0.64089505683672388</v>
      </c>
      <c r="E988" s="43">
        <v>45.768055511530513</v>
      </c>
      <c r="F988" s="42">
        <v>0.3166170936620874</v>
      </c>
      <c r="G988" s="43">
        <v>3.2719762049578023</v>
      </c>
      <c r="H988" s="42">
        <v>0.53996383191084663</v>
      </c>
      <c r="I988" s="43">
        <v>1.2450095873096676</v>
      </c>
      <c r="J988" s="42">
        <v>0.76944734797321601</v>
      </c>
      <c r="K988" s="43">
        <v>0.76520511454230433</v>
      </c>
      <c r="L988" s="43">
        <v>2872.2548824354285</v>
      </c>
      <c r="M988" s="44">
        <v>318.54566636025237</v>
      </c>
      <c r="N988" s="44">
        <v>572.10069389413138</v>
      </c>
      <c r="O988" s="45" t="s">
        <v>5074</v>
      </c>
      <c r="P988" s="46">
        <v>3</v>
      </c>
      <c r="Q988" s="43">
        <v>2872.2548824354285</v>
      </c>
      <c r="R988" s="43">
        <v>2875.5268586403863</v>
      </c>
      <c r="S988" s="47">
        <v>0</v>
      </c>
      <c r="T988" s="48">
        <v>2875.7513393669346</v>
      </c>
      <c r="U988" s="48">
        <v>2868.5396888326022</v>
      </c>
      <c r="V988" s="48">
        <v>2875.5268586403863</v>
      </c>
      <c r="W988" s="48">
        <v>2869.2132965972137</v>
      </c>
    </row>
    <row r="989" spans="1:23" ht="13.2" x14ac:dyDescent="0.25">
      <c r="A989" s="41">
        <v>987</v>
      </c>
      <c r="B989" s="42">
        <v>0.81902106330684432</v>
      </c>
      <c r="C989" s="14" t="s">
        <v>5078</v>
      </c>
      <c r="D989" s="42">
        <v>0.50753677101225447</v>
      </c>
      <c r="E989" s="43">
        <v>190.30147084049017</v>
      </c>
      <c r="F989" s="42">
        <v>0.11590511869448475</v>
      </c>
      <c r="G989" s="43">
        <v>5.5254736580119808</v>
      </c>
      <c r="H989" s="42">
        <v>0.43983088314525359</v>
      </c>
      <c r="I989" s="43">
        <v>3.0506435261795328</v>
      </c>
      <c r="J989" s="42">
        <v>0.97290329913278262</v>
      </c>
      <c r="K989" s="43">
        <v>8.020609044326267E-2</v>
      </c>
      <c r="L989" s="43">
        <v>2872.3350885258719</v>
      </c>
      <c r="M989" s="44">
        <v>1324.4982370498117</v>
      </c>
      <c r="N989" s="44">
        <v>2378.7683855061273</v>
      </c>
      <c r="O989" s="45" t="s">
        <v>5074</v>
      </c>
      <c r="P989" s="46">
        <v>2</v>
      </c>
      <c r="Q989" s="43">
        <v>2872.3350885258719</v>
      </c>
      <c r="R989" s="43">
        <v>2877.8605621838838</v>
      </c>
      <c r="S989" s="47">
        <v>0</v>
      </c>
      <c r="T989" s="48">
        <v>2875.7513393669346</v>
      </c>
      <c r="U989" s="48">
        <v>2877.8605621838838</v>
      </c>
      <c r="V989" s="48">
        <v>2875.5268586403863</v>
      </c>
      <c r="W989" s="48">
        <v>2869.2132965972137</v>
      </c>
    </row>
    <row r="990" spans="1:23" ht="13.2" x14ac:dyDescent="0.25">
      <c r="A990" s="41">
        <v>988</v>
      </c>
      <c r="B990" s="42">
        <v>0.33612494093185519</v>
      </c>
      <c r="C990" s="14" t="s">
        <v>5077</v>
      </c>
      <c r="D990" s="42">
        <v>0.8394405421984571</v>
      </c>
      <c r="E990" s="43">
        <v>47.554964879786112</v>
      </c>
      <c r="F990" s="42">
        <v>0.24063883267372793</v>
      </c>
      <c r="G990" s="43">
        <v>3.2355066396833894</v>
      </c>
      <c r="H990" s="42">
        <v>0.82509218287891339</v>
      </c>
      <c r="I990" s="43">
        <v>1.4194496164599146</v>
      </c>
      <c r="J990" s="42">
        <v>3.7842469307520644E-2</v>
      </c>
      <c r="K990" s="43">
        <v>9.560067971930895</v>
      </c>
      <c r="L990" s="43">
        <v>2881.8951564978029</v>
      </c>
      <c r="M990" s="44">
        <v>330.98255556331134</v>
      </c>
      <c r="N990" s="44">
        <v>594.4370609973264</v>
      </c>
      <c r="O990" s="45" t="s">
        <v>5074</v>
      </c>
      <c r="P990" s="46">
        <v>4</v>
      </c>
      <c r="Q990" s="43">
        <v>2881.8951564978029</v>
      </c>
      <c r="R990" s="43">
        <v>2885.1306631374864</v>
      </c>
      <c r="S990" s="47">
        <v>0</v>
      </c>
      <c r="T990" s="48">
        <v>2875.7513393669346</v>
      </c>
      <c r="U990" s="48">
        <v>2877.8605621838838</v>
      </c>
      <c r="V990" s="48">
        <v>2875.5268586403863</v>
      </c>
      <c r="W990" s="48">
        <v>2885.1306631374864</v>
      </c>
    </row>
    <row r="991" spans="1:23" ht="13.2" x14ac:dyDescent="0.25">
      <c r="A991" s="41">
        <v>989</v>
      </c>
      <c r="B991" s="42">
        <v>0.20836004671098668</v>
      </c>
      <c r="C991" s="14" t="s">
        <v>5073</v>
      </c>
      <c r="D991" s="42">
        <v>0.97888755098864788</v>
      </c>
      <c r="E991" s="43">
        <v>397.46650611863777</v>
      </c>
      <c r="F991" s="42">
        <v>0.27294532501741559</v>
      </c>
      <c r="G991" s="43">
        <v>9.2343188673045109</v>
      </c>
      <c r="H991" s="42">
        <v>0.78926055961719743</v>
      </c>
      <c r="I991" s="43">
        <v>3.6024392118340871</v>
      </c>
      <c r="J991" s="42">
        <v>0.40513276141375898</v>
      </c>
      <c r="K991" s="43">
        <v>2.6380743346929463</v>
      </c>
      <c r="L991" s="43">
        <v>2884.533230832496</v>
      </c>
      <c r="M991" s="44">
        <v>2766.3668825857189</v>
      </c>
      <c r="N991" s="44">
        <v>4968.3313264829721</v>
      </c>
      <c r="O991" s="45" t="s">
        <v>5074</v>
      </c>
      <c r="P991" s="46">
        <v>3</v>
      </c>
      <c r="Q991" s="43">
        <v>2884.533230832496</v>
      </c>
      <c r="R991" s="43">
        <v>2893.7675496998004</v>
      </c>
      <c r="S991" s="47">
        <v>0</v>
      </c>
      <c r="T991" s="48">
        <v>2875.7513393669346</v>
      </c>
      <c r="U991" s="48">
        <v>2877.8605621838838</v>
      </c>
      <c r="V991" s="48">
        <v>2893.7675496998004</v>
      </c>
      <c r="W991" s="48">
        <v>2885.1306631374864</v>
      </c>
    </row>
    <row r="992" spans="1:23" ht="13.2" x14ac:dyDescent="0.25">
      <c r="A992" s="41">
        <v>990</v>
      </c>
      <c r="B992" s="42">
        <v>8.1828183066951193E-2</v>
      </c>
      <c r="C992" s="14" t="s">
        <v>5073</v>
      </c>
      <c r="D992" s="42">
        <v>0.52855546284865373</v>
      </c>
      <c r="E992" s="43">
        <v>343.42665554183844</v>
      </c>
      <c r="F992" s="42">
        <v>0.25393410131984118</v>
      </c>
      <c r="G992" s="43">
        <v>9.1748137371311032</v>
      </c>
      <c r="H992" s="42">
        <v>0.13213535450964017</v>
      </c>
      <c r="I992" s="43">
        <v>2.9451999907507416</v>
      </c>
      <c r="J992" s="42">
        <v>7.3101104736840866E-2</v>
      </c>
      <c r="K992" s="43">
        <v>7.6376986851431186</v>
      </c>
      <c r="L992" s="43">
        <v>2892.1709295176393</v>
      </c>
      <c r="M992" s="44">
        <v>2390.2495225711955</v>
      </c>
      <c r="N992" s="44">
        <v>4292.8331942729801</v>
      </c>
      <c r="O992" s="45" t="s">
        <v>5074</v>
      </c>
      <c r="P992" s="46">
        <v>1</v>
      </c>
      <c r="Q992" s="43">
        <v>2892.1709295176393</v>
      </c>
      <c r="R992" s="43">
        <v>2901.3457432547702</v>
      </c>
      <c r="S992" s="47">
        <v>0</v>
      </c>
      <c r="T992" s="48">
        <v>2901.3457432547702</v>
      </c>
      <c r="U992" s="48">
        <v>2877.8605621838838</v>
      </c>
      <c r="V992" s="48">
        <v>2893.7675496998004</v>
      </c>
      <c r="W992" s="48">
        <v>2885.1306631374864</v>
      </c>
    </row>
    <row r="993" spans="1:23" ht="13.2" x14ac:dyDescent="0.25">
      <c r="A993" s="41">
        <v>991</v>
      </c>
      <c r="B993" s="42">
        <v>8.8498035952680756E-2</v>
      </c>
      <c r="C993" s="14" t="s">
        <v>5073</v>
      </c>
      <c r="D993" s="42">
        <v>0.66543008185244634</v>
      </c>
      <c r="E993" s="43">
        <v>359.85160982229354</v>
      </c>
      <c r="F993" s="42">
        <v>0.47913138916675529</v>
      </c>
      <c r="G993" s="43">
        <v>9.8796812480919449</v>
      </c>
      <c r="H993" s="42">
        <v>0.64768873930335447</v>
      </c>
      <c r="I993" s="43">
        <v>3.4856637910337538</v>
      </c>
      <c r="J993" s="42">
        <v>0.57092486208813487</v>
      </c>
      <c r="K993" s="43">
        <v>1.6364895416734255</v>
      </c>
      <c r="L993" s="43">
        <v>2893.8074190593125</v>
      </c>
      <c r="M993" s="44">
        <v>2504.567204363163</v>
      </c>
      <c r="N993" s="44">
        <v>4498.1451227786692</v>
      </c>
      <c r="O993" s="45" t="s">
        <v>5074</v>
      </c>
      <c r="P993" s="46">
        <v>2</v>
      </c>
      <c r="Q993" s="43">
        <v>2893.8074190593125</v>
      </c>
      <c r="R993" s="43">
        <v>2903.6871003074043</v>
      </c>
      <c r="S993" s="47">
        <v>0</v>
      </c>
      <c r="T993" s="48">
        <v>2901.3457432547702</v>
      </c>
      <c r="U993" s="48">
        <v>2903.6871003074043</v>
      </c>
      <c r="V993" s="48">
        <v>2893.7675496998004</v>
      </c>
      <c r="W993" s="48">
        <v>2885.1306631374864</v>
      </c>
    </row>
    <row r="994" spans="1:23" ht="13.2" x14ac:dyDescent="0.25">
      <c r="A994" s="41">
        <v>992</v>
      </c>
      <c r="B994" s="42">
        <v>0.17820319867609219</v>
      </c>
      <c r="C994" s="14" t="s">
        <v>5073</v>
      </c>
      <c r="D994" s="42">
        <v>0.15141226823973108</v>
      </c>
      <c r="E994" s="43">
        <v>298.16947218876771</v>
      </c>
      <c r="F994" s="42">
        <v>0.97792768430799604</v>
      </c>
      <c r="G994" s="43">
        <v>11.440913651884028</v>
      </c>
      <c r="H994" s="42">
        <v>0.55085871301165723</v>
      </c>
      <c r="I994" s="43">
        <v>3.4090038886151621</v>
      </c>
      <c r="J994" s="42">
        <v>0.5714116746426614</v>
      </c>
      <c r="K994" s="43">
        <v>1.6340010445195559</v>
      </c>
      <c r="L994" s="43">
        <v>2895.4414201038321</v>
      </c>
      <c r="M994" s="44">
        <v>2075.2595264338233</v>
      </c>
      <c r="N994" s="44">
        <v>3727.1184023595965</v>
      </c>
      <c r="O994" s="45" t="s">
        <v>5074</v>
      </c>
      <c r="P994" s="46">
        <v>4</v>
      </c>
      <c r="Q994" s="43">
        <v>2895.4414201038321</v>
      </c>
      <c r="R994" s="43">
        <v>2906.882333755716</v>
      </c>
      <c r="S994" s="47">
        <v>0</v>
      </c>
      <c r="T994" s="48">
        <v>2901.3457432547702</v>
      </c>
      <c r="U994" s="48">
        <v>2903.6871003074043</v>
      </c>
      <c r="V994" s="48">
        <v>2893.7675496998004</v>
      </c>
      <c r="W994" s="48">
        <v>2906.882333755716</v>
      </c>
    </row>
    <row r="995" spans="1:23" ht="13.2" x14ac:dyDescent="0.25">
      <c r="A995" s="41">
        <v>993</v>
      </c>
      <c r="B995" s="42">
        <v>0.48987052193371139</v>
      </c>
      <c r="C995" s="14" t="s">
        <v>5077</v>
      </c>
      <c r="D995" s="42">
        <v>0.20265765683849232</v>
      </c>
      <c r="E995" s="43">
        <v>41.823918911546428</v>
      </c>
      <c r="F995" s="42">
        <v>0.20838503735530425</v>
      </c>
      <c r="G995" s="43">
        <v>3.220024817930546</v>
      </c>
      <c r="H995" s="42">
        <v>0.5764397837111912</v>
      </c>
      <c r="I995" s="43">
        <v>1.2634199989349444</v>
      </c>
      <c r="J995" s="42">
        <v>0.90311781638447097</v>
      </c>
      <c r="K995" s="43">
        <v>0.29752485223164676</v>
      </c>
      <c r="L995" s="43">
        <v>2895.7389449560637</v>
      </c>
      <c r="M995" s="44">
        <v>291.09447562436316</v>
      </c>
      <c r="N995" s="44">
        <v>522.79898639433031</v>
      </c>
      <c r="O995" s="45" t="s">
        <v>5074</v>
      </c>
      <c r="P995" s="46">
        <v>3</v>
      </c>
      <c r="Q995" s="43">
        <v>2895.7389449560637</v>
      </c>
      <c r="R995" s="43">
        <v>2898.9589697739943</v>
      </c>
      <c r="S995" s="47">
        <v>0</v>
      </c>
      <c r="T995" s="48">
        <v>2901.3457432547702</v>
      </c>
      <c r="U995" s="48">
        <v>2903.6871003074043</v>
      </c>
      <c r="V995" s="48">
        <v>2898.9589697739943</v>
      </c>
      <c r="W995" s="48">
        <v>2906.882333755716</v>
      </c>
    </row>
    <row r="996" spans="1:23" ht="13.2" x14ac:dyDescent="0.25">
      <c r="A996" s="41">
        <v>994</v>
      </c>
      <c r="B996" s="42">
        <v>0.65545330739368368</v>
      </c>
      <c r="C996" s="14" t="s">
        <v>5079</v>
      </c>
      <c r="D996" s="42">
        <v>0.88862541731848632</v>
      </c>
      <c r="E996" s="43">
        <v>9.66587625195546</v>
      </c>
      <c r="F996" s="42">
        <v>0.69489799937927066</v>
      </c>
      <c r="G996" s="43">
        <v>1.5164387799317198</v>
      </c>
      <c r="H996" s="42">
        <v>0.5645527264869552</v>
      </c>
      <c r="I996" s="43">
        <v>0.44442791422583583</v>
      </c>
      <c r="J996" s="42">
        <v>0.5991916449736765</v>
      </c>
      <c r="K996" s="43">
        <v>1.495397928501393</v>
      </c>
      <c r="L996" s="43">
        <v>2897.2343428845652</v>
      </c>
      <c r="M996" s="44">
        <v>68.040971044896793</v>
      </c>
      <c r="N996" s="44">
        <v>120.82345314944325</v>
      </c>
      <c r="O996" s="45" t="s">
        <v>5074</v>
      </c>
      <c r="P996" s="46">
        <v>3</v>
      </c>
      <c r="Q996" s="43">
        <v>2898.9589697739943</v>
      </c>
      <c r="R996" s="43">
        <v>2900.4754085539262</v>
      </c>
      <c r="S996" s="43">
        <v>1.7246268894291461</v>
      </c>
      <c r="T996" s="48">
        <v>2901.3457432547702</v>
      </c>
      <c r="U996" s="48">
        <v>2903.6871003074043</v>
      </c>
      <c r="V996" s="48">
        <v>2900.4754085539262</v>
      </c>
      <c r="W996" s="48">
        <v>2906.882333755716</v>
      </c>
    </row>
    <row r="997" spans="1:23" ht="13.2" x14ac:dyDescent="0.25">
      <c r="A997" s="41">
        <v>995</v>
      </c>
      <c r="B997" s="42">
        <v>0.94498575476230395</v>
      </c>
      <c r="C997" s="14" t="s">
        <v>5080</v>
      </c>
      <c r="D997" s="42">
        <v>0.88558166981003328</v>
      </c>
      <c r="E997" s="43">
        <v>107.13954174525082</v>
      </c>
      <c r="F997" s="42">
        <v>0.30107649150354626</v>
      </c>
      <c r="G997" s="43">
        <v>4.3725813054119147</v>
      </c>
      <c r="H997" s="42">
        <v>0.81915588621942137</v>
      </c>
      <c r="I997" s="43">
        <v>2.4294569211662966</v>
      </c>
      <c r="J997" s="42">
        <v>0.92364532822912804</v>
      </c>
      <c r="K997" s="43">
        <v>0.23190401440949657</v>
      </c>
      <c r="L997" s="43">
        <v>2897.4662468989745</v>
      </c>
      <c r="M997" s="44">
        <v>753.00183915647619</v>
      </c>
      <c r="N997" s="44">
        <v>1339.2442718156353</v>
      </c>
      <c r="O997" s="45" t="s">
        <v>5074</v>
      </c>
      <c r="P997" s="46">
        <v>3</v>
      </c>
      <c r="Q997" s="43">
        <v>2900.4754085539262</v>
      </c>
      <c r="R997" s="43">
        <v>2904.8479898593382</v>
      </c>
      <c r="S997" s="43">
        <v>3.0091616549516402</v>
      </c>
      <c r="T997" s="48">
        <v>2901.3457432547702</v>
      </c>
      <c r="U997" s="48">
        <v>2903.6871003074043</v>
      </c>
      <c r="V997" s="48">
        <v>2904.8479898593382</v>
      </c>
      <c r="W997" s="48">
        <v>2906.882333755716</v>
      </c>
    </row>
    <row r="998" spans="1:23" ht="13.2" x14ac:dyDescent="0.25">
      <c r="A998" s="41">
        <v>996</v>
      </c>
      <c r="B998" s="42">
        <v>0.21210653530997528</v>
      </c>
      <c r="C998" s="14" t="s">
        <v>5073</v>
      </c>
      <c r="D998" s="42">
        <v>0.1028227825196566</v>
      </c>
      <c r="E998" s="43">
        <v>292.3387339023588</v>
      </c>
      <c r="F998" s="42">
        <v>0.56420947730737248</v>
      </c>
      <c r="G998" s="43">
        <v>10.145975663972076</v>
      </c>
      <c r="H998" s="42">
        <v>0.25235100009122446</v>
      </c>
      <c r="I998" s="43">
        <v>3.1152450732324777</v>
      </c>
      <c r="J998" s="42">
        <v>2.0562791275122571E-2</v>
      </c>
      <c r="K998" s="43">
        <v>11.340940394748523</v>
      </c>
      <c r="L998" s="43">
        <v>2908.807187293723</v>
      </c>
      <c r="M998" s="44">
        <v>2034.6775879604172</v>
      </c>
      <c r="N998" s="44">
        <v>3654.234173779485</v>
      </c>
      <c r="O998" s="45" t="s">
        <v>5074</v>
      </c>
      <c r="P998" s="46">
        <v>1</v>
      </c>
      <c r="Q998" s="43">
        <v>2908.807187293723</v>
      </c>
      <c r="R998" s="43">
        <v>2918.953162957695</v>
      </c>
      <c r="S998" s="47">
        <v>0</v>
      </c>
      <c r="T998" s="48">
        <v>2918.953162957695</v>
      </c>
      <c r="U998" s="48">
        <v>2903.6871003074043</v>
      </c>
      <c r="V998" s="48">
        <v>2904.8479898593382</v>
      </c>
      <c r="W998" s="48">
        <v>2906.882333755716</v>
      </c>
    </row>
    <row r="999" spans="1:23" ht="13.2" x14ac:dyDescent="0.25">
      <c r="A999" s="41">
        <v>997</v>
      </c>
      <c r="B999" s="42">
        <v>0.7522831693069465</v>
      </c>
      <c r="C999" s="14" t="s">
        <v>5079</v>
      </c>
      <c r="D999" s="42">
        <v>0.61452659108421137</v>
      </c>
      <c r="E999" s="43">
        <v>8.8435797732526336</v>
      </c>
      <c r="F999" s="42">
        <v>0.34616039290379752</v>
      </c>
      <c r="G999" s="43">
        <v>1.4780776432194178</v>
      </c>
      <c r="H999" s="42">
        <v>0.10013413946150529</v>
      </c>
      <c r="I999" s="43">
        <v>0.30006704725408129</v>
      </c>
      <c r="J999" s="42">
        <v>0.25062310800450999</v>
      </c>
      <c r="K999" s="43">
        <v>4.0403066571065267</v>
      </c>
      <c r="L999" s="43">
        <v>2912.8474939508296</v>
      </c>
      <c r="M999" s="44">
        <v>61.55131522183833</v>
      </c>
      <c r="N999" s="44">
        <v>110.54474716565792</v>
      </c>
      <c r="O999" s="45" t="s">
        <v>5074</v>
      </c>
      <c r="P999" s="46">
        <v>2</v>
      </c>
      <c r="Q999" s="43">
        <v>2912.8474939508296</v>
      </c>
      <c r="R999" s="43">
        <v>2914.3255715940491</v>
      </c>
      <c r="S999" s="47">
        <v>0</v>
      </c>
      <c r="T999" s="48">
        <v>2918.953162957695</v>
      </c>
      <c r="U999" s="48">
        <v>2914.3255715940491</v>
      </c>
      <c r="V999" s="48">
        <v>2904.8479898593382</v>
      </c>
      <c r="W999" s="48">
        <v>2906.882333755716</v>
      </c>
    </row>
    <row r="1000" spans="1:23" ht="13.2" x14ac:dyDescent="0.25">
      <c r="A1000" s="41">
        <v>998</v>
      </c>
      <c r="B1000" s="42">
        <v>0.90098715289541853</v>
      </c>
      <c r="C1000" s="14" t="s">
        <v>5075</v>
      </c>
      <c r="D1000" s="42">
        <v>0.11280919244178067</v>
      </c>
      <c r="E1000" s="43">
        <v>287.89664347092463</v>
      </c>
      <c r="F1000" s="42">
        <v>0.19318510088752261</v>
      </c>
      <c r="G1000" s="43">
        <v>8.7344383507661689</v>
      </c>
      <c r="H1000" s="42">
        <v>0.90219074948792843</v>
      </c>
      <c r="I1000" s="43">
        <v>3.0577121966138527</v>
      </c>
      <c r="J1000" s="42">
        <v>0.52942734003506009</v>
      </c>
      <c r="K1000" s="43">
        <v>1.8568156119314856</v>
      </c>
      <c r="L1000" s="43">
        <v>2914.704309562761</v>
      </c>
      <c r="M1000" s="44">
        <v>2003.7606385576355</v>
      </c>
      <c r="N1000" s="44">
        <v>3598.7080433865581</v>
      </c>
      <c r="O1000" s="45" t="s">
        <v>5074</v>
      </c>
      <c r="P1000" s="46">
        <v>3</v>
      </c>
      <c r="Q1000" s="43">
        <v>2914.704309562761</v>
      </c>
      <c r="R1000" s="43">
        <v>2923.4387479135271</v>
      </c>
      <c r="S1000" s="47">
        <v>0</v>
      </c>
      <c r="T1000" s="48">
        <v>2918.953162957695</v>
      </c>
      <c r="U1000" s="48">
        <v>2914.3255715940491</v>
      </c>
      <c r="V1000" s="48">
        <v>2923.4387479135271</v>
      </c>
      <c r="W1000" s="48">
        <v>2906.882333755716</v>
      </c>
    </row>
    <row r="1001" spans="1:23" ht="13.2" x14ac:dyDescent="0.25">
      <c r="A1001" s="41">
        <v>999</v>
      </c>
      <c r="B1001" s="42">
        <v>0.51530780434389967</v>
      </c>
      <c r="C1001" s="14" t="s">
        <v>5076</v>
      </c>
      <c r="D1001" s="42">
        <v>0.19516147542519563</v>
      </c>
      <c r="E1001" s="43">
        <v>36.951614754251956</v>
      </c>
      <c r="F1001" s="42">
        <v>0.62701806967473495</v>
      </c>
      <c r="G1001" s="43">
        <v>3.3284283120503781</v>
      </c>
      <c r="H1001" s="42">
        <v>0.7245612841679534</v>
      </c>
      <c r="I1001" s="43">
        <v>0.92229000660225957</v>
      </c>
      <c r="J1001" s="42">
        <v>0.84366560859776363</v>
      </c>
      <c r="K1001" s="43">
        <v>0.49634762405069416</v>
      </c>
      <c r="L1001" s="43">
        <v>2915.2006571868114</v>
      </c>
      <c r="M1001" s="44">
        <v>257.18323868959362</v>
      </c>
      <c r="N1001" s="44">
        <v>461.89518442814943</v>
      </c>
      <c r="O1001" s="45" t="s">
        <v>5074</v>
      </c>
      <c r="P1001" s="46">
        <v>4</v>
      </c>
      <c r="Q1001" s="43">
        <v>2915.2006571868114</v>
      </c>
      <c r="R1001" s="43">
        <v>2918.5290854988616</v>
      </c>
      <c r="S1001" s="47">
        <v>0</v>
      </c>
      <c r="T1001" s="48">
        <v>2918.953162957695</v>
      </c>
      <c r="U1001" s="48">
        <v>2914.3255715940491</v>
      </c>
      <c r="V1001" s="48">
        <v>2923.4387479135271</v>
      </c>
      <c r="W1001" s="48">
        <v>2918.5290854988616</v>
      </c>
    </row>
    <row r="1002" spans="1:23" ht="13.2" x14ac:dyDescent="0.25">
      <c r="A1002" s="41">
        <v>1000</v>
      </c>
      <c r="B1002" s="42">
        <v>0.96928713841796255</v>
      </c>
      <c r="C1002" s="14" t="s">
        <v>5080</v>
      </c>
      <c r="D1002" s="42">
        <v>0.14621110500125731</v>
      </c>
      <c r="E1002" s="43">
        <v>88.655277625031431</v>
      </c>
      <c r="F1002" s="42">
        <v>0.51168816374227788</v>
      </c>
      <c r="G1002" s="43">
        <v>4.4863116084208299</v>
      </c>
      <c r="H1002" s="42">
        <v>0.21288906094287013</v>
      </c>
      <c r="I1002" s="43">
        <v>1.7536788308737594</v>
      </c>
      <c r="J1002" s="42">
        <v>0.63630187680772599</v>
      </c>
      <c r="K1002" s="43">
        <v>1.3199479684189794</v>
      </c>
      <c r="L1002" s="43">
        <v>2916.5206051552304</v>
      </c>
      <c r="M1002" s="44">
        <v>617.04073227021877</v>
      </c>
      <c r="N1002" s="44">
        <v>1108.1909703128929</v>
      </c>
      <c r="O1002" s="45" t="s">
        <v>5074</v>
      </c>
      <c r="P1002" s="46">
        <v>2</v>
      </c>
      <c r="Q1002" s="43">
        <v>2916.5206051552304</v>
      </c>
      <c r="R1002" s="43">
        <v>2921.0069167636511</v>
      </c>
      <c r="S1002" s="47">
        <v>0</v>
      </c>
      <c r="T1002" s="48">
        <v>2918.953162957695</v>
      </c>
      <c r="U1002" s="48">
        <v>2921.0069167636511</v>
      </c>
      <c r="V1002" s="48">
        <v>2923.4387479135271</v>
      </c>
      <c r="W1002" s="48">
        <v>2918.5290854988616</v>
      </c>
    </row>
  </sheetData>
  <mergeCells count="1">
    <mergeCell ref="A1:W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34"/>
  <sheetViews>
    <sheetView tabSelected="1" workbookViewId="0">
      <selection activeCell="D43" sqref="D43"/>
    </sheetView>
  </sheetViews>
  <sheetFormatPr baseColWidth="10" defaultColWidth="12.6640625" defaultRowHeight="15.75" customHeight="1" x14ac:dyDescent="0.25"/>
  <cols>
    <col min="1" max="1" width="32.6640625" customWidth="1"/>
    <col min="2" max="2" width="15.109375" customWidth="1"/>
    <col min="3" max="3" width="17.6640625" customWidth="1"/>
    <col min="4" max="4" width="37.6640625" customWidth="1"/>
    <col min="5" max="5" width="16" customWidth="1"/>
    <col min="6" max="6" width="15.21875" customWidth="1"/>
  </cols>
  <sheetData>
    <row r="1" spans="1:6" ht="15.75" customHeight="1" x14ac:dyDescent="0.3">
      <c r="A1" s="89" t="s">
        <v>5082</v>
      </c>
      <c r="B1" s="76"/>
      <c r="C1" s="76"/>
      <c r="D1" s="76"/>
      <c r="E1" s="76"/>
      <c r="F1" s="76"/>
    </row>
    <row r="2" spans="1:6" ht="13.2" x14ac:dyDescent="0.25">
      <c r="A2" s="90" t="s">
        <v>5083</v>
      </c>
      <c r="B2" s="76"/>
      <c r="C2" s="76"/>
      <c r="D2" s="76"/>
      <c r="E2" s="76"/>
      <c r="F2" s="76"/>
    </row>
    <row r="4" spans="1:6" ht="13.2" x14ac:dyDescent="0.25">
      <c r="A4" s="91" t="s">
        <v>5084</v>
      </c>
      <c r="B4" s="70"/>
      <c r="C4" s="70"/>
      <c r="D4" s="70"/>
      <c r="E4" s="71"/>
    </row>
    <row r="5" spans="1:6" ht="26.4" x14ac:dyDescent="0.25">
      <c r="A5" s="3" t="s">
        <v>5085</v>
      </c>
      <c r="B5" s="49">
        <f>Parámetros!B6</f>
        <v>9</v>
      </c>
      <c r="C5" s="3" t="s">
        <v>12</v>
      </c>
      <c r="D5" s="50">
        <f>Parámetros!B9</f>
        <v>9.66</v>
      </c>
      <c r="E5" s="51" t="s">
        <v>13</v>
      </c>
    </row>
    <row r="6" spans="1:6" ht="26.4" x14ac:dyDescent="0.25">
      <c r="A6" s="3" t="s">
        <v>6</v>
      </c>
      <c r="B6" s="50">
        <f>Parámetros!B10</f>
        <v>0.34250000000000003</v>
      </c>
      <c r="C6" s="3" t="s">
        <v>5086</v>
      </c>
      <c r="D6" s="50">
        <f>Parámetros!B11</f>
        <v>1</v>
      </c>
      <c r="E6" s="51" t="s">
        <v>5087</v>
      </c>
    </row>
    <row r="7" spans="1:6" ht="13.2" x14ac:dyDescent="0.25">
      <c r="A7" s="3" t="s">
        <v>5088</v>
      </c>
      <c r="B7" s="50">
        <f>Parámetros!B14</f>
        <v>10000</v>
      </c>
      <c r="C7" s="3" t="s">
        <v>5089</v>
      </c>
      <c r="D7" s="50">
        <f>Parámetros!B15</f>
        <v>240</v>
      </c>
      <c r="E7" s="51" t="s">
        <v>5090</v>
      </c>
    </row>
    <row r="9" spans="1:6" ht="15.75" customHeight="1" x14ac:dyDescent="0.3">
      <c r="A9" s="92" t="s">
        <v>5091</v>
      </c>
      <c r="B9" s="70"/>
      <c r="C9" s="70"/>
      <c r="D9" s="71"/>
    </row>
    <row r="10" spans="1:6" ht="13.2" x14ac:dyDescent="0.25">
      <c r="A10" s="52" t="s">
        <v>5092</v>
      </c>
      <c r="B10" s="52" t="s">
        <v>10</v>
      </c>
      <c r="C10" s="52" t="s">
        <v>11</v>
      </c>
      <c r="D10" s="52" t="s">
        <v>5093</v>
      </c>
    </row>
    <row r="11" spans="1:6" ht="13.2" x14ac:dyDescent="0.25">
      <c r="A11" s="53" t="s">
        <v>5094</v>
      </c>
      <c r="B11" s="54">
        <f>COUNTA(Simulación!A3:A1002)</f>
        <v>1000</v>
      </c>
      <c r="C11" s="53" t="s">
        <v>5095</v>
      </c>
      <c r="D11" s="53" t="s">
        <v>5096</v>
      </c>
    </row>
    <row r="12" spans="1:6" ht="13.2" x14ac:dyDescent="0.25">
      <c r="A12" s="51" t="s">
        <v>5097</v>
      </c>
      <c r="B12" s="55">
        <f>COUNTIF(Simulación!O3:O1002,"SUBV")</f>
        <v>1000</v>
      </c>
      <c r="C12" s="51" t="s">
        <v>5095</v>
      </c>
      <c r="D12" s="51" t="s">
        <v>5098</v>
      </c>
    </row>
    <row r="13" spans="1:6" ht="13.2" x14ac:dyDescent="0.25">
      <c r="A13" s="53" t="s">
        <v>5099</v>
      </c>
      <c r="B13" s="54">
        <f>COUNTIF(Simulación!O3:O1002,"INT")</f>
        <v>0</v>
      </c>
      <c r="C13" s="53" t="s">
        <v>5095</v>
      </c>
      <c r="D13" s="53" t="s">
        <v>5100</v>
      </c>
    </row>
    <row r="14" spans="1:6" ht="13.2" x14ac:dyDescent="0.25">
      <c r="A14" s="51" t="s">
        <v>5101</v>
      </c>
      <c r="B14" s="56">
        <f>IFERROR(COUNTIF(Simulación!O3:O1002,"INT")/COUNTA(Simulación!A3:A1002)*100,0)</f>
        <v>0</v>
      </c>
      <c r="C14" s="51" t="s">
        <v>5102</v>
      </c>
      <c r="D14" s="51" t="s">
        <v>5103</v>
      </c>
    </row>
    <row r="15" spans="1:6" ht="26.4" x14ac:dyDescent="0.25">
      <c r="A15" s="53" t="s">
        <v>5104</v>
      </c>
      <c r="B15" s="57">
        <f>IFERROR(AVERAGE(Simulación!S3:S1002),0)</f>
        <v>0.18457775325605047</v>
      </c>
      <c r="C15" s="53" t="s">
        <v>25</v>
      </c>
      <c r="D15" s="53" t="s">
        <v>5105</v>
      </c>
    </row>
    <row r="16" spans="1:6" ht="13.2" x14ac:dyDescent="0.25">
      <c r="A16" s="51" t="s">
        <v>5106</v>
      </c>
      <c r="B16" s="58">
        <f>IFERROR(MAX(Simulación!S3:S1002),0)</f>
        <v>4.7655775396165154</v>
      </c>
      <c r="C16" s="51" t="s">
        <v>25</v>
      </c>
      <c r="D16" s="51" t="s">
        <v>5107</v>
      </c>
    </row>
    <row r="17" spans="1:6" ht="26.4" x14ac:dyDescent="0.25">
      <c r="A17" s="53" t="s">
        <v>5108</v>
      </c>
      <c r="B17" s="57">
        <f>IFERROR(AVERAGEIF(Simulación!O3:O1002,"SUBV",Simulación!S3:S1002),0)</f>
        <v>0.18457775325605047</v>
      </c>
      <c r="C17" s="53" t="s">
        <v>25</v>
      </c>
      <c r="D17" s="53" t="s">
        <v>5109</v>
      </c>
    </row>
    <row r="18" spans="1:6" ht="13.2" x14ac:dyDescent="0.25">
      <c r="A18" s="51" t="s">
        <v>5110</v>
      </c>
      <c r="B18" s="59">
        <f>IFERROR(SUM(Simulación!E3:E1002),0)</f>
        <v>143863.34751721675</v>
      </c>
      <c r="C18" s="51" t="s">
        <v>23</v>
      </c>
      <c r="D18" s="51" t="s">
        <v>5111</v>
      </c>
    </row>
    <row r="19" spans="1:6" ht="13.2" x14ac:dyDescent="0.25">
      <c r="A19" s="53" t="s">
        <v>5112</v>
      </c>
      <c r="B19" s="57">
        <f>IFERROR(AVERAGE(Simulación!E3:E1002),0)</f>
        <v>143.86334751721677</v>
      </c>
      <c r="C19" s="53" t="s">
        <v>5113</v>
      </c>
      <c r="D19" s="53" t="s">
        <v>5114</v>
      </c>
    </row>
    <row r="20" spans="1:6" ht="13.2" x14ac:dyDescent="0.25">
      <c r="A20" s="51" t="s">
        <v>5115</v>
      </c>
      <c r="B20" s="60">
        <f>IFERROR(AVERAGE(Simulación!I3:I1002),0)</f>
        <v>1.9362442776690527</v>
      </c>
      <c r="C20" s="51" t="s">
        <v>5116</v>
      </c>
      <c r="D20" s="51" t="s">
        <v>5117</v>
      </c>
    </row>
    <row r="21" spans="1:6" ht="13.2" x14ac:dyDescent="0.25">
      <c r="A21" s="53" t="s">
        <v>5118</v>
      </c>
      <c r="B21" s="61">
        <f>IFERROR(MAX(Simulación!R3:R1002)-MIN(Simulación!L3:L1002),0)</f>
        <v>2920.973666136199</v>
      </c>
      <c r="C21" s="53" t="s">
        <v>25</v>
      </c>
      <c r="D21" s="53" t="s">
        <v>5119</v>
      </c>
    </row>
    <row r="22" spans="1:6" ht="26.4" x14ac:dyDescent="0.25">
      <c r="A22" s="51" t="s">
        <v>5120</v>
      </c>
      <c r="B22" s="56">
        <f>IFERROR(SUMIF(Simulación!O3:O1002,"SUBV",Simulación!G3:G1002)/(MAX(Simulación!R3:R1002)*Parámetros!B15),0)</f>
        <v>7.7405832356999401E-3</v>
      </c>
      <c r="C22" s="51" t="s">
        <v>5121</v>
      </c>
      <c r="D22" s="51" t="s">
        <v>5122</v>
      </c>
    </row>
    <row r="25" spans="1:6" ht="13.8" x14ac:dyDescent="0.25">
      <c r="A25" s="93" t="s">
        <v>5123</v>
      </c>
      <c r="B25" s="70"/>
      <c r="C25" s="70"/>
      <c r="D25" s="70"/>
      <c r="E25" s="70"/>
      <c r="F25" s="71"/>
    </row>
    <row r="26" spans="1:6" ht="13.2" x14ac:dyDescent="0.25">
      <c r="A26" s="62" t="s">
        <v>5124</v>
      </c>
      <c r="B26" s="62" t="s">
        <v>5125</v>
      </c>
      <c r="C26" s="62" t="s">
        <v>5126</v>
      </c>
      <c r="D26" s="62" t="s">
        <v>5127</v>
      </c>
      <c r="E26" s="62" t="s">
        <v>5128</v>
      </c>
      <c r="F26" s="62" t="s">
        <v>5129</v>
      </c>
    </row>
    <row r="27" spans="1:6" ht="13.2" x14ac:dyDescent="0.25">
      <c r="A27" s="12" t="s">
        <v>5073</v>
      </c>
      <c r="B27" s="63">
        <f>COUNTIF(Simulación!C3:C1002,"Trans. Pesado")</f>
        <v>232</v>
      </c>
      <c r="C27" s="64">
        <f>IFERROR(COUNTIF(Simulación!C3:C1002,"Trans. Pesado")/COUNTA(Simulación!A3:A1002)*100,0)</f>
        <v>23.200000000000003</v>
      </c>
      <c r="D27" s="65">
        <f>IFERROR(AVERAGEIF(Simulación!C3:C1002,"Trans. Pesado",Simulación!S3:S1002),0)</f>
        <v>0.12994738049210747</v>
      </c>
      <c r="E27" s="65">
        <f>IFERROR(AVERAGEIF(Simulación!C3:C1002,"Trans. Pesado",Simulación!E3:E1002),0)</f>
        <v>335.64488240668129</v>
      </c>
      <c r="F27" s="65">
        <f>IFERROR(AVERAGEIF(Simulación!C3:C1002,"Trans. Pesado",Simulación!I3:I1002),0)</f>
        <v>3.3348264130795866</v>
      </c>
    </row>
    <row r="28" spans="1:6" ht="13.2" x14ac:dyDescent="0.25">
      <c r="A28" s="14" t="s">
        <v>5077</v>
      </c>
      <c r="B28" s="66">
        <f>COUNTIF(Simulación!C3:C1002,"Minibús")</f>
        <v>262</v>
      </c>
      <c r="C28" s="67">
        <f>IFERROR(COUNTIF(Simulación!C3:C1002,"Minibús")/COUNTA(Simulación!A3:A1002)*100,0)</f>
        <v>26.200000000000003</v>
      </c>
      <c r="D28" s="68">
        <f>IFERROR(AVERAGEIF(Simulación!C3:C1002,"Minibús",Simulación!S3:S1002),0)</f>
        <v>0.22939540638846712</v>
      </c>
      <c r="E28" s="68">
        <f>IFERROR(AVERAGEIF(Simulación!C3:C1002,"Minibús",Simulación!E3:E1002),0)</f>
        <v>44.72403986212737</v>
      </c>
      <c r="F28" s="68">
        <f>IFERROR(AVERAGEIF(Simulación!C3:C1002,"Minibús",Simulación!I3:I1002),0)</f>
        <v>1.2490231291808573</v>
      </c>
    </row>
    <row r="29" spans="1:6" ht="13.2" x14ac:dyDescent="0.25">
      <c r="A29" s="12" t="s">
        <v>5076</v>
      </c>
      <c r="B29" s="63">
        <f>COUNTIF(Simulación!C3:C1002,"Auto Particular")</f>
        <v>142</v>
      </c>
      <c r="C29" s="64">
        <f>IFERROR(COUNTIF(Simulación!C3:C1002,"Auto Particular")/COUNTA(Simulación!A3:A1002)*100,0)</f>
        <v>14.2</v>
      </c>
      <c r="D29" s="65">
        <f>IFERROR(AVERAGEIF(Simulación!C3:C1002,"Auto Particular",Simulación!S3:S1002),0)</f>
        <v>0.14950078809407111</v>
      </c>
      <c r="E29" s="65">
        <f>IFERROR(AVERAGEIF(Simulación!C3:C1002,"Auto Particular",Simulación!E3:E1002),0)</f>
        <v>39.810389747990968</v>
      </c>
      <c r="F29" s="65">
        <f>IFERROR(AVERAGEIF(Simulación!C3:C1002,"Auto Particular",Simulación!I3:I1002),0)</f>
        <v>0.86177823609850024</v>
      </c>
    </row>
    <row r="30" spans="1:6" ht="13.2" x14ac:dyDescent="0.25">
      <c r="A30" s="14" t="s">
        <v>5079</v>
      </c>
      <c r="B30" s="66">
        <f>COUNTIF(Simulación!C3:C1002,"Motocicleta")</f>
        <v>133</v>
      </c>
      <c r="C30" s="67">
        <f>IFERROR(COUNTIF(Simulación!C3:C1002,"Motocicleta")/COUNTA(Simulación!A3:A1002)*100,0)</f>
        <v>13.3</v>
      </c>
      <c r="D30" s="68">
        <f>IFERROR(AVERAGEIF(Simulación!C3:C1002,"Motocicleta",Simulación!S3:S1002),0)</f>
        <v>0.25727098616612309</v>
      </c>
      <c r="E30" s="68">
        <f>IFERROR(AVERAGEIF(Simulación!C3:C1002,"Motocicleta",Simulación!E3:E1002),0)</f>
        <v>8.4944179552997934</v>
      </c>
      <c r="F30" s="68">
        <f>IFERROR(AVERAGEIF(Simulación!C3:C1002,"Motocicleta",Simulación!I3:I1002),0)</f>
        <v>0.43142325164946099</v>
      </c>
    </row>
    <row r="31" spans="1:6" ht="13.2" x14ac:dyDescent="0.25">
      <c r="A31" s="12" t="s">
        <v>5078</v>
      </c>
      <c r="B31" s="63">
        <f>COUNTIF(Simulación!C3:C1002,"Volqueta")</f>
        <v>69</v>
      </c>
      <c r="C31" s="64">
        <f>IFERROR(COUNTIF(Simulación!C3:C1002,"Volqueta")/COUNTA(Simulación!A3:A1002)*100,0)</f>
        <v>6.9</v>
      </c>
      <c r="D31" s="65">
        <f>IFERROR(AVERAGEIF(Simulación!C3:C1002,"Volqueta",Simulación!S3:S1002),0)</f>
        <v>8.1703217072767689E-2</v>
      </c>
      <c r="E31" s="65">
        <f>IFERROR(AVERAGEIF(Simulación!C3:C1002,"Volqueta",Simulación!E3:E1002),0)</f>
        <v>188.32208370536293</v>
      </c>
      <c r="F31" s="65">
        <f>IFERROR(AVERAGEIF(Simulación!C3:C1002,"Volqueta",Simulación!I3:I1002),0)</f>
        <v>3.1784405090739836</v>
      </c>
    </row>
    <row r="32" spans="1:6" ht="13.2" x14ac:dyDescent="0.25">
      <c r="A32" s="14" t="s">
        <v>5081</v>
      </c>
      <c r="B32" s="66">
        <f>COUNTIF(Simulación!C3:C1002,"Flota Interdep.")</f>
        <v>38</v>
      </c>
      <c r="C32" s="67">
        <f>IFERROR(COUNTIF(Simulación!C3:C1002,"Flota Interdep.")/COUNTA(Simulación!A3:A1002)*100,0)</f>
        <v>3.8</v>
      </c>
      <c r="D32" s="68">
        <f>IFERROR(AVERAGEIF(Simulación!C3:C1002,"Flota Interdep.",Simulación!S3:S1002),0)</f>
        <v>0.18102818985387689</v>
      </c>
      <c r="E32" s="68">
        <f>IFERROR(AVERAGEIF(Simulación!C3:C1002,"Flota Interdep.",Simulación!E3:E1002),0)</f>
        <v>279.90158675577038</v>
      </c>
      <c r="F32" s="68">
        <f>IFERROR(AVERAGEIF(Simulación!C3:C1002,"Flota Interdep.",Simulación!I3:I1002),0)</f>
        <v>3.967665045843829</v>
      </c>
    </row>
    <row r="33" spans="1:6" ht="13.2" x14ac:dyDescent="0.25">
      <c r="A33" s="12" t="s">
        <v>5075</v>
      </c>
      <c r="B33" s="63">
        <f>COUNTIF(Simulación!C3:C1002,"Cisterna")</f>
        <v>55</v>
      </c>
      <c r="C33" s="64">
        <f>IFERROR(COUNTIF(Simulación!C3:C1002,"Cisterna")/COUNTA(Simulación!A3:A1002)*100,0)</f>
        <v>5.5</v>
      </c>
      <c r="D33" s="65">
        <f>IFERROR(AVERAGEIF(Simulación!C3:C1002,"Cisterna",Simulación!S3:S1002),0)</f>
        <v>0.16060578467611322</v>
      </c>
      <c r="E33" s="65">
        <f>IFERROR(AVERAGEIF(Simulación!C3:C1002,"Cisterna",Simulación!E3:E1002),0)</f>
        <v>311.82990106991622</v>
      </c>
      <c r="F33" s="65">
        <f>IFERROR(AVERAGEIF(Simulación!C3:C1002,"Cisterna",Simulación!I3:I1002),0)</f>
        <v>2.5934201324235553</v>
      </c>
    </row>
    <row r="34" spans="1:6" ht="13.2" x14ac:dyDescent="0.25">
      <c r="A34" s="14" t="s">
        <v>5080</v>
      </c>
      <c r="B34" s="66">
        <f>COUNTIF(Simulación!C3:C1002,"Camión Med.")</f>
        <v>69</v>
      </c>
      <c r="C34" s="67">
        <f>IFERROR(COUNTIF(Simulación!C3:C1002,"Camión Med.")/COUNTA(Simulación!A3:A1002)*100,0)</f>
        <v>6.9</v>
      </c>
      <c r="D34" s="68">
        <f>IFERROR(AVERAGEIF(Simulación!C3:C1002,"Camión Med.",Simulación!S3:S1002),0)</f>
        <v>0.25409130563762583</v>
      </c>
      <c r="E34" s="68">
        <f>IFERROR(AVERAGEIF(Simulación!C3:C1002,"Camión Med.",Simulación!E3:E1002),0)</f>
        <v>97.276446253405979</v>
      </c>
      <c r="F34" s="68">
        <f>IFERROR(AVERAGEIF(Simulación!C3:C1002,"Camión Med.",Simulación!I3:I1002),0)</f>
        <v>2.070245128150308</v>
      </c>
    </row>
  </sheetData>
  <mergeCells count="5">
    <mergeCell ref="A1:F1"/>
    <mergeCell ref="A2:F2"/>
    <mergeCell ref="A4:E4"/>
    <mergeCell ref="A9:D9"/>
    <mergeCell ref="A25:F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Parámetros</vt:lpstr>
      <vt:lpstr>Generador</vt:lpstr>
      <vt:lpstr>Simulación</vt:lpstr>
      <vt:lpstr>Estadísticas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MOISES MAMANI TITO</cp:lastModifiedBy>
  <dcterms:modified xsi:type="dcterms:W3CDTF">2026-06-29T21:15:53Z</dcterms:modified>
</cp:coreProperties>
</file>